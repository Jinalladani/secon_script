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ps\Desktop\SECON FINAL SCRIPT\Triaxial Python Script\"/>
    </mc:Choice>
  </mc:AlternateContent>
  <xr:revisionPtr revIDLastSave="0" documentId="13_ncr:1_{D6BA9F54-3B3D-4B56-85C4-BD04A781D590}" xr6:coauthVersionLast="47" xr6:coauthVersionMax="47" xr10:uidLastSave="{00000000-0000-0000-0000-000000000000}"/>
  <bookViews>
    <workbookView xWindow="28680" yWindow="-120" windowWidth="29040" windowHeight="15720" activeTab="1" xr2:uid="{00000000-000D-0000-FFFF-FFFF00000000}"/>
  </bookViews>
  <sheets>
    <sheet name="Input" sheetId="1" r:id="rId1"/>
    <sheet name="Plot" sheetId="2" r:id="rId2"/>
  </sheet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2" l="1"/>
  <c r="B3" i="2"/>
  <c r="T8" i="1"/>
  <c r="L8" i="1"/>
  <c r="T7" i="1"/>
  <c r="T148" i="1" s="1"/>
  <c r="T5" i="1"/>
  <c r="T6" i="1" s="1"/>
  <c r="L7" i="1"/>
  <c r="L163" i="1" s="1"/>
  <c r="L5" i="1"/>
  <c r="L6" i="1" s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L55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6" i="1"/>
  <c r="E5" i="2"/>
  <c r="E4" i="2"/>
  <c r="E3" i="2"/>
  <c r="L16" i="1" l="1"/>
  <c r="L115" i="1"/>
  <c r="M115" i="1" s="1"/>
  <c r="N115" i="1" s="1"/>
  <c r="O115" i="1" s="1"/>
  <c r="L41" i="1"/>
  <c r="L37" i="1"/>
  <c r="M37" i="1" s="1"/>
  <c r="N37" i="1" s="1"/>
  <c r="O37" i="1" s="1"/>
  <c r="L33" i="1"/>
  <c r="M33" i="1" s="1"/>
  <c r="N33" i="1" s="1"/>
  <c r="O33" i="1" s="1"/>
  <c r="L19" i="1"/>
  <c r="M19" i="1" s="1"/>
  <c r="N19" i="1" s="1"/>
  <c r="O19" i="1" s="1"/>
  <c r="L24" i="1"/>
  <c r="M24" i="1" s="1"/>
  <c r="N24" i="1" s="1"/>
  <c r="O24" i="1" s="1"/>
  <c r="L40" i="1"/>
  <c r="L44" i="1"/>
  <c r="L49" i="1"/>
  <c r="M49" i="1" s="1"/>
  <c r="N49" i="1" s="1"/>
  <c r="O49" i="1" s="1"/>
  <c r="L34" i="1"/>
  <c r="M34" i="1" s="1"/>
  <c r="N34" i="1" s="1"/>
  <c r="O34" i="1" s="1"/>
  <c r="L56" i="1"/>
  <c r="M56" i="1" s="1"/>
  <c r="N56" i="1" s="1"/>
  <c r="O56" i="1" s="1"/>
  <c r="L67" i="1"/>
  <c r="M67" i="1" s="1"/>
  <c r="N67" i="1" s="1"/>
  <c r="O67" i="1" s="1"/>
  <c r="L26" i="1"/>
  <c r="L39" i="1"/>
  <c r="L23" i="1"/>
  <c r="M23" i="1" s="1"/>
  <c r="N23" i="1" s="1"/>
  <c r="O23" i="1" s="1"/>
  <c r="L74" i="1"/>
  <c r="M74" i="1" s="1"/>
  <c r="N74" i="1" s="1"/>
  <c r="O74" i="1" s="1"/>
  <c r="L85" i="1"/>
  <c r="M85" i="1" s="1"/>
  <c r="N85" i="1" s="1"/>
  <c r="O85" i="1" s="1"/>
  <c r="L96" i="1"/>
  <c r="M96" i="1" s="1"/>
  <c r="N96" i="1" s="1"/>
  <c r="O96" i="1" s="1"/>
  <c r="L30" i="1"/>
  <c r="M30" i="1" s="1"/>
  <c r="N30" i="1" s="1"/>
  <c r="O30" i="1" s="1"/>
  <c r="L15" i="1"/>
  <c r="M15" i="1" s="1"/>
  <c r="N15" i="1" s="1"/>
  <c r="O15" i="1" s="1"/>
  <c r="L18" i="1"/>
  <c r="M18" i="1" s="1"/>
  <c r="N18" i="1" s="1"/>
  <c r="O18" i="1" s="1"/>
  <c r="L21" i="1"/>
  <c r="L36" i="1"/>
  <c r="M36" i="1" s="1"/>
  <c r="N36" i="1" s="1"/>
  <c r="O36" i="1" s="1"/>
  <c r="L43" i="1"/>
  <c r="M43" i="1" s="1"/>
  <c r="N43" i="1" s="1"/>
  <c r="O43" i="1" s="1"/>
  <c r="L14" i="1"/>
  <c r="M14" i="1" s="1"/>
  <c r="N14" i="1" s="1"/>
  <c r="O14" i="1" s="1"/>
  <c r="L17" i="1"/>
  <c r="M17" i="1" s="1"/>
  <c r="N17" i="1" s="1"/>
  <c r="O17" i="1" s="1"/>
  <c r="L20" i="1"/>
  <c r="M20" i="1" s="1"/>
  <c r="N20" i="1" s="1"/>
  <c r="O20" i="1" s="1"/>
  <c r="L27" i="1"/>
  <c r="M27" i="1" s="1"/>
  <c r="N27" i="1" s="1"/>
  <c r="O27" i="1" s="1"/>
  <c r="L31" i="1"/>
  <c r="M31" i="1" s="1"/>
  <c r="N31" i="1" s="1"/>
  <c r="O31" i="1" s="1"/>
  <c r="T28" i="1"/>
  <c r="U28" i="1" s="1"/>
  <c r="V28" i="1" s="1"/>
  <c r="W28" i="1" s="1"/>
  <c r="L93" i="1"/>
  <c r="M93" i="1" s="1"/>
  <c r="N93" i="1" s="1"/>
  <c r="O93" i="1" s="1"/>
  <c r="L97" i="1"/>
  <c r="M97" i="1" s="1"/>
  <c r="N97" i="1" s="1"/>
  <c r="O97" i="1" s="1"/>
  <c r="T114" i="1"/>
  <c r="U114" i="1" s="1"/>
  <c r="V114" i="1" s="1"/>
  <c r="W114" i="1" s="1"/>
  <c r="T16" i="1"/>
  <c r="T40" i="1"/>
  <c r="U40" i="1" s="1"/>
  <c r="V40" i="1" s="1"/>
  <c r="W40" i="1" s="1"/>
  <c r="T57" i="1"/>
  <c r="U57" i="1" s="1"/>
  <c r="V57" i="1" s="1"/>
  <c r="W57" i="1" s="1"/>
  <c r="L29" i="1"/>
  <c r="L32" i="1"/>
  <c r="M32" i="1" s="1"/>
  <c r="N32" i="1" s="1"/>
  <c r="O32" i="1" s="1"/>
  <c r="L35" i="1"/>
  <c r="M35" i="1" s="1"/>
  <c r="N35" i="1" s="1"/>
  <c r="O35" i="1" s="1"/>
  <c r="L38" i="1"/>
  <c r="M38" i="1" s="1"/>
  <c r="N38" i="1" s="1"/>
  <c r="O38" i="1" s="1"/>
  <c r="L104" i="1"/>
  <c r="M104" i="1" s="1"/>
  <c r="N104" i="1" s="1"/>
  <c r="O104" i="1" s="1"/>
  <c r="L22" i="1"/>
  <c r="M22" i="1" s="1"/>
  <c r="N22" i="1" s="1"/>
  <c r="O22" i="1" s="1"/>
  <c r="L25" i="1"/>
  <c r="L28" i="1"/>
  <c r="M28" i="1" s="1"/>
  <c r="N28" i="1" s="1"/>
  <c r="O28" i="1" s="1"/>
  <c r="L42" i="1"/>
  <c r="T24" i="1"/>
  <c r="U24" i="1" s="1"/>
  <c r="V24" i="1" s="1"/>
  <c r="W24" i="1" s="1"/>
  <c r="T36" i="1"/>
  <c r="U36" i="1" s="1"/>
  <c r="V36" i="1" s="1"/>
  <c r="W36" i="1" s="1"/>
  <c r="T47" i="1"/>
  <c r="U47" i="1" s="1"/>
  <c r="V47" i="1" s="1"/>
  <c r="W47" i="1" s="1"/>
  <c r="T51" i="1"/>
  <c r="U51" i="1" s="1"/>
  <c r="V51" i="1" s="1"/>
  <c r="W51" i="1" s="1"/>
  <c r="T55" i="1"/>
  <c r="U55" i="1" s="1"/>
  <c r="V55" i="1" s="1"/>
  <c r="W55" i="1" s="1"/>
  <c r="T91" i="1"/>
  <c r="U91" i="1" s="1"/>
  <c r="V91" i="1" s="1"/>
  <c r="W91" i="1" s="1"/>
  <c r="T95" i="1"/>
  <c r="T103" i="1"/>
  <c r="U103" i="1" s="1"/>
  <c r="V103" i="1" s="1"/>
  <c r="W103" i="1" s="1"/>
  <c r="T107" i="1"/>
  <c r="U107" i="1" s="1"/>
  <c r="V107" i="1" s="1"/>
  <c r="W107" i="1" s="1"/>
  <c r="T14" i="1"/>
  <c r="U14" i="1" s="1"/>
  <c r="V14" i="1" s="1"/>
  <c r="W14" i="1" s="1"/>
  <c r="T63" i="1"/>
  <c r="U63" i="1" s="1"/>
  <c r="V63" i="1" s="1"/>
  <c r="W63" i="1" s="1"/>
  <c r="T75" i="1"/>
  <c r="U75" i="1" s="1"/>
  <c r="V75" i="1" s="1"/>
  <c r="W75" i="1" s="1"/>
  <c r="T111" i="1"/>
  <c r="U111" i="1" s="1"/>
  <c r="V111" i="1" s="1"/>
  <c r="W111" i="1" s="1"/>
  <c r="T122" i="1"/>
  <c r="U122" i="1" s="1"/>
  <c r="V122" i="1" s="1"/>
  <c r="W122" i="1" s="1"/>
  <c r="T22" i="1"/>
  <c r="U22" i="1" s="1"/>
  <c r="V22" i="1" s="1"/>
  <c r="W22" i="1" s="1"/>
  <c r="T34" i="1"/>
  <c r="U34" i="1" s="1"/>
  <c r="V34" i="1" s="1"/>
  <c r="W34" i="1" s="1"/>
  <c r="T73" i="1"/>
  <c r="T87" i="1"/>
  <c r="U87" i="1" s="1"/>
  <c r="V87" i="1" s="1"/>
  <c r="W87" i="1" s="1"/>
  <c r="T99" i="1"/>
  <c r="U99" i="1" s="1"/>
  <c r="V99" i="1" s="1"/>
  <c r="W99" i="1" s="1"/>
  <c r="T112" i="1"/>
  <c r="U112" i="1" s="1"/>
  <c r="V112" i="1" s="1"/>
  <c r="W112" i="1" s="1"/>
  <c r="T26" i="1"/>
  <c r="U26" i="1" s="1"/>
  <c r="V26" i="1" s="1"/>
  <c r="W26" i="1" s="1"/>
  <c r="T67" i="1"/>
  <c r="T118" i="1"/>
  <c r="U118" i="1" s="1"/>
  <c r="V118" i="1" s="1"/>
  <c r="W118" i="1" s="1"/>
  <c r="T20" i="1"/>
  <c r="U20" i="1" s="1"/>
  <c r="V20" i="1" s="1"/>
  <c r="W20" i="1" s="1"/>
  <c r="T32" i="1"/>
  <c r="U32" i="1" s="1"/>
  <c r="V32" i="1" s="1"/>
  <c r="W32" i="1" s="1"/>
  <c r="T69" i="1"/>
  <c r="U69" i="1" s="1"/>
  <c r="V69" i="1" s="1"/>
  <c r="W69" i="1" s="1"/>
  <c r="T124" i="1"/>
  <c r="U124" i="1" s="1"/>
  <c r="V124" i="1" s="1"/>
  <c r="W124" i="1" s="1"/>
  <c r="T129" i="1"/>
  <c r="U129" i="1" s="1"/>
  <c r="V129" i="1" s="1"/>
  <c r="W129" i="1" s="1"/>
  <c r="T139" i="1"/>
  <c r="U139" i="1" s="1"/>
  <c r="V139" i="1" s="1"/>
  <c r="W139" i="1" s="1"/>
  <c r="T136" i="1"/>
  <c r="U136" i="1" s="1"/>
  <c r="V136" i="1" s="1"/>
  <c r="W136" i="1" s="1"/>
  <c r="T38" i="1"/>
  <c r="U38" i="1" s="1"/>
  <c r="V38" i="1" s="1"/>
  <c r="W38" i="1" s="1"/>
  <c r="T18" i="1"/>
  <c r="U18" i="1" s="1"/>
  <c r="V18" i="1" s="1"/>
  <c r="W18" i="1" s="1"/>
  <c r="T30" i="1"/>
  <c r="U30" i="1" s="1"/>
  <c r="V30" i="1" s="1"/>
  <c r="W30" i="1" s="1"/>
  <c r="T42" i="1"/>
  <c r="T45" i="1"/>
  <c r="U45" i="1" s="1"/>
  <c r="V45" i="1" s="1"/>
  <c r="W45" i="1" s="1"/>
  <c r="T117" i="1"/>
  <c r="U117" i="1" s="1"/>
  <c r="V117" i="1" s="1"/>
  <c r="W117" i="1" s="1"/>
  <c r="T121" i="1"/>
  <c r="T123" i="1"/>
  <c r="U123" i="1" s="1"/>
  <c r="V123" i="1" s="1"/>
  <c r="W123" i="1" s="1"/>
  <c r="T61" i="1"/>
  <c r="U61" i="1" s="1"/>
  <c r="V61" i="1" s="1"/>
  <c r="W61" i="1" s="1"/>
  <c r="L69" i="1"/>
  <c r="M69" i="1" s="1"/>
  <c r="N69" i="1" s="1"/>
  <c r="O69" i="1" s="1"/>
  <c r="L73" i="1"/>
  <c r="M73" i="1" s="1"/>
  <c r="N73" i="1" s="1"/>
  <c r="O73" i="1" s="1"/>
  <c r="T81" i="1"/>
  <c r="U81" i="1" s="1"/>
  <c r="V81" i="1" s="1"/>
  <c r="W81" i="1" s="1"/>
  <c r="T97" i="1"/>
  <c r="U97" i="1" s="1"/>
  <c r="V97" i="1" s="1"/>
  <c r="W97" i="1" s="1"/>
  <c r="T105" i="1"/>
  <c r="U105" i="1" s="1"/>
  <c r="V105" i="1" s="1"/>
  <c r="W105" i="1" s="1"/>
  <c r="T109" i="1"/>
  <c r="U109" i="1" s="1"/>
  <c r="V109" i="1" s="1"/>
  <c r="W109" i="1" s="1"/>
  <c r="T133" i="1"/>
  <c r="U133" i="1" s="1"/>
  <c r="V133" i="1" s="1"/>
  <c r="W133" i="1" s="1"/>
  <c r="L81" i="1"/>
  <c r="L88" i="1"/>
  <c r="M88" i="1" s="1"/>
  <c r="N88" i="1" s="1"/>
  <c r="O88" i="1" s="1"/>
  <c r="L80" i="1"/>
  <c r="M80" i="1" s="1"/>
  <c r="N80" i="1" s="1"/>
  <c r="O80" i="1" s="1"/>
  <c r="L83" i="1"/>
  <c r="M83" i="1" s="1"/>
  <c r="N83" i="1" s="1"/>
  <c r="O83" i="1" s="1"/>
  <c r="L91" i="1"/>
  <c r="M91" i="1" s="1"/>
  <c r="N91" i="1" s="1"/>
  <c r="O91" i="1" s="1"/>
  <c r="L101" i="1"/>
  <c r="L127" i="1"/>
  <c r="M127" i="1" s="1"/>
  <c r="N127" i="1" s="1"/>
  <c r="O127" i="1" s="1"/>
  <c r="T15" i="1"/>
  <c r="U15" i="1" s="1"/>
  <c r="V15" i="1" s="1"/>
  <c r="W15" i="1" s="1"/>
  <c r="T17" i="1"/>
  <c r="U17" i="1" s="1"/>
  <c r="V17" i="1" s="1"/>
  <c r="W17" i="1" s="1"/>
  <c r="T19" i="1"/>
  <c r="U19" i="1" s="1"/>
  <c r="V19" i="1" s="1"/>
  <c r="W19" i="1" s="1"/>
  <c r="T21" i="1"/>
  <c r="U21" i="1" s="1"/>
  <c r="V21" i="1" s="1"/>
  <c r="W21" i="1" s="1"/>
  <c r="T23" i="1"/>
  <c r="U23" i="1" s="1"/>
  <c r="V23" i="1" s="1"/>
  <c r="W23" i="1" s="1"/>
  <c r="T25" i="1"/>
  <c r="U25" i="1" s="1"/>
  <c r="V25" i="1" s="1"/>
  <c r="W25" i="1" s="1"/>
  <c r="T27" i="1"/>
  <c r="U27" i="1" s="1"/>
  <c r="V27" i="1" s="1"/>
  <c r="W27" i="1" s="1"/>
  <c r="T29" i="1"/>
  <c r="T31" i="1"/>
  <c r="U31" i="1" s="1"/>
  <c r="V31" i="1" s="1"/>
  <c r="W31" i="1" s="1"/>
  <c r="T33" i="1"/>
  <c r="U33" i="1" s="1"/>
  <c r="V33" i="1" s="1"/>
  <c r="W33" i="1" s="1"/>
  <c r="T35" i="1"/>
  <c r="U35" i="1" s="1"/>
  <c r="V35" i="1" s="1"/>
  <c r="W35" i="1" s="1"/>
  <c r="T37" i="1"/>
  <c r="U37" i="1" s="1"/>
  <c r="V37" i="1" s="1"/>
  <c r="W37" i="1" s="1"/>
  <c r="T39" i="1"/>
  <c r="U39" i="1" s="1"/>
  <c r="V39" i="1" s="1"/>
  <c r="W39" i="1" s="1"/>
  <c r="T41" i="1"/>
  <c r="U41" i="1" s="1"/>
  <c r="V41" i="1" s="1"/>
  <c r="W41" i="1" s="1"/>
  <c r="T43" i="1"/>
  <c r="U43" i="1" s="1"/>
  <c r="V43" i="1" s="1"/>
  <c r="W43" i="1" s="1"/>
  <c r="L50" i="1"/>
  <c r="M50" i="1" s="1"/>
  <c r="N50" i="1" s="1"/>
  <c r="O50" i="1" s="1"/>
  <c r="L54" i="1"/>
  <c r="M54" i="1" s="1"/>
  <c r="N54" i="1" s="1"/>
  <c r="O54" i="1" s="1"/>
  <c r="L61" i="1"/>
  <c r="M61" i="1" s="1"/>
  <c r="N61" i="1" s="1"/>
  <c r="O61" i="1" s="1"/>
  <c r="L64" i="1"/>
  <c r="M64" i="1" s="1"/>
  <c r="N64" i="1" s="1"/>
  <c r="O64" i="1" s="1"/>
  <c r="T93" i="1"/>
  <c r="U93" i="1" s="1"/>
  <c r="V93" i="1" s="1"/>
  <c r="W93" i="1" s="1"/>
  <c r="L107" i="1"/>
  <c r="M107" i="1" s="1"/>
  <c r="N107" i="1" s="1"/>
  <c r="O107" i="1" s="1"/>
  <c r="T110" i="1"/>
  <c r="U110" i="1" s="1"/>
  <c r="V110" i="1" s="1"/>
  <c r="W110" i="1" s="1"/>
  <c r="T113" i="1"/>
  <c r="U113" i="1" s="1"/>
  <c r="V113" i="1" s="1"/>
  <c r="W113" i="1" s="1"/>
  <c r="T116" i="1"/>
  <c r="U116" i="1" s="1"/>
  <c r="V116" i="1" s="1"/>
  <c r="W116" i="1" s="1"/>
  <c r="T119" i="1"/>
  <c r="U119" i="1" s="1"/>
  <c r="V119" i="1" s="1"/>
  <c r="W119" i="1" s="1"/>
  <c r="T130" i="1"/>
  <c r="U130" i="1" s="1"/>
  <c r="V130" i="1" s="1"/>
  <c r="W130" i="1" s="1"/>
  <c r="T134" i="1"/>
  <c r="U134" i="1" s="1"/>
  <c r="V134" i="1" s="1"/>
  <c r="W134" i="1" s="1"/>
  <c r="T149" i="1"/>
  <c r="U149" i="1" s="1"/>
  <c r="V149" i="1" s="1"/>
  <c r="W149" i="1" s="1"/>
  <c r="T49" i="1"/>
  <c r="U49" i="1" s="1"/>
  <c r="V49" i="1" s="1"/>
  <c r="W49" i="1" s="1"/>
  <c r="T59" i="1"/>
  <c r="U59" i="1" s="1"/>
  <c r="V59" i="1" s="1"/>
  <c r="W59" i="1" s="1"/>
  <c r="L62" i="1"/>
  <c r="M62" i="1" s="1"/>
  <c r="N62" i="1" s="1"/>
  <c r="O62" i="1" s="1"/>
  <c r="L65" i="1"/>
  <c r="M65" i="1" s="1"/>
  <c r="N65" i="1" s="1"/>
  <c r="O65" i="1" s="1"/>
  <c r="L72" i="1"/>
  <c r="M72" i="1" s="1"/>
  <c r="N72" i="1" s="1"/>
  <c r="O72" i="1" s="1"/>
  <c r="T79" i="1"/>
  <c r="U79" i="1" s="1"/>
  <c r="V79" i="1" s="1"/>
  <c r="W79" i="1" s="1"/>
  <c r="T85" i="1"/>
  <c r="U85" i="1" s="1"/>
  <c r="V85" i="1" s="1"/>
  <c r="W85" i="1" s="1"/>
  <c r="L109" i="1"/>
  <c r="M109" i="1" s="1"/>
  <c r="N109" i="1" s="1"/>
  <c r="O109" i="1" s="1"/>
  <c r="L121" i="1"/>
  <c r="M121" i="1" s="1"/>
  <c r="N121" i="1" s="1"/>
  <c r="O121" i="1" s="1"/>
  <c r="T145" i="1"/>
  <c r="U145" i="1" s="1"/>
  <c r="V145" i="1" s="1"/>
  <c r="W145" i="1" s="1"/>
  <c r="T150" i="1"/>
  <c r="U150" i="1" s="1"/>
  <c r="V150" i="1" s="1"/>
  <c r="W150" i="1" s="1"/>
  <c r="L47" i="1"/>
  <c r="M47" i="1" s="1"/>
  <c r="N47" i="1" s="1"/>
  <c r="O47" i="1" s="1"/>
  <c r="T53" i="1"/>
  <c r="U53" i="1" s="1"/>
  <c r="V53" i="1" s="1"/>
  <c r="W53" i="1" s="1"/>
  <c r="L59" i="1"/>
  <c r="M59" i="1" s="1"/>
  <c r="N59" i="1" s="1"/>
  <c r="O59" i="1" s="1"/>
  <c r="T71" i="1"/>
  <c r="U71" i="1" s="1"/>
  <c r="V71" i="1" s="1"/>
  <c r="W71" i="1" s="1"/>
  <c r="L77" i="1"/>
  <c r="M77" i="1" s="1"/>
  <c r="N77" i="1" s="1"/>
  <c r="O77" i="1" s="1"/>
  <c r="T83" i="1"/>
  <c r="U83" i="1" s="1"/>
  <c r="V83" i="1" s="1"/>
  <c r="W83" i="1" s="1"/>
  <c r="L86" i="1"/>
  <c r="M86" i="1" s="1"/>
  <c r="N86" i="1" s="1"/>
  <c r="O86" i="1" s="1"/>
  <c r="L89" i="1"/>
  <c r="M89" i="1" s="1"/>
  <c r="N89" i="1" s="1"/>
  <c r="O89" i="1" s="1"/>
  <c r="L98" i="1"/>
  <c r="M98" i="1" s="1"/>
  <c r="N98" i="1" s="1"/>
  <c r="O98" i="1" s="1"/>
  <c r="L105" i="1"/>
  <c r="M105" i="1" s="1"/>
  <c r="N105" i="1" s="1"/>
  <c r="O105" i="1" s="1"/>
  <c r="T126" i="1"/>
  <c r="T142" i="1"/>
  <c r="U142" i="1" s="1"/>
  <c r="V142" i="1" s="1"/>
  <c r="W142" i="1" s="1"/>
  <c r="T146" i="1"/>
  <c r="U146" i="1" s="1"/>
  <c r="V146" i="1" s="1"/>
  <c r="W146" i="1" s="1"/>
  <c r="T151" i="1"/>
  <c r="U151" i="1" s="1"/>
  <c r="V151" i="1" s="1"/>
  <c r="W151" i="1" s="1"/>
  <c r="L45" i="1"/>
  <c r="M45" i="1" s="1"/>
  <c r="N45" i="1" s="1"/>
  <c r="O45" i="1" s="1"/>
  <c r="L52" i="1"/>
  <c r="M52" i="1" s="1"/>
  <c r="N52" i="1" s="1"/>
  <c r="O52" i="1" s="1"/>
  <c r="L57" i="1"/>
  <c r="M57" i="1" s="1"/>
  <c r="N57" i="1" s="1"/>
  <c r="O57" i="1" s="1"/>
  <c r="L78" i="1"/>
  <c r="M78" i="1" s="1"/>
  <c r="N78" i="1" s="1"/>
  <c r="O78" i="1" s="1"/>
  <c r="L102" i="1"/>
  <c r="M102" i="1" s="1"/>
  <c r="N102" i="1" s="1"/>
  <c r="O102" i="1" s="1"/>
  <c r="L135" i="1"/>
  <c r="M135" i="1" s="1"/>
  <c r="N135" i="1" s="1"/>
  <c r="O135" i="1" s="1"/>
  <c r="L48" i="1"/>
  <c r="M48" i="1" s="1"/>
  <c r="N48" i="1" s="1"/>
  <c r="O48" i="1" s="1"/>
  <c r="L53" i="1"/>
  <c r="M53" i="1" s="1"/>
  <c r="N53" i="1" s="1"/>
  <c r="O53" i="1" s="1"/>
  <c r="L60" i="1"/>
  <c r="M60" i="1" s="1"/>
  <c r="N60" i="1" s="1"/>
  <c r="O60" i="1" s="1"/>
  <c r="L68" i="1"/>
  <c r="M68" i="1" s="1"/>
  <c r="N68" i="1" s="1"/>
  <c r="O68" i="1" s="1"/>
  <c r="L71" i="1"/>
  <c r="M71" i="1" s="1"/>
  <c r="N71" i="1" s="1"/>
  <c r="O71" i="1" s="1"/>
  <c r="L76" i="1"/>
  <c r="M76" i="1" s="1"/>
  <c r="N76" i="1" s="1"/>
  <c r="O76" i="1" s="1"/>
  <c r="L79" i="1"/>
  <c r="M79" i="1" s="1"/>
  <c r="N79" i="1" s="1"/>
  <c r="O79" i="1" s="1"/>
  <c r="L84" i="1"/>
  <c r="M84" i="1" s="1"/>
  <c r="N84" i="1" s="1"/>
  <c r="O84" i="1" s="1"/>
  <c r="L92" i="1"/>
  <c r="M92" i="1" s="1"/>
  <c r="N92" i="1" s="1"/>
  <c r="O92" i="1" s="1"/>
  <c r="L95" i="1"/>
  <c r="M95" i="1" s="1"/>
  <c r="N95" i="1" s="1"/>
  <c r="O95" i="1" s="1"/>
  <c r="L100" i="1"/>
  <c r="M100" i="1" s="1"/>
  <c r="N100" i="1" s="1"/>
  <c r="O100" i="1" s="1"/>
  <c r="L103" i="1"/>
  <c r="M103" i="1" s="1"/>
  <c r="N103" i="1" s="1"/>
  <c r="O103" i="1" s="1"/>
  <c r="L108" i="1"/>
  <c r="M108" i="1" s="1"/>
  <c r="N108" i="1" s="1"/>
  <c r="O108" i="1" s="1"/>
  <c r="L46" i="1"/>
  <c r="M46" i="1" s="1"/>
  <c r="N46" i="1" s="1"/>
  <c r="O46" i="1" s="1"/>
  <c r="L51" i="1"/>
  <c r="M51" i="1" s="1"/>
  <c r="N51" i="1" s="1"/>
  <c r="O51" i="1" s="1"/>
  <c r="L58" i="1"/>
  <c r="M58" i="1" s="1"/>
  <c r="N58" i="1" s="1"/>
  <c r="O58" i="1" s="1"/>
  <c r="L66" i="1"/>
  <c r="M66" i="1" s="1"/>
  <c r="N66" i="1" s="1"/>
  <c r="O66" i="1" s="1"/>
  <c r="L90" i="1"/>
  <c r="M90" i="1" s="1"/>
  <c r="N90" i="1" s="1"/>
  <c r="O90" i="1" s="1"/>
  <c r="L123" i="1"/>
  <c r="M123" i="1" s="1"/>
  <c r="N123" i="1" s="1"/>
  <c r="O123" i="1" s="1"/>
  <c r="L141" i="1"/>
  <c r="M141" i="1" s="1"/>
  <c r="N141" i="1" s="1"/>
  <c r="O141" i="1" s="1"/>
  <c r="T143" i="1"/>
  <c r="U143" i="1" s="1"/>
  <c r="V143" i="1" s="1"/>
  <c r="W143" i="1" s="1"/>
  <c r="L63" i="1"/>
  <c r="M63" i="1" s="1"/>
  <c r="N63" i="1" s="1"/>
  <c r="O63" i="1" s="1"/>
  <c r="T65" i="1"/>
  <c r="U65" i="1" s="1"/>
  <c r="V65" i="1" s="1"/>
  <c r="W65" i="1" s="1"/>
  <c r="L70" i="1"/>
  <c r="M70" i="1" s="1"/>
  <c r="N70" i="1" s="1"/>
  <c r="O70" i="1" s="1"/>
  <c r="L75" i="1"/>
  <c r="M75" i="1" s="1"/>
  <c r="N75" i="1" s="1"/>
  <c r="O75" i="1" s="1"/>
  <c r="T77" i="1"/>
  <c r="U77" i="1" s="1"/>
  <c r="V77" i="1" s="1"/>
  <c r="W77" i="1" s="1"/>
  <c r="L82" i="1"/>
  <c r="M82" i="1" s="1"/>
  <c r="N82" i="1" s="1"/>
  <c r="O82" i="1" s="1"/>
  <c r="L87" i="1"/>
  <c r="M87" i="1" s="1"/>
  <c r="N87" i="1" s="1"/>
  <c r="O87" i="1" s="1"/>
  <c r="T89" i="1"/>
  <c r="U89" i="1" s="1"/>
  <c r="V89" i="1" s="1"/>
  <c r="W89" i="1" s="1"/>
  <c r="L94" i="1"/>
  <c r="M94" i="1" s="1"/>
  <c r="N94" i="1" s="1"/>
  <c r="O94" i="1" s="1"/>
  <c r="L99" i="1"/>
  <c r="M99" i="1" s="1"/>
  <c r="N99" i="1" s="1"/>
  <c r="O99" i="1" s="1"/>
  <c r="T101" i="1"/>
  <c r="U101" i="1" s="1"/>
  <c r="V101" i="1" s="1"/>
  <c r="W101" i="1" s="1"/>
  <c r="L106" i="1"/>
  <c r="L111" i="1"/>
  <c r="M111" i="1" s="1"/>
  <c r="N111" i="1" s="1"/>
  <c r="O111" i="1" s="1"/>
  <c r="T125" i="1"/>
  <c r="U125" i="1" s="1"/>
  <c r="V125" i="1" s="1"/>
  <c r="W125" i="1" s="1"/>
  <c r="T128" i="1"/>
  <c r="U128" i="1" s="1"/>
  <c r="V128" i="1" s="1"/>
  <c r="W128" i="1" s="1"/>
  <c r="T131" i="1"/>
  <c r="U131" i="1" s="1"/>
  <c r="V131" i="1" s="1"/>
  <c r="W131" i="1" s="1"/>
  <c r="T138" i="1"/>
  <c r="U138" i="1" s="1"/>
  <c r="V138" i="1" s="1"/>
  <c r="W138" i="1" s="1"/>
  <c r="T141" i="1"/>
  <c r="U141" i="1" s="1"/>
  <c r="V141" i="1" s="1"/>
  <c r="W141" i="1" s="1"/>
  <c r="T144" i="1"/>
  <c r="U144" i="1" s="1"/>
  <c r="V144" i="1" s="1"/>
  <c r="W144" i="1" s="1"/>
  <c r="T147" i="1"/>
  <c r="U147" i="1" s="1"/>
  <c r="V147" i="1" s="1"/>
  <c r="W147" i="1" s="1"/>
  <c r="L152" i="1"/>
  <c r="M152" i="1" s="1"/>
  <c r="N152" i="1" s="1"/>
  <c r="O152" i="1" s="1"/>
  <c r="L133" i="1"/>
  <c r="M133" i="1" s="1"/>
  <c r="N133" i="1" s="1"/>
  <c r="O133" i="1" s="1"/>
  <c r="T135" i="1"/>
  <c r="U135" i="1" s="1"/>
  <c r="V135" i="1" s="1"/>
  <c r="W135" i="1" s="1"/>
  <c r="T44" i="1"/>
  <c r="U44" i="1" s="1"/>
  <c r="V44" i="1" s="1"/>
  <c r="W44" i="1" s="1"/>
  <c r="T46" i="1"/>
  <c r="U46" i="1" s="1"/>
  <c r="V46" i="1" s="1"/>
  <c r="W46" i="1" s="1"/>
  <c r="T48" i="1"/>
  <c r="U48" i="1" s="1"/>
  <c r="V48" i="1" s="1"/>
  <c r="W48" i="1" s="1"/>
  <c r="T50" i="1"/>
  <c r="U50" i="1" s="1"/>
  <c r="V50" i="1" s="1"/>
  <c r="W50" i="1" s="1"/>
  <c r="T52" i="1"/>
  <c r="U52" i="1" s="1"/>
  <c r="V52" i="1" s="1"/>
  <c r="W52" i="1" s="1"/>
  <c r="T54" i="1"/>
  <c r="U54" i="1" s="1"/>
  <c r="V54" i="1" s="1"/>
  <c r="W54" i="1" s="1"/>
  <c r="T56" i="1"/>
  <c r="U56" i="1" s="1"/>
  <c r="V56" i="1" s="1"/>
  <c r="W56" i="1" s="1"/>
  <c r="T58" i="1"/>
  <c r="U58" i="1" s="1"/>
  <c r="V58" i="1" s="1"/>
  <c r="W58" i="1" s="1"/>
  <c r="T60" i="1"/>
  <c r="U60" i="1" s="1"/>
  <c r="V60" i="1" s="1"/>
  <c r="W60" i="1" s="1"/>
  <c r="T62" i="1"/>
  <c r="U62" i="1" s="1"/>
  <c r="V62" i="1" s="1"/>
  <c r="W62" i="1" s="1"/>
  <c r="T64" i="1"/>
  <c r="U64" i="1" s="1"/>
  <c r="V64" i="1" s="1"/>
  <c r="W64" i="1" s="1"/>
  <c r="T66" i="1"/>
  <c r="U66" i="1" s="1"/>
  <c r="V66" i="1" s="1"/>
  <c r="W66" i="1" s="1"/>
  <c r="T68" i="1"/>
  <c r="U68" i="1" s="1"/>
  <c r="V68" i="1" s="1"/>
  <c r="W68" i="1" s="1"/>
  <c r="T70" i="1"/>
  <c r="U70" i="1" s="1"/>
  <c r="V70" i="1" s="1"/>
  <c r="W70" i="1" s="1"/>
  <c r="T72" i="1"/>
  <c r="U72" i="1" s="1"/>
  <c r="V72" i="1" s="1"/>
  <c r="W72" i="1" s="1"/>
  <c r="T74" i="1"/>
  <c r="U74" i="1" s="1"/>
  <c r="V74" i="1" s="1"/>
  <c r="W74" i="1" s="1"/>
  <c r="T76" i="1"/>
  <c r="U76" i="1" s="1"/>
  <c r="V76" i="1" s="1"/>
  <c r="W76" i="1" s="1"/>
  <c r="T78" i="1"/>
  <c r="U78" i="1" s="1"/>
  <c r="V78" i="1" s="1"/>
  <c r="W78" i="1" s="1"/>
  <c r="T80" i="1"/>
  <c r="U80" i="1" s="1"/>
  <c r="V80" i="1" s="1"/>
  <c r="W80" i="1" s="1"/>
  <c r="T82" i="1"/>
  <c r="U82" i="1" s="1"/>
  <c r="V82" i="1" s="1"/>
  <c r="W82" i="1" s="1"/>
  <c r="T84" i="1"/>
  <c r="U84" i="1" s="1"/>
  <c r="V84" i="1" s="1"/>
  <c r="W84" i="1" s="1"/>
  <c r="T86" i="1"/>
  <c r="U86" i="1" s="1"/>
  <c r="V86" i="1" s="1"/>
  <c r="W86" i="1" s="1"/>
  <c r="T88" i="1"/>
  <c r="U88" i="1" s="1"/>
  <c r="V88" i="1" s="1"/>
  <c r="W88" i="1" s="1"/>
  <c r="T90" i="1"/>
  <c r="U90" i="1" s="1"/>
  <c r="V90" i="1" s="1"/>
  <c r="W90" i="1" s="1"/>
  <c r="T92" i="1"/>
  <c r="U92" i="1" s="1"/>
  <c r="V92" i="1" s="1"/>
  <c r="W92" i="1" s="1"/>
  <c r="T94" i="1"/>
  <c r="U94" i="1" s="1"/>
  <c r="V94" i="1" s="1"/>
  <c r="W94" i="1" s="1"/>
  <c r="T96" i="1"/>
  <c r="U96" i="1" s="1"/>
  <c r="V96" i="1" s="1"/>
  <c r="W96" i="1" s="1"/>
  <c r="T98" i="1"/>
  <c r="U98" i="1" s="1"/>
  <c r="V98" i="1" s="1"/>
  <c r="W98" i="1" s="1"/>
  <c r="T100" i="1"/>
  <c r="U100" i="1" s="1"/>
  <c r="V100" i="1" s="1"/>
  <c r="W100" i="1" s="1"/>
  <c r="T102" i="1"/>
  <c r="U102" i="1" s="1"/>
  <c r="V102" i="1" s="1"/>
  <c r="W102" i="1" s="1"/>
  <c r="T104" i="1"/>
  <c r="U104" i="1" s="1"/>
  <c r="V104" i="1" s="1"/>
  <c r="W104" i="1" s="1"/>
  <c r="T106" i="1"/>
  <c r="U106" i="1" s="1"/>
  <c r="V106" i="1" s="1"/>
  <c r="W106" i="1" s="1"/>
  <c r="T108" i="1"/>
  <c r="U108" i="1" s="1"/>
  <c r="V108" i="1" s="1"/>
  <c r="W108" i="1" s="1"/>
  <c r="L113" i="1"/>
  <c r="M113" i="1" s="1"/>
  <c r="N113" i="1" s="1"/>
  <c r="O113" i="1" s="1"/>
  <c r="T115" i="1"/>
  <c r="U115" i="1" s="1"/>
  <c r="V115" i="1" s="1"/>
  <c r="W115" i="1" s="1"/>
  <c r="T120" i="1"/>
  <c r="U120" i="1" s="1"/>
  <c r="V120" i="1" s="1"/>
  <c r="W120" i="1" s="1"/>
  <c r="L125" i="1"/>
  <c r="M125" i="1" s="1"/>
  <c r="N125" i="1" s="1"/>
  <c r="O125" i="1" s="1"/>
  <c r="T127" i="1"/>
  <c r="U127" i="1" s="1"/>
  <c r="V127" i="1" s="1"/>
  <c r="W127" i="1" s="1"/>
  <c r="T132" i="1"/>
  <c r="U132" i="1" s="1"/>
  <c r="V132" i="1" s="1"/>
  <c r="W132" i="1" s="1"/>
  <c r="T137" i="1"/>
  <c r="U137" i="1" s="1"/>
  <c r="V137" i="1" s="1"/>
  <c r="W137" i="1" s="1"/>
  <c r="T140" i="1"/>
  <c r="U140" i="1" s="1"/>
  <c r="V140" i="1" s="1"/>
  <c r="W140" i="1" s="1"/>
  <c r="L159" i="1"/>
  <c r="M159" i="1" s="1"/>
  <c r="N159" i="1" s="1"/>
  <c r="O159" i="1" s="1"/>
  <c r="L119" i="1"/>
  <c r="M119" i="1" s="1"/>
  <c r="N119" i="1" s="1"/>
  <c r="O119" i="1" s="1"/>
  <c r="L131" i="1"/>
  <c r="M131" i="1" s="1"/>
  <c r="N131" i="1" s="1"/>
  <c r="O131" i="1" s="1"/>
  <c r="L147" i="1"/>
  <c r="M147" i="1" s="1"/>
  <c r="N147" i="1" s="1"/>
  <c r="O147" i="1" s="1"/>
  <c r="L117" i="1"/>
  <c r="M117" i="1" s="1"/>
  <c r="N117" i="1" s="1"/>
  <c r="O117" i="1" s="1"/>
  <c r="L129" i="1"/>
  <c r="M129" i="1" s="1"/>
  <c r="N129" i="1" s="1"/>
  <c r="O129" i="1" s="1"/>
  <c r="L145" i="1"/>
  <c r="M145" i="1" s="1"/>
  <c r="N145" i="1" s="1"/>
  <c r="O145" i="1" s="1"/>
  <c r="L162" i="1"/>
  <c r="M162" i="1" s="1"/>
  <c r="N162" i="1" s="1"/>
  <c r="O162" i="1" s="1"/>
  <c r="L143" i="1"/>
  <c r="M143" i="1" s="1"/>
  <c r="N143" i="1" s="1"/>
  <c r="O143" i="1" s="1"/>
  <c r="L139" i="1"/>
  <c r="M139" i="1" s="1"/>
  <c r="N139" i="1" s="1"/>
  <c r="O139" i="1" s="1"/>
  <c r="L155" i="1"/>
  <c r="M155" i="1" s="1"/>
  <c r="N155" i="1" s="1"/>
  <c r="O155" i="1" s="1"/>
  <c r="L137" i="1"/>
  <c r="M137" i="1" s="1"/>
  <c r="N137" i="1" s="1"/>
  <c r="O137" i="1" s="1"/>
  <c r="L149" i="1"/>
  <c r="M149" i="1" s="1"/>
  <c r="N149" i="1" s="1"/>
  <c r="O149" i="1" s="1"/>
  <c r="L158" i="1"/>
  <c r="M158" i="1" s="1"/>
  <c r="N158" i="1" s="1"/>
  <c r="O158" i="1" s="1"/>
  <c r="L153" i="1"/>
  <c r="M153" i="1" s="1"/>
  <c r="N153" i="1" s="1"/>
  <c r="O153" i="1" s="1"/>
  <c r="L165" i="1"/>
  <c r="M165" i="1" s="1"/>
  <c r="N165" i="1" s="1"/>
  <c r="O165" i="1" s="1"/>
  <c r="L110" i="1"/>
  <c r="M110" i="1" s="1"/>
  <c r="N110" i="1" s="1"/>
  <c r="O110" i="1" s="1"/>
  <c r="L112" i="1"/>
  <c r="M112" i="1" s="1"/>
  <c r="N112" i="1" s="1"/>
  <c r="O112" i="1" s="1"/>
  <c r="L114" i="1"/>
  <c r="M114" i="1" s="1"/>
  <c r="N114" i="1" s="1"/>
  <c r="O114" i="1" s="1"/>
  <c r="L116" i="1"/>
  <c r="M116" i="1" s="1"/>
  <c r="N116" i="1" s="1"/>
  <c r="O116" i="1" s="1"/>
  <c r="L118" i="1"/>
  <c r="M118" i="1" s="1"/>
  <c r="N118" i="1" s="1"/>
  <c r="O118" i="1" s="1"/>
  <c r="L120" i="1"/>
  <c r="M120" i="1" s="1"/>
  <c r="N120" i="1" s="1"/>
  <c r="O120" i="1" s="1"/>
  <c r="L122" i="1"/>
  <c r="M122" i="1" s="1"/>
  <c r="N122" i="1" s="1"/>
  <c r="O122" i="1" s="1"/>
  <c r="L124" i="1"/>
  <c r="M124" i="1" s="1"/>
  <c r="N124" i="1" s="1"/>
  <c r="O124" i="1" s="1"/>
  <c r="L126" i="1"/>
  <c r="M126" i="1" s="1"/>
  <c r="N126" i="1" s="1"/>
  <c r="O126" i="1" s="1"/>
  <c r="L128" i="1"/>
  <c r="M128" i="1" s="1"/>
  <c r="N128" i="1" s="1"/>
  <c r="O128" i="1" s="1"/>
  <c r="L130" i="1"/>
  <c r="M130" i="1" s="1"/>
  <c r="N130" i="1" s="1"/>
  <c r="O130" i="1" s="1"/>
  <c r="L132" i="1"/>
  <c r="M132" i="1" s="1"/>
  <c r="N132" i="1" s="1"/>
  <c r="O132" i="1" s="1"/>
  <c r="L134" i="1"/>
  <c r="M134" i="1" s="1"/>
  <c r="N134" i="1" s="1"/>
  <c r="O134" i="1" s="1"/>
  <c r="L136" i="1"/>
  <c r="M136" i="1" s="1"/>
  <c r="N136" i="1" s="1"/>
  <c r="O136" i="1" s="1"/>
  <c r="L138" i="1"/>
  <c r="M138" i="1" s="1"/>
  <c r="N138" i="1" s="1"/>
  <c r="O138" i="1" s="1"/>
  <c r="L140" i="1"/>
  <c r="M140" i="1" s="1"/>
  <c r="N140" i="1" s="1"/>
  <c r="O140" i="1" s="1"/>
  <c r="L142" i="1"/>
  <c r="M142" i="1" s="1"/>
  <c r="N142" i="1" s="1"/>
  <c r="O142" i="1" s="1"/>
  <c r="L144" i="1"/>
  <c r="M144" i="1" s="1"/>
  <c r="N144" i="1" s="1"/>
  <c r="O144" i="1" s="1"/>
  <c r="L146" i="1"/>
  <c r="M146" i="1" s="1"/>
  <c r="N146" i="1" s="1"/>
  <c r="O146" i="1" s="1"/>
  <c r="L148" i="1"/>
  <c r="M148" i="1" s="1"/>
  <c r="N148" i="1" s="1"/>
  <c r="O148" i="1" s="1"/>
  <c r="L160" i="1"/>
  <c r="M160" i="1" s="1"/>
  <c r="N160" i="1" s="1"/>
  <c r="O160" i="1" s="1"/>
  <c r="L151" i="1"/>
  <c r="M151" i="1" s="1"/>
  <c r="N151" i="1" s="1"/>
  <c r="O151" i="1" s="1"/>
  <c r="L156" i="1"/>
  <c r="M156" i="1" s="1"/>
  <c r="N156" i="1" s="1"/>
  <c r="O156" i="1" s="1"/>
  <c r="L164" i="1"/>
  <c r="M164" i="1" s="1"/>
  <c r="N164" i="1" s="1"/>
  <c r="O164" i="1" s="1"/>
  <c r="L150" i="1"/>
  <c r="M150" i="1" s="1"/>
  <c r="N150" i="1" s="1"/>
  <c r="O150" i="1" s="1"/>
  <c r="L154" i="1"/>
  <c r="M154" i="1" s="1"/>
  <c r="N154" i="1" s="1"/>
  <c r="O154" i="1" s="1"/>
  <c r="L161" i="1"/>
  <c r="M161" i="1" s="1"/>
  <c r="N161" i="1" s="1"/>
  <c r="O161" i="1" s="1"/>
  <c r="L157" i="1"/>
  <c r="M157" i="1" s="1"/>
  <c r="N157" i="1" s="1"/>
  <c r="O157" i="1" s="1"/>
  <c r="E28" i="1"/>
  <c r="F28" i="1" s="1"/>
  <c r="G28" i="1" s="1"/>
  <c r="E32" i="1"/>
  <c r="F32" i="1" s="1"/>
  <c r="G32" i="1" s="1"/>
  <c r="E36" i="1"/>
  <c r="F36" i="1" s="1"/>
  <c r="G36" i="1" s="1"/>
  <c r="E68" i="1"/>
  <c r="F68" i="1" s="1"/>
  <c r="G68" i="1" s="1"/>
  <c r="M16" i="1"/>
  <c r="N16" i="1" s="1"/>
  <c r="O16" i="1" s="1"/>
  <c r="E65" i="1"/>
  <c r="F65" i="1" s="1"/>
  <c r="G65" i="1" s="1"/>
  <c r="E70" i="1"/>
  <c r="F70" i="1" s="1"/>
  <c r="G70" i="1" s="1"/>
  <c r="E61" i="1"/>
  <c r="F61" i="1" s="1"/>
  <c r="G61" i="1" s="1"/>
  <c r="E15" i="1"/>
  <c r="F15" i="1" s="1"/>
  <c r="G15" i="1" s="1"/>
  <c r="E23" i="1"/>
  <c r="F23" i="1" s="1"/>
  <c r="G23" i="1" s="1"/>
  <c r="E39" i="1"/>
  <c r="F39" i="1" s="1"/>
  <c r="G39" i="1" s="1"/>
  <c r="E43" i="1"/>
  <c r="F43" i="1" s="1"/>
  <c r="G43" i="1" s="1"/>
  <c r="E47" i="1"/>
  <c r="F47" i="1" s="1"/>
  <c r="G47" i="1" s="1"/>
  <c r="E50" i="1"/>
  <c r="F50" i="1" s="1"/>
  <c r="G50" i="1" s="1"/>
  <c r="E56" i="1"/>
  <c r="F56" i="1" s="1"/>
  <c r="G56" i="1" s="1"/>
  <c r="E54" i="1"/>
  <c r="F54" i="1" s="1"/>
  <c r="G54" i="1" s="1"/>
  <c r="E19" i="1"/>
  <c r="F19" i="1" s="1"/>
  <c r="G19" i="1" s="1"/>
  <c r="E63" i="1"/>
  <c r="F63" i="1" s="1"/>
  <c r="G63" i="1" s="1"/>
  <c r="E21" i="1"/>
  <c r="F21" i="1" s="1"/>
  <c r="G21" i="1" s="1"/>
  <c r="E59" i="1"/>
  <c r="F59" i="1" s="1"/>
  <c r="G59" i="1" s="1"/>
  <c r="M21" i="1"/>
  <c r="N21" i="1" s="1"/>
  <c r="O21" i="1" s="1"/>
  <c r="M25" i="1"/>
  <c r="N25" i="1" s="1"/>
  <c r="O25" i="1" s="1"/>
  <c r="E37" i="1"/>
  <c r="F37" i="1" s="1"/>
  <c r="G37" i="1" s="1"/>
  <c r="E52" i="1"/>
  <c r="F52" i="1" s="1"/>
  <c r="G52" i="1" s="1"/>
  <c r="E67" i="1"/>
  <c r="F67" i="1" s="1"/>
  <c r="G67" i="1" s="1"/>
  <c r="E17" i="1"/>
  <c r="F17" i="1" s="1"/>
  <c r="G17" i="1" s="1"/>
  <c r="U29" i="1"/>
  <c r="V29" i="1" s="1"/>
  <c r="W29" i="1" s="1"/>
  <c r="E45" i="1"/>
  <c r="F45" i="1" s="1"/>
  <c r="G45" i="1" s="1"/>
  <c r="M40" i="1"/>
  <c r="N40" i="1" s="1"/>
  <c r="O40" i="1" s="1"/>
  <c r="E41" i="1"/>
  <c r="F41" i="1" s="1"/>
  <c r="G41" i="1" s="1"/>
  <c r="E26" i="1"/>
  <c r="F26" i="1" s="1"/>
  <c r="G26" i="1" s="1"/>
  <c r="E30" i="1"/>
  <c r="F30" i="1" s="1"/>
  <c r="G30" i="1" s="1"/>
  <c r="E34" i="1"/>
  <c r="F34" i="1" s="1"/>
  <c r="G34" i="1" s="1"/>
  <c r="M41" i="1"/>
  <c r="N41" i="1" s="1"/>
  <c r="O41" i="1" s="1"/>
  <c r="E149" i="1"/>
  <c r="F149" i="1" s="1"/>
  <c r="G149" i="1" s="1"/>
  <c r="E24" i="1"/>
  <c r="F24" i="1" s="1"/>
  <c r="G24" i="1" s="1"/>
  <c r="E48" i="1"/>
  <c r="F48" i="1" s="1"/>
  <c r="G48" i="1" s="1"/>
  <c r="M26" i="1"/>
  <c r="N26" i="1" s="1"/>
  <c r="O26" i="1" s="1"/>
  <c r="E20" i="1"/>
  <c r="F20" i="1" s="1"/>
  <c r="G20" i="1" s="1"/>
  <c r="E53" i="1"/>
  <c r="F53" i="1" s="1"/>
  <c r="G53" i="1" s="1"/>
  <c r="E64" i="1"/>
  <c r="F64" i="1" s="1"/>
  <c r="G64" i="1" s="1"/>
  <c r="E35" i="1"/>
  <c r="F35" i="1" s="1"/>
  <c r="G35" i="1" s="1"/>
  <c r="M39" i="1"/>
  <c r="N39" i="1" s="1"/>
  <c r="O39" i="1" s="1"/>
  <c r="D9" i="1"/>
  <c r="E18" i="1"/>
  <c r="F18" i="1" s="1"/>
  <c r="G18" i="1" s="1"/>
  <c r="E29" i="1"/>
  <c r="F29" i="1" s="1"/>
  <c r="G29" i="1" s="1"/>
  <c r="E31" i="1"/>
  <c r="F31" i="1" s="1"/>
  <c r="G31" i="1" s="1"/>
  <c r="E42" i="1"/>
  <c r="F42" i="1" s="1"/>
  <c r="G42" i="1" s="1"/>
  <c r="M44" i="1"/>
  <c r="N44" i="1" s="1"/>
  <c r="O44" i="1" s="1"/>
  <c r="E51" i="1"/>
  <c r="F51" i="1" s="1"/>
  <c r="G51" i="1" s="1"/>
  <c r="M55" i="1"/>
  <c r="N55" i="1" s="1"/>
  <c r="O55" i="1" s="1"/>
  <c r="E62" i="1"/>
  <c r="F62" i="1" s="1"/>
  <c r="G62" i="1" s="1"/>
  <c r="E46" i="1"/>
  <c r="F46" i="1" s="1"/>
  <c r="G46" i="1" s="1"/>
  <c r="E57" i="1"/>
  <c r="F57" i="1" s="1"/>
  <c r="G57" i="1" s="1"/>
  <c r="E22" i="1"/>
  <c r="F22" i="1" s="1"/>
  <c r="G22" i="1" s="1"/>
  <c r="E44" i="1"/>
  <c r="F44" i="1" s="1"/>
  <c r="G44" i="1" s="1"/>
  <c r="E55" i="1"/>
  <c r="F55" i="1" s="1"/>
  <c r="G55" i="1" s="1"/>
  <c r="E66" i="1"/>
  <c r="F66" i="1" s="1"/>
  <c r="G66" i="1" s="1"/>
  <c r="E33" i="1"/>
  <c r="F33" i="1" s="1"/>
  <c r="G33" i="1" s="1"/>
  <c r="E16" i="1"/>
  <c r="F16" i="1" s="1"/>
  <c r="G16" i="1" s="1"/>
  <c r="E40" i="1"/>
  <c r="F40" i="1" s="1"/>
  <c r="G40" i="1" s="1"/>
  <c r="E14" i="1"/>
  <c r="F14" i="1" s="1"/>
  <c r="G14" i="1" s="1"/>
  <c r="E25" i="1"/>
  <c r="F25" i="1" s="1"/>
  <c r="G25" i="1" s="1"/>
  <c r="E27" i="1"/>
  <c r="F27" i="1" s="1"/>
  <c r="G27" i="1" s="1"/>
  <c r="M29" i="1"/>
  <c r="N29" i="1" s="1"/>
  <c r="O29" i="1" s="1"/>
  <c r="E38" i="1"/>
  <c r="F38" i="1" s="1"/>
  <c r="G38" i="1" s="1"/>
  <c r="M42" i="1"/>
  <c r="N42" i="1" s="1"/>
  <c r="O42" i="1" s="1"/>
  <c r="E49" i="1"/>
  <c r="F49" i="1" s="1"/>
  <c r="G49" i="1" s="1"/>
  <c r="E58" i="1"/>
  <c r="F58" i="1" s="1"/>
  <c r="G58" i="1" s="1"/>
  <c r="E60" i="1"/>
  <c r="F60" i="1" s="1"/>
  <c r="G60" i="1" s="1"/>
  <c r="E69" i="1"/>
  <c r="F69" i="1" s="1"/>
  <c r="G69" i="1" s="1"/>
  <c r="U16" i="1"/>
  <c r="V16" i="1" s="1"/>
  <c r="W16" i="1" s="1"/>
  <c r="U67" i="1"/>
  <c r="V67" i="1" s="1"/>
  <c r="W67" i="1" s="1"/>
  <c r="U42" i="1"/>
  <c r="V42" i="1" s="1"/>
  <c r="W42" i="1" s="1"/>
  <c r="U148" i="1"/>
  <c r="V148" i="1" s="1"/>
  <c r="W148" i="1" s="1"/>
  <c r="U126" i="1"/>
  <c r="V126" i="1" s="1"/>
  <c r="W126" i="1" s="1"/>
  <c r="U121" i="1"/>
  <c r="V121" i="1" s="1"/>
  <c r="W121" i="1" s="1"/>
  <c r="U95" i="1"/>
  <c r="V95" i="1" s="1"/>
  <c r="W95" i="1" s="1"/>
  <c r="U73" i="1"/>
  <c r="V73" i="1" s="1"/>
  <c r="W73" i="1" s="1"/>
  <c r="T9" i="1"/>
  <c r="E71" i="1"/>
  <c r="F71" i="1" s="1"/>
  <c r="G71" i="1" s="1"/>
  <c r="E72" i="1"/>
  <c r="F72" i="1" s="1"/>
  <c r="G72" i="1" s="1"/>
  <c r="E73" i="1"/>
  <c r="F73" i="1" s="1"/>
  <c r="G73" i="1" s="1"/>
  <c r="E74" i="1"/>
  <c r="F74" i="1" s="1"/>
  <c r="G74" i="1" s="1"/>
  <c r="E75" i="1"/>
  <c r="F75" i="1" s="1"/>
  <c r="G75" i="1" s="1"/>
  <c r="E76" i="1"/>
  <c r="F76" i="1" s="1"/>
  <c r="G76" i="1" s="1"/>
  <c r="E77" i="1"/>
  <c r="F77" i="1" s="1"/>
  <c r="G77" i="1" s="1"/>
  <c r="E78" i="1"/>
  <c r="F78" i="1" s="1"/>
  <c r="G78" i="1" s="1"/>
  <c r="E79" i="1"/>
  <c r="F79" i="1" s="1"/>
  <c r="G79" i="1" s="1"/>
  <c r="E80" i="1"/>
  <c r="F80" i="1" s="1"/>
  <c r="G80" i="1" s="1"/>
  <c r="E81" i="1"/>
  <c r="F81" i="1" s="1"/>
  <c r="G81" i="1" s="1"/>
  <c r="E82" i="1"/>
  <c r="F82" i="1" s="1"/>
  <c r="G82" i="1" s="1"/>
  <c r="E83" i="1"/>
  <c r="F83" i="1" s="1"/>
  <c r="G83" i="1" s="1"/>
  <c r="E84" i="1"/>
  <c r="F84" i="1" s="1"/>
  <c r="G84" i="1" s="1"/>
  <c r="E85" i="1"/>
  <c r="F85" i="1" s="1"/>
  <c r="G85" i="1" s="1"/>
  <c r="E86" i="1"/>
  <c r="F86" i="1" s="1"/>
  <c r="G86" i="1" s="1"/>
  <c r="E87" i="1"/>
  <c r="F87" i="1" s="1"/>
  <c r="G87" i="1" s="1"/>
  <c r="E88" i="1"/>
  <c r="F88" i="1" s="1"/>
  <c r="G88" i="1" s="1"/>
  <c r="E89" i="1"/>
  <c r="F89" i="1" s="1"/>
  <c r="G89" i="1" s="1"/>
  <c r="E90" i="1"/>
  <c r="F90" i="1" s="1"/>
  <c r="G90" i="1" s="1"/>
  <c r="E91" i="1"/>
  <c r="F91" i="1" s="1"/>
  <c r="G91" i="1" s="1"/>
  <c r="E92" i="1"/>
  <c r="F92" i="1" s="1"/>
  <c r="G92" i="1" s="1"/>
  <c r="E93" i="1"/>
  <c r="F93" i="1" s="1"/>
  <c r="G93" i="1" s="1"/>
  <c r="E94" i="1"/>
  <c r="F94" i="1" s="1"/>
  <c r="G94" i="1" s="1"/>
  <c r="E95" i="1"/>
  <c r="F95" i="1" s="1"/>
  <c r="G95" i="1" s="1"/>
  <c r="E96" i="1"/>
  <c r="F96" i="1" s="1"/>
  <c r="G96" i="1" s="1"/>
  <c r="E97" i="1"/>
  <c r="F97" i="1" s="1"/>
  <c r="G97" i="1" s="1"/>
  <c r="E98" i="1"/>
  <c r="F98" i="1" s="1"/>
  <c r="G98" i="1" s="1"/>
  <c r="E99" i="1"/>
  <c r="F99" i="1" s="1"/>
  <c r="G99" i="1" s="1"/>
  <c r="E100" i="1"/>
  <c r="F100" i="1" s="1"/>
  <c r="G100" i="1" s="1"/>
  <c r="E101" i="1"/>
  <c r="F101" i="1" s="1"/>
  <c r="G101" i="1" s="1"/>
  <c r="E102" i="1"/>
  <c r="F102" i="1" s="1"/>
  <c r="G102" i="1" s="1"/>
  <c r="E103" i="1"/>
  <c r="F103" i="1" s="1"/>
  <c r="G103" i="1" s="1"/>
  <c r="E104" i="1"/>
  <c r="F104" i="1" s="1"/>
  <c r="G104" i="1" s="1"/>
  <c r="E105" i="1"/>
  <c r="F105" i="1" s="1"/>
  <c r="G105" i="1" s="1"/>
  <c r="E106" i="1"/>
  <c r="F106" i="1" s="1"/>
  <c r="G106" i="1" s="1"/>
  <c r="E107" i="1"/>
  <c r="F107" i="1" s="1"/>
  <c r="G107" i="1" s="1"/>
  <c r="E108" i="1"/>
  <c r="F108" i="1" s="1"/>
  <c r="G108" i="1" s="1"/>
  <c r="E109" i="1"/>
  <c r="F109" i="1" s="1"/>
  <c r="G109" i="1" s="1"/>
  <c r="E110" i="1"/>
  <c r="F110" i="1" s="1"/>
  <c r="G110" i="1" s="1"/>
  <c r="E111" i="1"/>
  <c r="F111" i="1" s="1"/>
  <c r="G111" i="1" s="1"/>
  <c r="E112" i="1"/>
  <c r="F112" i="1" s="1"/>
  <c r="G112" i="1" s="1"/>
  <c r="E113" i="1"/>
  <c r="F113" i="1" s="1"/>
  <c r="G113" i="1" s="1"/>
  <c r="E114" i="1"/>
  <c r="F114" i="1" s="1"/>
  <c r="G114" i="1" s="1"/>
  <c r="E115" i="1"/>
  <c r="F115" i="1" s="1"/>
  <c r="G115" i="1" s="1"/>
  <c r="E116" i="1"/>
  <c r="F116" i="1" s="1"/>
  <c r="G116" i="1" s="1"/>
  <c r="E117" i="1"/>
  <c r="F117" i="1" s="1"/>
  <c r="G117" i="1" s="1"/>
  <c r="E118" i="1"/>
  <c r="F118" i="1" s="1"/>
  <c r="G118" i="1" s="1"/>
  <c r="E119" i="1"/>
  <c r="F119" i="1" s="1"/>
  <c r="G119" i="1" s="1"/>
  <c r="E120" i="1"/>
  <c r="F120" i="1" s="1"/>
  <c r="G120" i="1" s="1"/>
  <c r="E121" i="1"/>
  <c r="F121" i="1" s="1"/>
  <c r="G121" i="1" s="1"/>
  <c r="E122" i="1"/>
  <c r="F122" i="1" s="1"/>
  <c r="G122" i="1" s="1"/>
  <c r="E123" i="1"/>
  <c r="F123" i="1" s="1"/>
  <c r="G123" i="1" s="1"/>
  <c r="E124" i="1"/>
  <c r="F124" i="1" s="1"/>
  <c r="G124" i="1" s="1"/>
  <c r="E125" i="1"/>
  <c r="F125" i="1" s="1"/>
  <c r="G125" i="1" s="1"/>
  <c r="E126" i="1"/>
  <c r="F126" i="1" s="1"/>
  <c r="G126" i="1" s="1"/>
  <c r="E127" i="1"/>
  <c r="F127" i="1" s="1"/>
  <c r="G127" i="1" s="1"/>
  <c r="E128" i="1"/>
  <c r="F128" i="1" s="1"/>
  <c r="G128" i="1" s="1"/>
  <c r="E129" i="1"/>
  <c r="F129" i="1" s="1"/>
  <c r="G129" i="1" s="1"/>
  <c r="E130" i="1"/>
  <c r="F130" i="1" s="1"/>
  <c r="G130" i="1" s="1"/>
  <c r="E131" i="1"/>
  <c r="F131" i="1" s="1"/>
  <c r="G131" i="1" s="1"/>
  <c r="E132" i="1"/>
  <c r="F132" i="1" s="1"/>
  <c r="G132" i="1" s="1"/>
  <c r="E133" i="1"/>
  <c r="F133" i="1" s="1"/>
  <c r="G133" i="1" s="1"/>
  <c r="E134" i="1"/>
  <c r="F134" i="1" s="1"/>
  <c r="G134" i="1" s="1"/>
  <c r="E135" i="1"/>
  <c r="F135" i="1" s="1"/>
  <c r="G135" i="1" s="1"/>
  <c r="E136" i="1"/>
  <c r="F136" i="1" s="1"/>
  <c r="G136" i="1" s="1"/>
  <c r="E137" i="1"/>
  <c r="F137" i="1" s="1"/>
  <c r="G137" i="1" s="1"/>
  <c r="E138" i="1"/>
  <c r="F138" i="1" s="1"/>
  <c r="G138" i="1" s="1"/>
  <c r="E139" i="1"/>
  <c r="F139" i="1" s="1"/>
  <c r="G139" i="1" s="1"/>
  <c r="E140" i="1"/>
  <c r="F140" i="1" s="1"/>
  <c r="G140" i="1" s="1"/>
  <c r="E141" i="1"/>
  <c r="F141" i="1" s="1"/>
  <c r="G141" i="1" s="1"/>
  <c r="E142" i="1"/>
  <c r="F142" i="1" s="1"/>
  <c r="G142" i="1" s="1"/>
  <c r="E143" i="1"/>
  <c r="F143" i="1" s="1"/>
  <c r="G143" i="1" s="1"/>
  <c r="E144" i="1"/>
  <c r="F144" i="1" s="1"/>
  <c r="G144" i="1" s="1"/>
  <c r="E145" i="1"/>
  <c r="F145" i="1" s="1"/>
  <c r="G145" i="1" s="1"/>
  <c r="E146" i="1"/>
  <c r="F146" i="1" s="1"/>
  <c r="G146" i="1" s="1"/>
  <c r="E147" i="1"/>
  <c r="F147" i="1" s="1"/>
  <c r="G147" i="1" s="1"/>
  <c r="E148" i="1"/>
  <c r="F148" i="1" s="1"/>
  <c r="G148" i="1" s="1"/>
  <c r="M163" i="1"/>
  <c r="N163" i="1" s="1"/>
  <c r="O163" i="1" s="1"/>
  <c r="M81" i="1"/>
  <c r="N81" i="1" s="1"/>
  <c r="O81" i="1" s="1"/>
  <c r="M101" i="1"/>
  <c r="N101" i="1" s="1"/>
  <c r="O101" i="1" s="1"/>
  <c r="M106" i="1"/>
  <c r="N106" i="1" s="1"/>
  <c r="O106" i="1" s="1"/>
  <c r="L9" i="1"/>
  <c r="D11" i="1" l="1"/>
  <c r="F3" i="2" s="1"/>
  <c r="G3" i="2" s="1"/>
  <c r="L11" i="1"/>
  <c r="F4" i="2" s="1"/>
  <c r="G4" i="2" s="1"/>
  <c r="T11" i="1"/>
  <c r="F5" i="2" s="1"/>
  <c r="G5" i="2" s="1"/>
</calcChain>
</file>

<file path=xl/sharedStrings.xml><?xml version="1.0" encoding="utf-8"?>
<sst xmlns="http://schemas.openxmlformats.org/spreadsheetml/2006/main" count="85" uniqueCount="36">
  <si>
    <t>SR No.</t>
  </si>
  <si>
    <t>BH ID</t>
  </si>
  <si>
    <t>Depth (m)</t>
  </si>
  <si>
    <t>Trial</t>
  </si>
  <si>
    <t>Max Cell Pressure (kg/cm2)</t>
  </si>
  <si>
    <t>Max Vertical Stress (kg/cm2)</t>
  </si>
  <si>
    <t xml:space="preserve">Max Deviatoric Stress (kg/cm2) </t>
  </si>
  <si>
    <t>Cohesion (kg/cm2)</t>
  </si>
  <si>
    <t>Angle of Internal Friction (ɸ)</t>
  </si>
  <si>
    <t>-</t>
  </si>
  <si>
    <t xml:space="preserve"> (σ3 max)</t>
  </si>
  <si>
    <t>(σ1 max)</t>
  </si>
  <si>
    <t>(σd max)</t>
  </si>
  <si>
    <t>©</t>
  </si>
  <si>
    <t>(º)</t>
  </si>
  <si>
    <t>Depth</t>
  </si>
  <si>
    <t>m</t>
  </si>
  <si>
    <t>Diameter of Specimen</t>
  </si>
  <si>
    <t>cm</t>
  </si>
  <si>
    <t>Initial Area of Specimen (A0)</t>
  </si>
  <si>
    <t>cm2</t>
  </si>
  <si>
    <t>Initial Height of Specimen (A0)</t>
  </si>
  <si>
    <t>Bulk Density of Soil</t>
  </si>
  <si>
    <t>Sample Weight Taken</t>
  </si>
  <si>
    <t>gm</t>
  </si>
  <si>
    <t>Cell Pressure (σ3)</t>
  </si>
  <si>
    <t>Max Vertical Stress (σ1)</t>
  </si>
  <si>
    <t xml:space="preserve">Dial Reading (cm) </t>
  </si>
  <si>
    <t>Axial Load  (kg)</t>
  </si>
  <si>
    <t>Axial Strain, ε (%)</t>
  </si>
  <si>
    <t>Average Cross-Section Area, A (cm2)</t>
  </si>
  <si>
    <t xml:space="preserve">Deviator Stress   (σ1 - σ3) 
kg/cm2 </t>
  </si>
  <si>
    <t xml:space="preserve">Vertical Stress   (σ1) 
kg/cm2 </t>
  </si>
  <si>
    <r>
      <t>gm/cm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</si>
  <si>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kg/cm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</si>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</sst>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0" fillId="0" borderId="3" xfId="0" applyBorder="1"/>
    <xf numFmtId="0" fontId="0" fillId="0" borderId="2" xfId="0" applyBorder="1"/>
    <xf numFmtId="2" fontId="0" fillId="0" borderId="1" xfId="0" applyNumberFormat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c:rich>
      </c:tx>
      <c:layout>
        <c:manualLayout>
          <c:xMode val="edge"/>
          <c:yMode val="edge"/>
          <c:x val="0.35811616679334002"/>
          <c:y val="2.197524040517498E-2"/>
        </c:manualLayout>
      </c:layout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Axial Load (At Cell Pressure of 0.50 kg/cm2</c:v>
          </c:tx>
          <c:spPr>
            <a:ln>
              <a:prstDash val="solid"/>
            </a:ln>
          </c:spPr>
          <c:marker>
            <c:symbol val="none"/>
          </c:marker>
          <c:xVal>
            <c:numRef>
              <c:f>Input!$B$14:$B$169</c:f>
              <c:numCache>
                <c:formatCode>0.0000</c:formatCode>
                <c:ptCount val="156"/>
              </c:numCache>
            </c:numRef>
          </c:xVal>
          <c:yVal>
            <c:numRef>
              <c:f>Input!$C$14:$C$169</c:f>
              <c:numCache>
                <c:formatCode>0.0000</c:formatCode>
                <c:ptCount val="15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80-4EE8-A911-1C7E6113496A}"/>
            </c:ext>
          </c:extLst>
        </c:ser>
        <c:ser>
          <c:idx val="1"/>
          <c:order val="1"/>
          <c:tx>
            <c:v>Axial Load (At Cell Pressure of 1.00 kg/cm2</c:v>
          </c:tx>
          <c:spPr>
            <a:ln>
              <a:prstDash val="solid"/>
            </a:ln>
          </c:spPr>
          <c:marker>
            <c:symbol val="none"/>
          </c:marker>
          <c:xVal>
            <c:numRef>
              <c:f>Input!$J$14:$J$169</c:f>
              <c:numCache>
                <c:formatCode>0.000</c:formatCode>
                <c:ptCount val="156"/>
              </c:numCache>
            </c:numRef>
          </c:xVal>
          <c:yVal>
            <c:numRef>
              <c:f>Input!$K$14:$K$169</c:f>
              <c:numCache>
                <c:formatCode>0.000</c:formatCode>
                <c:ptCount val="15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80-4EE8-A911-1C7E6113496A}"/>
            </c:ext>
          </c:extLst>
        </c:ser>
        <c:ser>
          <c:idx val="2"/>
          <c:order val="2"/>
          <c:tx>
            <c:v>Axial Load (At Cell Pressure of 1.50 kg/cm2</c:v>
          </c:tx>
          <c:spPr>
            <a:ln>
              <a:prstDash val="solid"/>
            </a:ln>
          </c:spPr>
          <c:marker>
            <c:symbol val="none"/>
          </c:marker>
          <c:xVal>
            <c:numRef>
              <c:f>Input!$R$14:$R$169</c:f>
              <c:numCache>
                <c:formatCode>0.0000</c:formatCode>
                <c:ptCount val="156"/>
              </c:numCache>
            </c:numRef>
          </c:xVal>
          <c:yVal>
            <c:numRef>
              <c:f>Input!$S$14:$S$169</c:f>
              <c:numCache>
                <c:formatCode>0.0000</c:formatCode>
                <c:ptCount val="15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A80-4EE8-A911-1C7E61134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65536"/>
        <c:axId val="38467456"/>
      </c:scatterChart>
      <c:valAx>
        <c:axId val="3846553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45200954087050249"/>
              <c:y val="0.92694307844196777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7456"/>
        <c:crosses val="autoZero"/>
        <c:crossBetween val="midCat"/>
      </c:valAx>
      <c:valAx>
        <c:axId val="384674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> (kg)</a:t>
                </a:r>
                <a:endParaRPr lang="en-US" b="1"/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55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> STRESS Vs STRAIN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xVal>
            <c:numRef>
              <c:f>Input!$D$14:$D$169</c:f>
              <c:numCache>
                <c:formatCode>0.00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</c:numCache>
            </c:numRef>
          </c:xVal>
          <c:yVal>
            <c:numRef>
              <c:f>Input!$F$14:$F$169</c:f>
              <c:numCache>
                <c:formatCode>0.00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F7-457E-AC6B-79013F4DD755}"/>
            </c:ext>
          </c:extLst>
        </c:ser>
        <c:ser>
          <c:idx val="1"/>
          <c:order val="1"/>
          <c:spPr>
            <a:ln>
              <a:prstDash val="solid"/>
            </a:ln>
          </c:spPr>
          <c:marker>
            <c:symbol val="none"/>
          </c:marker>
          <c:xVal>
            <c:numRef>
              <c:f>Input!$L$14:$L$169</c:f>
              <c:numCache>
                <c:formatCode>0.00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xVal>
          <c:yVal>
            <c:numRef>
              <c:f>Input!$N$14:$N$169</c:f>
              <c:numCache>
                <c:formatCode>0.00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F7-457E-AC6B-79013F4DD755}"/>
            </c:ext>
          </c:extLst>
        </c:ser>
        <c:ser>
          <c:idx val="2"/>
          <c:order val="2"/>
          <c:spPr>
            <a:ln>
              <a:prstDash val="solid"/>
            </a:ln>
          </c:spPr>
          <c:marker>
            <c:symbol val="none"/>
          </c:marker>
          <c:xVal>
            <c:numRef>
              <c:f>Input!$T$14:$T$169</c:f>
              <c:numCache>
                <c:formatCode>0.00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</c:numCache>
            </c:numRef>
          </c:xVal>
          <c:yVal>
            <c:numRef>
              <c:f>Input!$V$14:$V$169</c:f>
              <c:numCache>
                <c:formatCode>0.00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F7-457E-AC6B-79013F4DD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227584"/>
        <c:axId val="128258048"/>
      </c:scatterChart>
      <c:valAx>
        <c:axId val="12822758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 (%)</a:t>
                </a:r>
                <a:endParaRPr lang="en-IN"/>
              </a:p>
            </c:rich>
          </c:tx>
          <c:overlay val="0"/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58048"/>
        <c:crossesAt val="0"/>
        <c:crossBetween val="midCat"/>
      </c:valAx>
      <c:valAx>
        <c:axId val="1282580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27584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c:rich>
      </c:tx>
      <c:layout>
        <c:manualLayout>
          <c:xMode val="edge"/>
          <c:yMode val="edge"/>
          <c:x val="0.41165905368230388"/>
          <c:y val="3.470063118856015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7800067322646456E-2"/>
          <c:y val="0.10603529327326729"/>
          <c:w val="0.54442796176359209"/>
          <c:h val="0.76142954888637226"/>
        </c:manualLayout>
      </c:layout>
      <c:scatterChart>
        <c:scatterStyle val="smoothMarker"/>
        <c:varyColors val="0"/>
        <c:ser>
          <c:idx val="0"/>
          <c:order val="0"/>
          <c:tx>
            <c:v>Trial_01 (Cell Pressure_0.50 kg/cm2)</c:v>
          </c:tx>
          <c:marker>
            <c:symbol val="none"/>
          </c:marker>
          <c:xVal>
            <c:numLit>
              <c:formatCode>General</c:formatCode>
              <c:ptCount val="100"/>
              <c:pt idx="0">
                <c:v>1.7339249217271862</c:v>
              </c:pt>
              <c:pt idx="1">
                <c:v>1.7336143072769754</c:v>
              </c:pt>
              <c:pt idx="2">
                <c:v>1.7326827766887654</c:v>
              </c:pt>
              <c:pt idx="3">
                <c:v>1.7311312679348954</c:v>
              </c:pt>
              <c:pt idx="4">
                <c:v>1.7289613432531654</c:v>
              </c:pt>
              <c:pt idx="5">
                <c:v>1.7261751875737927</c:v>
              </c:pt>
              <c:pt idx="6">
                <c:v>1.7227756063193747</c:v>
              </c:pt>
              <c:pt idx="7">
                <c:v>1.7187660225800638</c:v>
              </c:pt>
              <c:pt idx="8">
                <c:v>1.7141504736668083</c:v>
              </c:pt>
              <c:pt idx="9">
                <c:v>1.7089336070461199</c:v>
              </c:pt>
              <c:pt idx="10">
                <c:v>1.7031206756604711</c:v>
              </c:pt>
              <c:pt idx="11">
                <c:v>1.6967175326390262</c:v>
              </c:pt>
              <c:pt idx="12">
                <c:v>1.6897306254040365</c:v>
              </c:pt>
              <c:pt idx="13">
                <c:v>1.6821669891788329</c:v>
              </c:pt>
              <c:pt idx="14">
                <c:v>1.6740342399039523</c:v>
              </c:pt>
              <c:pt idx="15">
                <c:v>1.6653405665685306</c:v>
              </c:pt>
              <c:pt idx="16">
                <c:v>1.6560947229646856</c:v>
              </c:pt>
              <c:pt idx="17">
                <c:v>1.6463060188731897</c:v>
              </c:pt>
              <c:pt idx="18">
                <c:v>1.6359843106893102</c:v>
              </c:pt>
              <c:pt idx="19">
                <c:v>1.6251399914982545</c:v>
              </c:pt>
              <c:pt idx="20">
                <c:v>1.6137839806102146</c:v>
              </c:pt>
              <c:pt idx="21">
                <c:v>1.6019277125655464</c:v>
              </c:pt>
              <c:pt idx="22">
                <c:v>1.5895831256211588</c:v>
              </c:pt>
              <c:pt idx="23">
                <c:v>1.5767626497296983</c:v>
              </c:pt>
              <c:pt idx="24">
                <c:v>1.563479194023643</c:v>
              </c:pt>
              <c:pt idx="25">
                <c:v>1.5497461338168979</c:v>
              </c:pt>
              <c:pt idx="26">
                <c:v>1.5355772971369901</c:v>
              </c:pt>
              <c:pt idx="27">
                <c:v>1.5209869508014151</c:v>
              </c:pt>
              <c:pt idx="28">
                <c:v>1.5059897860521625</c:v>
              </c:pt>
              <c:pt idx="29">
                <c:v>1.4906009037628791</c:v>
              </c:pt>
              <c:pt idx="30">
                <c:v>1.4748357992335706</c:v>
              </c:pt>
              <c:pt idx="31">
                <c:v>1.4587103465881475</c:v>
              </c:pt>
              <c:pt idx="32">
                <c:v>1.4422407827905277</c:v>
              </c:pt>
              <c:pt idx="33">
                <c:v>1.4254436912953901</c:v>
              </c:pt>
              <c:pt idx="34">
                <c:v>1.4083359853500419</c:v>
              </c:pt>
              <c:pt idx="35">
                <c:v>1.3909348909642121</c:v>
              </c:pt>
              <c:pt idx="36">
                <c:v>1.373257929564919</c:v>
              </c:pt>
              <c:pt idx="37">
                <c:v>1.3553229003538805</c:v>
              </c:pt>
              <c:pt idx="38">
                <c:v>1.3371478623852244</c:v>
              </c:pt>
              <c:pt idx="39">
                <c:v>1.3187511163815535</c:v>
              </c:pt>
              <c:pt idx="40">
                <c:v>1.3001511863066679</c:v>
              </c:pt>
              <c:pt idx="41">
                <c:v>1.2813668007135044</c:v>
              </c:pt>
              <c:pt idx="42">
                <c:v>1.2624168738860713</c:v>
              </c:pt>
              <c:pt idx="43">
                <c:v>1.243320486794367</c:v>
              </c:pt>
              <c:pt idx="44">
                <c:v>1.2240968678814617</c:v>
              </c:pt>
              <c:pt idx="45">
                <c:v>1.2047653737020843</c:v>
              </c:pt>
              <c:pt idx="46">
                <c:v>1.1853454694322125</c:v>
              </c:pt>
              <c:pt idx="47">
                <c:v>1.1658567092692917</c:v>
              </c:pt>
              <c:pt idx="48">
                <c:v>1.1463187167428144</c:v>
              </c:pt>
              <c:pt idx="49">
                <c:v>1.1267511649550899</c:v>
              </c:pt>
              <c:pt idx="50">
                <c:v>1.1071737567720983</c:v>
              </c:pt>
              <c:pt idx="51">
                <c:v>1.0876062049843738</c:v>
              </c:pt>
              <c:pt idx="52">
                <c:v>1.0680682124578964</c:v>
              </c:pt>
              <c:pt idx="53">
                <c:v>1.0485794522949756</c:v>
              </c:pt>
              <c:pt idx="54">
                <c:v>1.0291595480251039</c:v>
              </c:pt>
              <c:pt idx="55">
                <c:v>1.0098280538457265</c:v>
              </c:pt>
              <c:pt idx="56">
                <c:v>0.99060443493282113</c:v>
              </c:pt>
              <c:pt idx="57">
                <c:v>0.97150804784111688</c:v>
              </c:pt>
              <c:pt idx="58">
                <c:v>0.95255812101368365</c:v>
              </c:pt>
              <c:pt idx="59">
                <c:v>0.93377373542052</c:v>
              </c:pt>
              <c:pt idx="60">
                <c:v>0.91517380534563442</c:v>
              </c:pt>
              <c:pt idx="61">
                <c:v>0.8967770593419635</c:v>
              </c:pt>
              <c:pt idx="62">
                <c:v>0.87860202137330745</c:v>
              </c:pt>
              <c:pt idx="63">
                <c:v>0.86066699216226894</c:v>
              </c:pt>
              <c:pt idx="64">
                <c:v>0.84299003076297607</c:v>
              </c:pt>
              <c:pt idx="65">
                <c:v>0.82558893637714614</c:v>
              </c:pt>
              <c:pt idx="66">
                <c:v>0.80848123043179765</c:v>
              </c:pt>
              <c:pt idx="67">
                <c:v>0.79168413893666012</c:v>
              </c:pt>
              <c:pt idx="68">
                <c:v>0.77521457513904024</c:v>
              </c:pt>
              <c:pt idx="69">
                <c:v>0.75908912249361726</c:v>
              </c:pt>
              <c:pt idx="70">
                <c:v>0.7433240179643088</c:v>
              </c:pt>
              <c:pt idx="71">
                <c:v>0.72793513567502521</c:v>
              </c:pt>
              <c:pt idx="72">
                <c:v>0.71293797092577249</c:v>
              </c:pt>
              <c:pt idx="73">
                <c:v>0.6983476245901975</c:v>
              </c:pt>
              <c:pt idx="74">
                <c:v>0.68417878791028963</c:v>
              </c:pt>
              <c:pt idx="75">
                <c:v>0.67044572770354471</c:v>
              </c:pt>
              <c:pt idx="76">
                <c:v>0.65716227199748911</c:v>
              </c:pt>
              <c:pt idx="77">
                <c:v>0.64434179610602871</c:v>
              </c:pt>
              <c:pt idx="78">
                <c:v>0.63199720916164082</c:v>
              </c:pt>
              <c:pt idx="79">
                <c:v>0.62014094111697282</c:v>
              </c:pt>
              <c:pt idx="80">
                <c:v>0.60878493022893276</c:v>
              </c:pt>
              <c:pt idx="81">
                <c:v>0.59794061103787699</c:v>
              </c:pt>
              <c:pt idx="82">
                <c:v>0.58761890285399743</c:v>
              </c:pt>
              <c:pt idx="83">
                <c:v>0.57783019876250163</c:v>
              </c:pt>
              <c:pt idx="84">
                <c:v>0.56858435515865657</c:v>
              </c:pt>
              <c:pt idx="85">
                <c:v>0.55989068182323487</c:v>
              </c:pt>
              <c:pt idx="86">
                <c:v>0.55175793254835392</c:v>
              </c:pt>
              <c:pt idx="87">
                <c:v>0.54419429632315031</c:v>
              </c:pt>
              <c:pt idx="88">
                <c:v>0.53720738908816057</c:v>
              </c:pt>
              <c:pt idx="89">
                <c:v>0.53080424606671561</c:v>
              </c:pt>
              <c:pt idx="90">
                <c:v>0.52499131468106686</c:v>
              </c:pt>
              <c:pt idx="91">
                <c:v>0.51977444806037854</c:v>
              </c:pt>
              <c:pt idx="92">
                <c:v>0.51515889914712276</c:v>
              </c:pt>
              <c:pt idx="93">
                <c:v>0.51114931540781194</c:v>
              </c:pt>
              <c:pt idx="94">
                <c:v>0.50774973415339375</c:v>
              </c:pt>
              <c:pt idx="95">
                <c:v>0.50496357847402107</c:v>
              </c:pt>
              <c:pt idx="96">
                <c:v>0.50279365379229091</c:v>
              </c:pt>
              <c:pt idx="97">
                <c:v>0.50124214503842102</c:v>
              </c:pt>
              <c:pt idx="98">
                <c:v>0.50031061445021074</c:v>
              </c:pt>
              <c:pt idx="99">
                <c:v>0.50000000000000011</c:v>
              </c:pt>
            </c:numLit>
          </c:xVal>
          <c:yVal>
            <c:numLit>
              <c:formatCode>General</c:formatCode>
              <c:ptCount val="100"/>
              <c:pt idx="0">
                <c:v>0</c:v>
              </c:pt>
              <c:pt idx="1">
                <c:v>1.957494392908422E-2</c:v>
              </c:pt>
              <c:pt idx="2">
                <c:v>3.91301775489288E-2</c:v>
              </c:pt>
              <c:pt idx="3">
                <c:v>5.864601039690473E-2</c:v>
              </c:pt>
              <c:pt idx="4">
                <c:v>7.8102791683620401E-2</c:v>
              </c:pt>
              <c:pt idx="5">
                <c:v>9.7480930079600833E-2</c:v>
              </c:pt>
              <c:pt idx="6">
                <c:v>0.11676091344209572</c:v>
              </c:pt>
              <c:pt idx="7">
                <c:v>0.13592332846215324</c:v>
              </c:pt>
              <c:pt idx="8">
                <c:v>0.15494888021217657</c:v>
              </c:pt>
              <c:pt idx="9">
                <c:v>0.17381841157428041</c:v>
              </c:pt>
              <c:pt idx="10">
                <c:v>0.19251292252988472</c:v>
              </c:pt>
              <c:pt idx="11">
                <c:v>0.21101358929112313</c:v>
              </c:pt>
              <c:pt idx="12">
                <c:v>0.22930178325480144</c:v>
              </c:pt>
              <c:pt idx="13">
                <c:v>0.24735908975982202</c:v>
              </c:pt>
              <c:pt idx="14">
                <c:v>0.26516732662918668</c:v>
              </c:pt>
              <c:pt idx="15">
                <c:v>0.28270856247790749</c:v>
              </c:pt>
              <c:pt idx="16">
                <c:v>0.29996513476839176</c:v>
              </c:pt>
              <c:pt idx="17">
                <c:v>0.31691966759511991</c:v>
              </c:pt>
              <c:pt idx="18">
                <c:v>0.33355508918070975</c:v>
              </c:pt>
              <c:pt idx="19">
                <c:v>0.34985464906574876</c:v>
              </c:pt>
              <c:pt idx="20">
                <c:v>0.36580193497508717</c:v>
              </c:pt>
              <c:pt idx="21">
                <c:v>0.38138088934360809</c:v>
              </c:pt>
              <c:pt idx="22">
                <c:v>0.39657582548483367</c:v>
              </c:pt>
              <c:pt idx="23">
                <c:v>0.41137144338608922</c:v>
              </c:pt>
              <c:pt idx="24">
                <c:v>0.42575284511431905</c:v>
              </c:pt>
              <c:pt idx="25">
                <c:v>0.43970554981704213</c:v>
              </c:pt>
              <c:pt idx="26">
                <c:v>0.4532155083033429</c:v>
              </c:pt>
              <c:pt idx="27">
                <c:v>0.46626911719021574</c:v>
              </c:pt>
              <c:pt idx="28">
                <c:v>0.47885323260001872</c:v>
              </c:pt>
              <c:pt idx="29">
                <c:v>0.49095518339524385</c:v>
              </c:pt>
              <c:pt idx="30">
                <c:v>0.50256278393727893</c:v>
              </c:pt>
              <c:pt idx="31">
                <c:v>0.51366434635631208</c:v>
              </c:pt>
              <c:pt idx="32">
                <c:v>0.52424869232002669</c:v>
              </c:pt>
              <c:pt idx="33">
                <c:v>0.53430516428923369</c:v>
              </c:pt>
              <c:pt idx="34">
                <c:v>0.5438236362491109</c:v>
              </c:pt>
              <c:pt idx="35">
                <c:v>0.55279452390524086</c:v>
              </c:pt>
              <c:pt idx="36">
                <c:v>0.56120879433418369</c:v>
              </c:pt>
              <c:pt idx="37">
                <c:v>0.56905797507886446</c:v>
              </c:pt>
              <c:pt idx="38">
                <c:v>0.57633416267961979</c:v>
              </c:pt>
              <c:pt idx="39">
                <c:v>0.58303003063231174</c:v>
              </c:pt>
              <c:pt idx="40">
                <c:v>0.58913883676549639</c:v>
              </c:pt>
              <c:pt idx="41">
                <c:v>0.59465443002921903</c:v>
              </c:pt>
              <c:pt idx="42">
                <c:v>0.59957125668859979</c:v>
              </c:pt>
              <c:pt idx="43">
                <c:v>0.60388436591597427</c:v>
              </c:pt>
              <c:pt idx="44">
                <c:v>0.60758941477595718</c:v>
              </c:pt>
              <c:pt idx="45">
                <c:v>0.61068267259840991</c:v>
              </c:pt>
              <c:pt idx="46">
                <c:v>0.61316102473490974</c:v>
              </c:pt>
              <c:pt idx="47">
                <c:v>0.61502197569493589</c:v>
              </c:pt>
              <c:pt idx="48">
                <c:v>0.61626365165861774</c:v>
              </c:pt>
              <c:pt idx="49">
                <c:v>0.61688480236351229</c:v>
              </c:pt>
              <c:pt idx="50">
                <c:v>0.61688480236351229</c:v>
              </c:pt>
              <c:pt idx="51">
                <c:v>0.61626365165861785</c:v>
              </c:pt>
              <c:pt idx="52">
                <c:v>0.61502197569493611</c:v>
              </c:pt>
              <c:pt idx="53">
                <c:v>0.61316102473490997</c:v>
              </c:pt>
              <c:pt idx="54">
                <c:v>0.61068267259841025</c:v>
              </c:pt>
              <c:pt idx="55">
                <c:v>0.60758941477595751</c:v>
              </c:pt>
              <c:pt idx="56">
                <c:v>0.60388436591597472</c:v>
              </c:pt>
              <c:pt idx="57">
                <c:v>0.59957125668860023</c:v>
              </c:pt>
              <c:pt idx="58">
                <c:v>0.59465443002921958</c:v>
              </c:pt>
              <c:pt idx="59">
                <c:v>0.58913883676549694</c:v>
              </c:pt>
              <c:pt idx="60">
                <c:v>0.5830300306323124</c:v>
              </c:pt>
              <c:pt idx="61">
                <c:v>0.57633416267962045</c:v>
              </c:pt>
              <c:pt idx="62">
                <c:v>0.56905797507886513</c:v>
              </c:pt>
              <c:pt idx="63">
                <c:v>0.56120879433418458</c:v>
              </c:pt>
              <c:pt idx="64">
                <c:v>0.55279452390524186</c:v>
              </c:pt>
              <c:pt idx="65">
                <c:v>0.5438236362491119</c:v>
              </c:pt>
              <c:pt idx="66">
                <c:v>0.53430516428923469</c:v>
              </c:pt>
              <c:pt idx="67">
                <c:v>0.52424869232002769</c:v>
              </c:pt>
              <c:pt idx="68">
                <c:v>0.5136643463563132</c:v>
              </c:pt>
              <c:pt idx="69">
                <c:v>0.50256278393728004</c:v>
              </c:pt>
              <c:pt idx="70">
                <c:v>0.49095518339524519</c:v>
              </c:pt>
              <c:pt idx="71">
                <c:v>0.47885323260001988</c:v>
              </c:pt>
              <c:pt idx="72">
                <c:v>0.46626911719021702</c:v>
              </c:pt>
              <c:pt idx="73">
                <c:v>0.45321550830334423</c:v>
              </c:pt>
              <c:pt idx="74">
                <c:v>0.43970554981704357</c:v>
              </c:pt>
              <c:pt idx="75">
                <c:v>0.42575284511432054</c:v>
              </c:pt>
              <c:pt idx="76">
                <c:v>0.41137144338609066</c:v>
              </c:pt>
              <c:pt idx="77">
                <c:v>0.39657582548483511</c:v>
              </c:pt>
              <c:pt idx="78">
                <c:v>0.38138088934360964</c:v>
              </c:pt>
              <c:pt idx="79">
                <c:v>0.36580193497508889</c:v>
              </c:pt>
              <c:pt idx="80">
                <c:v>0.34985464906575048</c:v>
              </c:pt>
              <c:pt idx="81">
                <c:v>0.33355508918071131</c:v>
              </c:pt>
              <c:pt idx="82">
                <c:v>0.31691966759512158</c:v>
              </c:pt>
              <c:pt idx="83">
                <c:v>0.29996513476839348</c:v>
              </c:pt>
              <c:pt idx="84">
                <c:v>0.28270856247790926</c:v>
              </c:pt>
              <c:pt idx="85">
                <c:v>0.26516732662918857</c:v>
              </c:pt>
              <c:pt idx="86">
                <c:v>0.24735908975982374</c:v>
              </c:pt>
              <c:pt idx="87">
                <c:v>0.22930178325480322</c:v>
              </c:pt>
              <c:pt idx="88">
                <c:v>0.21101358929112499</c:v>
              </c:pt>
              <c:pt idx="89">
                <c:v>0.19251292252988664</c:v>
              </c:pt>
              <c:pt idx="90">
                <c:v>0.17381841157428235</c:v>
              </c:pt>
              <c:pt idx="91">
                <c:v>0.15494888021217862</c:v>
              </c:pt>
              <c:pt idx="92">
                <c:v>0.1359233284621551</c:v>
              </c:pt>
              <c:pt idx="93">
                <c:v>0.11676091344209766</c:v>
              </c:pt>
              <c:pt idx="94">
                <c:v>9.7480930079602818E-2</c:v>
              </c:pt>
              <c:pt idx="95">
                <c:v>7.8102791683622455E-2</c:v>
              </c:pt>
              <c:pt idx="96">
                <c:v>5.8646010396906839E-2</c:v>
              </c:pt>
              <c:pt idx="97">
                <c:v>3.9130177548930695E-2</c:v>
              </c:pt>
              <c:pt idx="98">
                <c:v>1.9574943929086163E-2</c:v>
              </c:pt>
              <c:pt idx="99">
                <c:v>1.9934607125535093E-15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A2F-4105-AC3A-835FC93966D6}"/>
            </c:ext>
          </c:extLst>
        </c:ser>
        <c:ser>
          <c:idx val="1"/>
          <c:order val="1"/>
          <c:tx>
            <c:v>Trial_02 (Cell Pressure_1.00 kg/cm2)</c:v>
          </c:tx>
          <c:marker>
            <c:symbol val="none"/>
          </c:marker>
          <c:xVal>
            <c:numLit>
              <c:formatCode>General</c:formatCode>
              <c:ptCount val="100"/>
              <c:pt idx="0">
                <c:v>2.4726070055315024</c:v>
              </c:pt>
              <c:pt idx="1">
                <c:v>2.4722363079247476</c:v>
              </c:pt>
              <c:pt idx="2">
                <c:v>2.4711245883655502</c:v>
              </c:pt>
              <c:pt idx="3">
                <c:v>2.4692729662612702</c:v>
              </c:pt>
              <c:pt idx="4">
                <c:v>2.4666833060384108</c:v>
              </c:pt>
              <c:pt idx="5">
                <c:v>2.4633582152653011</c:v>
              </c:pt>
              <c:pt idx="6">
                <c:v>2.4593010420264929</c:v>
              </c:pt>
              <c:pt idx="7">
                <c:v>2.4545158715515267</c:v>
              </c:pt>
              <c:pt idx="8">
                <c:v>2.4490075221014487</c:v>
              </c:pt>
              <c:pt idx="9">
                <c:v>2.4427815401172324</c:v>
              </c:pt>
              <c:pt idx="10">
                <c:v>2.4358441946349818</c:v>
              </c:pt>
              <c:pt idx="11">
                <c:v>2.4282024709735444</c:v>
              </c:pt>
              <c:pt idx="12">
                <c:v>2.4198640637008859</c:v>
              </c:pt>
              <c:pt idx="13">
                <c:v>2.4108373688863134</c:v>
              </c:pt>
              <c:pt idx="14">
                <c:v>2.4011314756463449</c:v>
              </c:pt>
              <c:pt idx="15">
                <c:v>2.3907561569927394</c:v>
              </c:pt>
              <c:pt idx="16">
                <c:v>2.3797218599919039</c:v>
              </c:pt>
              <c:pt idx="17">
                <c:v>2.3680396952455798</c:v>
              </c:pt>
              <c:pt idx="18">
                <c:v>2.3557214257034129</c:v>
              </c:pt>
              <c:pt idx="19">
                <c:v>2.3427794548186567</c:v>
              </c:pt>
              <c:pt idx="20">
                <c:v>2.3292268140589485</c:v>
              </c:pt>
              <c:pt idx="21">
                <c:v>2.3150771497847247</c:v>
              </c:pt>
              <c:pt idx="22">
                <c:v>2.3003447095084941</c:v>
              </c:pt>
              <c:pt idx="23">
                <c:v>2.2850443275487997</c:v>
              </c:pt>
              <c:pt idx="24">
                <c:v>2.2691914100933164</c:v>
              </c:pt>
              <c:pt idx="25">
                <c:v>2.252801919686128</c:v>
              </c:pt>
              <c:pt idx="26">
                <c:v>2.2358923591547968</c:v>
              </c:pt>
              <c:pt idx="27">
                <c:v>2.2184797549934157</c:v>
              </c:pt>
              <c:pt idx="28">
                <c:v>2.2005816402183722</c:v>
              </c:pt>
              <c:pt idx="29">
                <c:v>2.1822160367140864</c:v>
              </c:pt>
              <c:pt idx="30">
                <c:v>2.1634014370865016</c:v>
              </c:pt>
              <c:pt idx="31">
                <c:v>2.1441567860425974</c:v>
              </c:pt>
              <c:pt idx="32">
                <c:v>2.1245014613146758</c:v>
              </c:pt>
              <c:pt idx="33">
                <c:v>2.1044552541486272</c:v>
              </c:pt>
              <c:pt idx="34">
                <c:v>2.0840383493758243</c:v>
              </c:pt>
              <c:pt idx="35">
                <c:v>2.0632713050887053</c:v>
              </c:pt>
              <c:pt idx="36">
                <c:v>2.0421750319405212</c:v>
              </c:pt>
              <c:pt idx="37">
                <c:v>2.0207707720900769</c:v>
              </c:pt>
              <c:pt idx="38">
                <c:v>1.9990800778126812</c:v>
              </c:pt>
              <c:pt idx="39">
                <c:v>1.9771247897988298</c:v>
              </c:pt>
              <c:pt idx="40">
                <c:v>1.9549270151624825</c:v>
              </c:pt>
              <c:pt idx="41">
                <c:v>1.932509105181073</c:v>
              </c:pt>
              <c:pt idx="42">
                <c:v>1.9098936327896683</c:v>
              </c:pt>
              <c:pt idx="43">
                <c:v>1.8871033698519346</c:v>
              </c:pt>
              <c:pt idx="44">
                <c:v>1.8641612642308025</c:v>
              </c:pt>
              <c:pt idx="45">
                <c:v>1.8410904166819135</c:v>
              </c:pt>
              <c:pt idx="46">
                <c:v>1.8179140575931172</c:v>
              </c:pt>
              <c:pt idx="47">
                <c:v>1.7946555235934403</c:v>
              </c:pt>
              <c:pt idx="48">
                <c:v>1.771338234055079</c:v>
              </c:pt>
              <c:pt idx="49">
                <c:v>1.7479856675120762</c:v>
              </c:pt>
              <c:pt idx="50">
                <c:v>1.7246213380194286</c:v>
              </c:pt>
              <c:pt idx="51">
                <c:v>1.7012687714764259</c:v>
              </c:pt>
              <c:pt idx="52">
                <c:v>1.6779514819380643</c:v>
              </c:pt>
              <c:pt idx="53">
                <c:v>1.6546929479383876</c:v>
              </c:pt>
              <c:pt idx="54">
                <c:v>1.6315165888495913</c:v>
              </c:pt>
              <c:pt idx="55">
                <c:v>1.6084457413007023</c:v>
              </c:pt>
              <c:pt idx="56">
                <c:v>1.5855036356795702</c:v>
              </c:pt>
              <c:pt idx="57">
                <c:v>1.5627133727418363</c:v>
              </c:pt>
              <c:pt idx="58">
                <c:v>1.5400979003504316</c:v>
              </c:pt>
              <c:pt idx="59">
                <c:v>1.5176799903690221</c:v>
              </c:pt>
              <c:pt idx="60">
                <c:v>1.4954822157326748</c:v>
              </c:pt>
              <c:pt idx="61">
                <c:v>1.4735269277188234</c:v>
              </c:pt>
              <c:pt idx="62">
                <c:v>1.4518362334414274</c:v>
              </c:pt>
              <c:pt idx="63">
                <c:v>1.4304319735909836</c:v>
              </c:pt>
              <c:pt idx="64">
                <c:v>1.4093357004427993</c:v>
              </c:pt>
              <c:pt idx="65">
                <c:v>1.3885686561556805</c:v>
              </c:pt>
              <c:pt idx="66">
                <c:v>1.3681517513828769</c:v>
              </c:pt>
              <c:pt idx="67">
                <c:v>1.3481055442168286</c:v>
              </c:pt>
              <c:pt idx="68">
                <c:v>1.328450219488907</c:v>
              </c:pt>
              <c:pt idx="69">
                <c:v>1.3092055684450028</c:v>
              </c:pt>
              <c:pt idx="70">
                <c:v>1.290390968817418</c:v>
              </c:pt>
              <c:pt idx="71">
                <c:v>1.2720253653131319</c:v>
              </c:pt>
              <c:pt idx="72">
                <c:v>1.2541272505380885</c:v>
              </c:pt>
              <c:pt idx="73">
                <c:v>1.2367146463767074</c:v>
              </c:pt>
              <c:pt idx="74">
                <c:v>1.2198050858453762</c:v>
              </c:pt>
              <c:pt idx="75">
                <c:v>1.2034155954381878</c:v>
              </c:pt>
              <c:pt idx="76">
                <c:v>1.1875626779827042</c:v>
              </c:pt>
              <c:pt idx="77">
                <c:v>1.1722622960230096</c:v>
              </c:pt>
              <c:pt idx="78">
                <c:v>1.157529855746779</c:v>
              </c:pt>
              <c:pt idx="79">
                <c:v>1.1433801914725554</c:v>
              </c:pt>
              <c:pt idx="80">
                <c:v>1.129827550712847</c:v>
              </c:pt>
              <c:pt idx="81">
                <c:v>1.1168855798280906</c:v>
              </c:pt>
              <c:pt idx="82">
                <c:v>1.1045673102859237</c:v>
              </c:pt>
              <c:pt idx="83">
                <c:v>1.0928851455395998</c:v>
              </c:pt>
              <c:pt idx="84">
                <c:v>1.0818508485387641</c:v>
              </c:pt>
              <c:pt idx="85">
                <c:v>1.0714755298851588</c:v>
              </c:pt>
              <c:pt idx="86">
                <c:v>1.0617696366451901</c:v>
              </c:pt>
              <c:pt idx="87">
                <c:v>1.0527429418306173</c:v>
              </c:pt>
              <c:pt idx="88">
                <c:v>1.0444045345579589</c:v>
              </c:pt>
              <c:pt idx="89">
                <c:v>1.0367628108965214</c:v>
              </c:pt>
              <c:pt idx="90">
                <c:v>1.0298254654142709</c:v>
              </c:pt>
              <c:pt idx="91">
                <c:v>1.0235994834300546</c:v>
              </c:pt>
              <c:pt idx="92">
                <c:v>1.0180911339799763</c:v>
              </c:pt>
              <c:pt idx="93">
                <c:v>1.0133059635050097</c:v>
              </c:pt>
              <c:pt idx="94">
                <c:v>1.0092487902662017</c:v>
              </c:pt>
              <c:pt idx="95">
                <c:v>1.0059236994930918</c:v>
              </c:pt>
              <c:pt idx="96">
                <c:v>1.0033340392702326</c:v>
              </c:pt>
              <c:pt idx="97">
                <c:v>1.0014824171659524</c:v>
              </c:pt>
              <c:pt idx="98">
                <c:v>1.000370697606755</c:v>
              </c:pt>
              <c:pt idx="99">
                <c:v>1</c:v>
              </c:pt>
            </c:numLit>
          </c:xVal>
          <c:yVal>
            <c:numLit>
              <c:formatCode>General</c:formatCode>
              <c:ptCount val="100"/>
              <c:pt idx="0">
                <c:v>0</c:v>
              </c:pt>
              <c:pt idx="1">
                <c:v>2.3361388570145997E-2</c:v>
              </c:pt>
              <c:pt idx="2">
                <c:v>4.6699254202261974E-2</c:v>
              </c:pt>
              <c:pt idx="3">
                <c:v>6.9990097643922555E-2</c:v>
              </c:pt>
              <c:pt idx="4">
                <c:v>9.3210466990062218E-2</c:v>
              </c:pt>
              <c:pt idx="5">
                <c:v>0.11633698129705586</c:v>
              </c:pt>
              <c:pt idx="6">
                <c:v>0.13934635412534699</c:v>
              </c:pt>
              <c:pt idx="7">
                <c:v>0.16221541698691855</c:v>
              </c:pt>
              <c:pt idx="8">
                <c:v>0.1849211426739964</c:v>
              </c:pt>
              <c:pt idx="9">
                <c:v>0.20744066844549561</c:v>
              </c:pt>
              <c:pt idx="10">
                <c:v>0.22975131904786264</c:v>
              </c:pt>
              <c:pt idx="11">
                <c:v>0.25183062954713387</c:v>
              </c:pt>
              <c:pt idx="12">
                <c:v>0.27365636794921955</c:v>
              </c:pt>
              <c:pt idx="13">
                <c:v>0.29520655758563741</c:v>
              </c:pt>
              <c:pt idx="14">
                <c:v>0.31645949924215483</c:v>
              </c:pt>
              <c:pt idx="15">
                <c:v>0.33739379300805855</c:v>
              </c:pt>
              <c:pt idx="16">
                <c:v>0.35798835982405031</c:v>
              </c:pt>
              <c:pt idx="17">
                <c:v>0.3782224627070731</c:v>
              </c:pt>
              <c:pt idx="18">
                <c:v>0.39807572763069521</c:v>
              </c:pt>
              <c:pt idx="19">
                <c:v>0.41752816404002779</c:v>
              </c:pt>
              <c:pt idx="20">
                <c:v>0.4365601849805188</c:v>
              </c:pt>
              <c:pt idx="21">
                <c:v>0.4551526268203569</c:v>
              </c:pt>
              <c:pt idx="22">
                <c:v>0.47328676854662299</c:v>
              </c:pt>
              <c:pt idx="23">
                <c:v>0.49094435061576408</c:v>
              </c:pt>
              <c:pt idx="24">
                <c:v>0.50810759333940558</c:v>
              </c:pt>
              <c:pt idx="25">
                <c:v>0.52475921478699084</c:v>
              </c:pt>
              <c:pt idx="26">
                <c:v>0.54088244818721953</c:v>
              </c:pt>
              <c:pt idx="27">
                <c:v>0.55646105881076546</c:v>
              </c:pt>
              <c:pt idx="28">
                <c:v>0.5714793603172732</c:v>
              </c:pt>
              <c:pt idx="29">
                <c:v>0.58592223055017234</c:v>
              </c:pt>
              <c:pt idx="30">
                <c:v>0.59977512676340838</c:v>
              </c:pt>
              <c:pt idx="31">
                <c:v>0.61302410026475407</c:v>
              </c:pt>
              <c:pt idx="32">
                <c:v>0.62565581046096097</c:v>
              </c:pt>
              <c:pt idx="33">
                <c:v>0.6376575382906059</c:v>
              </c:pt>
              <c:pt idx="34">
                <c:v>0.64901719903110699</c:v>
              </c:pt>
              <c:pt idx="35">
                <c:v>0.65972335446701602</c:v>
              </c:pt>
              <c:pt idx="36">
                <c:v>0.66976522440733099</c:v>
              </c:pt>
              <c:pt idx="37">
                <c:v>0.67913269754023475</c:v>
              </c:pt>
              <c:pt idx="38">
                <c:v>0.68781634161432925</c:v>
              </c:pt>
              <c:pt idx="39">
                <c:v>0.69580741293611281</c:v>
              </c:pt>
              <c:pt idx="40">
                <c:v>0.7030978651741383</c:v>
              </c:pt>
              <c:pt idx="41">
                <c:v>0.70968035746098768</c:v>
              </c:pt>
              <c:pt idx="42">
                <c:v>0.71554826178490161</c:v>
              </c:pt>
              <c:pt idx="43">
                <c:v>0.72069566966362708</c:v>
              </c:pt>
              <c:pt idx="44">
                <c:v>0.7251173980937573</c:v>
              </c:pt>
              <c:pt idx="45">
                <c:v>0.72880899476957695</c:v>
              </c:pt>
              <c:pt idx="46">
                <c:v>0.73176674256615681</c:v>
              </c:pt>
              <c:pt idx="47">
                <c:v>0.73398766328218323</c:v>
              </c:pt>
              <c:pt idx="48">
                <c:v>0.73546952063875437</c:v>
              </c:pt>
              <c:pt idx="49">
                <c:v>0.73621082253112413</c:v>
              </c:pt>
              <c:pt idx="50">
                <c:v>0.73621082253112413</c:v>
              </c:pt>
              <c:pt idx="51">
                <c:v>0.73546952063875448</c:v>
              </c:pt>
              <c:pt idx="52">
                <c:v>0.73398766328218334</c:v>
              </c:pt>
              <c:pt idx="53">
                <c:v>0.73176674256615715</c:v>
              </c:pt>
              <c:pt idx="54">
                <c:v>0.72880899476957739</c:v>
              </c:pt>
              <c:pt idx="55">
                <c:v>0.72511739809375775</c:v>
              </c:pt>
              <c:pt idx="56">
                <c:v>0.72069566966362764</c:v>
              </c:pt>
              <c:pt idx="57">
                <c:v>0.71554826178490216</c:v>
              </c:pt>
              <c:pt idx="58">
                <c:v>0.70968035746098823</c:v>
              </c:pt>
              <c:pt idx="59">
                <c:v>0.70309786517413908</c:v>
              </c:pt>
              <c:pt idx="60">
                <c:v>0.69580741293611348</c:v>
              </c:pt>
              <c:pt idx="61">
                <c:v>0.68781634161433003</c:v>
              </c:pt>
              <c:pt idx="62">
                <c:v>0.67913269754023564</c:v>
              </c:pt>
              <c:pt idx="63">
                <c:v>0.66976522440733199</c:v>
              </c:pt>
              <c:pt idx="64">
                <c:v>0.65972335446701724</c:v>
              </c:pt>
              <c:pt idx="65">
                <c:v>0.64901719903110822</c:v>
              </c:pt>
              <c:pt idx="66">
                <c:v>0.63765753829060701</c:v>
              </c:pt>
              <c:pt idx="67">
                <c:v>0.62565581046096219</c:v>
              </c:pt>
              <c:pt idx="68">
                <c:v>0.6130241002647554</c:v>
              </c:pt>
              <c:pt idx="69">
                <c:v>0.59977512676340972</c:v>
              </c:pt>
              <c:pt idx="70">
                <c:v>0.58592223055017389</c:v>
              </c:pt>
              <c:pt idx="71">
                <c:v>0.57147936031727453</c:v>
              </c:pt>
              <c:pt idx="72">
                <c:v>0.55646105881076691</c:v>
              </c:pt>
              <c:pt idx="73">
                <c:v>0.54088244818722109</c:v>
              </c:pt>
              <c:pt idx="74">
                <c:v>0.52475921478699261</c:v>
              </c:pt>
              <c:pt idx="75">
                <c:v>0.50810759333940747</c:v>
              </c:pt>
              <c:pt idx="76">
                <c:v>0.4909443506157658</c:v>
              </c:pt>
              <c:pt idx="77">
                <c:v>0.47328676854662471</c:v>
              </c:pt>
              <c:pt idx="78">
                <c:v>0.45515262682035879</c:v>
              </c:pt>
              <c:pt idx="79">
                <c:v>0.43656018498052085</c:v>
              </c:pt>
              <c:pt idx="80">
                <c:v>0.41752816404002985</c:v>
              </c:pt>
              <c:pt idx="81">
                <c:v>0.3980757276306971</c:v>
              </c:pt>
              <c:pt idx="82">
                <c:v>0.37822246270707505</c:v>
              </c:pt>
              <c:pt idx="83">
                <c:v>0.35798835982405236</c:v>
              </c:pt>
              <c:pt idx="84">
                <c:v>0.33739379300806066</c:v>
              </c:pt>
              <c:pt idx="85">
                <c:v>0.31645949924215711</c:v>
              </c:pt>
              <c:pt idx="86">
                <c:v>0.29520655758563941</c:v>
              </c:pt>
              <c:pt idx="87">
                <c:v>0.27365636794922166</c:v>
              </c:pt>
              <c:pt idx="88">
                <c:v>0.25183062954713609</c:v>
              </c:pt>
              <c:pt idx="89">
                <c:v>0.22975131904786492</c:v>
              </c:pt>
              <c:pt idx="90">
                <c:v>0.20744066844549794</c:v>
              </c:pt>
              <c:pt idx="91">
                <c:v>0.18492114267399887</c:v>
              </c:pt>
              <c:pt idx="92">
                <c:v>0.1622154169869208</c:v>
              </c:pt>
              <c:pt idx="93">
                <c:v>0.13934635412534929</c:v>
              </c:pt>
              <c:pt idx="94">
                <c:v>0.11633698129705823</c:v>
              </c:pt>
              <c:pt idx="95">
                <c:v>9.3210466990064675E-2</c:v>
              </c:pt>
              <c:pt idx="96">
                <c:v>6.9990097643925067E-2</c:v>
              </c:pt>
              <c:pt idx="97">
                <c:v>4.6699254202264229E-2</c:v>
              </c:pt>
              <c:pt idx="98">
                <c:v>2.3361388570148318E-2</c:v>
              </c:pt>
              <c:pt idx="99">
                <c:v>2.3790622580578367E-15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CA2F-4105-AC3A-835FC93966D6}"/>
            </c:ext>
          </c:extLst>
        </c:ser>
        <c:ser>
          <c:idx val="2"/>
          <c:order val="2"/>
          <c:tx>
            <c:v>Trial_03 (Cell Pressure_1.50 kg/cm2)</c:v>
          </c:tx>
          <c:marker>
            <c:symbol val="none"/>
          </c:marker>
          <c:xVal>
            <c:numLit>
              <c:formatCode>General</c:formatCode>
              <c:ptCount val="100"/>
              <c:pt idx="0">
                <c:v>3.2552349074528824</c:v>
              </c:pt>
              <c:pt idx="1">
                <c:v>3.254793064261154</c:v>
              </c:pt>
              <c:pt idx="2">
                <c:v>3.25346797958461</c:v>
              </c:pt>
              <c:pt idx="3">
                <c:v>3.2512609876711966</c:v>
              </c:pt>
              <c:pt idx="4">
                <c:v>3.2481743107746923</c:v>
              </c:pt>
              <c:pt idx="5">
                <c:v>3.2442110569170852</c:v>
              </c:pt>
              <c:pt idx="6">
                <c:v>3.2393752167590595</c:v>
              </c:pt>
              <c:pt idx="7">
                <c:v>3.2336716595817374</c:v>
              </c:pt>
              <c:pt idx="8">
                <c:v>3.2271061283837268</c:v>
              </c:pt>
              <c:pt idx="9">
                <c:v>3.2196852340984079</c:v>
              </c:pt>
              <c:pt idx="10">
                <c:v>3.2114164489372836</c:v>
              </c:pt>
              <c:pt idx="11">
                <c:v>3.2023080988660966</c:v>
              </c:pt>
              <c:pt idx="12">
                <c:v>3.1923693552212864</c:v>
              </c:pt>
              <c:pt idx="13">
                <c:v>3.1816102254752323</c:v>
              </c:pt>
              <c:pt idx="14">
                <c:v>3.1700415431595759</c:v>
              </c:pt>
              <c:pt idx="15">
                <c:v>3.1576749569567744</c:v>
              </c:pt>
              <c:pt idx="16">
                <c:v>3.1445229189708628</c:v>
              </c:pt>
              <c:pt idx="17">
                <c:v>3.1305986721892429</c:v>
              </c:pt>
              <c:pt idx="18">
                <c:v>3.1159162371481157</c:v>
              </c:pt>
              <c:pt idx="19">
                <c:v>3.1004903978149909</c:v>
              </c:pt>
              <c:pt idx="20">
                <c:v>3.0843366867024846</c:v>
              </c:pt>
              <c:pt idx="21">
                <c:v>3.0674713692283957</c:v>
              </c:pt>
              <c:pt idx="22">
                <c:v>3.0499114273378085</c:v>
              </c:pt>
              <c:pt idx="23">
                <c:v>3.031674542403715</c:v>
              </c:pt>
              <c:pt idx="24">
                <c:v>3.0127790774233687</c:v>
              </c:pt>
              <c:pt idx="25">
                <c:v>2.9932440585283047</c:v>
              </c:pt>
              <c:pt idx="26">
                <c:v>2.9730891558266381</c:v>
              </c:pt>
              <c:pt idx="27">
                <c:v>2.9523346635969312</c:v>
              </c:pt>
              <c:pt idx="28">
                <c:v>2.9310014798535771</c:v>
              </c:pt>
              <c:pt idx="29">
                <c:v>2.9091110853042674</c:v>
              </c:pt>
              <c:pt idx="30">
                <c:v>2.8866855217207452</c:v>
              </c:pt>
              <c:pt idx="31">
                <c:v>2.8637473697446052</c:v>
              </c:pt>
              <c:pt idx="32">
                <c:v>2.8403197261505033</c:v>
              </c:pt>
              <c:pt idx="33">
                <c:v>2.8164261805896627</c:v>
              </c:pt>
              <c:pt idx="34">
                <c:v>2.7920907918370936</c:v>
              </c:pt>
              <c:pt idx="35">
                <c:v>2.7673380635664477</c:v>
              </c:pt>
              <c:pt idx="36">
                <c:v>2.7421929196768939</c:v>
              </c:pt>
              <c:pt idx="37">
                <c:v>2.7166806791968674</c:v>
              </c:pt>
              <c:pt idx="38">
                <c:v>2.6908270307899511</c:v>
              </c:pt>
              <c:pt idx="39">
                <c:v>2.6646580068885708</c:v>
              </c:pt>
              <c:pt idx="40">
                <c:v>2.6381999574815422</c:v>
              </c:pt>
              <c:pt idx="41">
                <c:v>2.6114795235818651</c:v>
              </c:pt>
              <c:pt idx="42">
                <c:v>2.5845236104014822</c:v>
              </c:pt>
              <c:pt idx="43">
                <c:v>2.5573593602600115</c:v>
              </c:pt>
              <c:pt idx="44">
                <c:v>2.5300141252547306</c:v>
              </c:pt>
              <c:pt idx="45">
                <c:v>2.5025154397193332</c:v>
              </c:pt>
              <c:pt idx="46">
                <c:v>2.4748909924991902</c:v>
              </c:pt>
              <c:pt idx="47">
                <c:v>2.4471685990710275</c:v>
              </c:pt>
              <c:pt idx="48">
                <c:v>2.4193761735351011</c:v>
              </c:pt>
              <c:pt idx="49">
                <c:v>2.3915417005080624</c:v>
              </c:pt>
              <c:pt idx="50">
                <c:v>2.3636932069448227</c:v>
              </c:pt>
              <c:pt idx="51">
                <c:v>2.3358587339177839</c:v>
              </c:pt>
              <c:pt idx="52">
                <c:v>2.3080663083818576</c:v>
              </c:pt>
              <c:pt idx="53">
                <c:v>2.2803439149536953</c:v>
              </c:pt>
              <c:pt idx="54">
                <c:v>2.2527194677335518</c:v>
              </c:pt>
              <c:pt idx="55">
                <c:v>2.2252207821981549</c:v>
              </c:pt>
              <c:pt idx="56">
                <c:v>2.1978755471928739</c:v>
              </c:pt>
              <c:pt idx="57">
                <c:v>2.1707112970514029</c:v>
              </c:pt>
              <c:pt idx="58">
                <c:v>2.1437553838710204</c:v>
              </c:pt>
              <c:pt idx="59">
                <c:v>2.1170349499713428</c:v>
              </c:pt>
              <c:pt idx="60">
                <c:v>2.0905769005643142</c:v>
              </c:pt>
              <c:pt idx="61">
                <c:v>2.0644078766629339</c:v>
              </c:pt>
              <c:pt idx="62">
                <c:v>2.0385542282560172</c:v>
              </c:pt>
              <c:pt idx="63">
                <c:v>2.0130419877759906</c:v>
              </c:pt>
              <c:pt idx="64">
                <c:v>1.9878968438864375</c:v>
              </c:pt>
              <c:pt idx="65">
                <c:v>1.9631441156157914</c:v>
              </c:pt>
              <c:pt idx="66">
                <c:v>1.9388087268632221</c:v>
              </c:pt>
              <c:pt idx="67">
                <c:v>1.9149151813023813</c:v>
              </c:pt>
              <c:pt idx="68">
                <c:v>1.8914875377082794</c:v>
              </c:pt>
              <c:pt idx="69">
                <c:v>1.8685493857321394</c:v>
              </c:pt>
              <c:pt idx="70">
                <c:v>1.8461238221486171</c:v>
              </c:pt>
              <c:pt idx="71">
                <c:v>1.8242334275993077</c:v>
              </c:pt>
              <c:pt idx="72">
                <c:v>1.8029002438559532</c:v>
              </c:pt>
              <c:pt idx="73">
                <c:v>1.7821457516262464</c:v>
              </c:pt>
              <c:pt idx="74">
                <c:v>1.7619908489245799</c:v>
              </c:pt>
              <c:pt idx="75">
                <c:v>1.7424558300295159</c:v>
              </c:pt>
              <c:pt idx="76">
                <c:v>1.7235603650491693</c:v>
              </c:pt>
              <c:pt idx="77">
                <c:v>1.7053234801150754</c:v>
              </c:pt>
              <c:pt idx="78">
                <c:v>1.6877635382244884</c:v>
              </c:pt>
              <c:pt idx="79">
                <c:v>1.6708982207503993</c:v>
              </c:pt>
              <c:pt idx="80">
                <c:v>1.654744509637893</c:v>
              </c:pt>
              <c:pt idx="81">
                <c:v>1.639318670304768</c:v>
              </c:pt>
              <c:pt idx="82">
                <c:v>1.6246362352636408</c:v>
              </c:pt>
              <c:pt idx="83">
                <c:v>1.6107119884820209</c:v>
              </c:pt>
              <c:pt idx="84">
                <c:v>1.5975599504961095</c:v>
              </c:pt>
              <c:pt idx="85">
                <c:v>1.5851933642933078</c:v>
              </c:pt>
              <c:pt idx="86">
                <c:v>1.5736246819776514</c:v>
              </c:pt>
              <c:pt idx="87">
                <c:v>1.5628655522315971</c:v>
              </c:pt>
              <c:pt idx="88">
                <c:v>1.5529268085867869</c:v>
              </c:pt>
              <c:pt idx="89">
                <c:v>1.5438184585155996</c:v>
              </c:pt>
              <c:pt idx="90">
                <c:v>1.5355496733544753</c:v>
              </c:pt>
              <c:pt idx="91">
                <c:v>1.5281287790691565</c:v>
              </c:pt>
              <c:pt idx="92">
                <c:v>1.5215632478711456</c:v>
              </c:pt>
              <c:pt idx="93">
                <c:v>1.5158596906938235</c:v>
              </c:pt>
              <c:pt idx="94">
                <c:v>1.5110238505357976</c:v>
              </c:pt>
              <c:pt idx="95">
                <c:v>1.5070605966781905</c:v>
              </c:pt>
              <c:pt idx="96">
                <c:v>1.5039739197816859</c:v>
              </c:pt>
              <c:pt idx="97">
                <c:v>1.5017669278682726</c:v>
              </c:pt>
              <c:pt idx="98">
                <c:v>1.5004418431917284</c:v>
              </c:pt>
              <c:pt idx="99">
                <c:v>1.5</c:v>
              </c:pt>
            </c:numLit>
          </c:xVal>
          <c:yVal>
            <c:numLit>
              <c:formatCode>General</c:formatCode>
              <c:ptCount val="100"/>
              <c:pt idx="0">
                <c:v>0</c:v>
              </c:pt>
              <c:pt idx="1">
                <c:v>2.7844988208575956E-2</c:v>
              </c:pt>
              <c:pt idx="2">
                <c:v>5.5661938874344466E-2</c:v>
              </c:pt>
              <c:pt idx="3">
                <c:v>8.3422842685927021E-2</c:v>
              </c:pt>
              <c:pt idx="4">
                <c:v>0.11109974676637642</c:v>
              </c:pt>
              <c:pt idx="5">
                <c:v>0.13866478281935435</c:v>
              </c:pt>
              <c:pt idx="6">
                <c:v>0.16609019519014354</c:v>
              </c:pt>
              <c:pt idx="7">
                <c:v>0.19334836881323922</c:v>
              </c:pt>
              <c:pt idx="8">
                <c:v>0.2204118570183794</c:v>
              </c:pt>
              <c:pt idx="9">
                <c:v>0.24725340916701516</c:v>
              </c:pt>
              <c:pt idx="10">
                <c:v>0.27384599809139371</c:v>
              </c:pt>
              <c:pt idx="11">
                <c:v>0.30016284730862552</c:v>
              </c:pt>
              <c:pt idx="12">
                <c:v>0.32617745798233266</c:v>
              </c:pt>
              <c:pt idx="13">
                <c:v>0.35186363560473072</c:v>
              </c:pt>
              <c:pt idx="14">
                <c:v>0.37719551637227805</c:v>
              </c:pt>
              <c:pt idx="15">
                <c:v>0.40214759322833332</c:v>
              </c:pt>
              <c:pt idx="16">
                <c:v>0.42669474154659937</c:v>
              </c:pt>
              <c:pt idx="17">
                <c:v>0.45081224442949253</c:v>
              </c:pt>
              <c:pt idx="18">
                <c:v>0.47447581759596286</c:v>
              </c:pt>
              <c:pt idx="19">
                <c:v>0.49766163383370682</c:v>
              </c:pt>
              <c:pt idx="20">
                <c:v>0.52034634699115045</c:v>
              </c:pt>
              <c:pt idx="21">
                <c:v>0.54250711548504527</c:v>
              </c:pt>
              <c:pt idx="22">
                <c:v>0.56412162530000576</c:v>
              </c:pt>
              <c:pt idx="23">
                <c:v>0.58516811245683154</c:v>
              </c:pt>
              <c:pt idx="24">
                <c:v>0.60562538492699014</c:v>
              </c:pt>
              <c:pt idx="25">
                <c:v>0.62547284397119296</c:v>
              </c:pt>
              <c:pt idx="26">
                <c:v>0.64469050488057955</c:v>
              </c:pt>
              <c:pt idx="27">
                <c:v>0.66325901709962543</c:v>
              </c:pt>
              <c:pt idx="28">
                <c:v>0.68115968371051139</c:v>
              </c:pt>
              <c:pt idx="29">
                <c:v>0.69837448025933468</c:v>
              </c:pt>
              <c:pt idx="30">
                <c:v>0.71488607290520678</c:v>
              </c:pt>
              <c:pt idx="31">
                <c:v>0.73067783587396085</c:v>
              </c:pt>
              <c:pt idx="32">
                <c:v>0.74573386819889775</c:v>
              </c:pt>
              <c:pt idx="33">
                <c:v>0.76003900973171168</c:v>
              </c:pt>
              <c:pt idx="34">
                <c:v>0.77357885640747381</c:v>
              </c:pt>
              <c:pt idx="35">
                <c:v>0.7863397747483053</c:v>
              </c:pt>
              <c:pt idx="36">
                <c:v>0.79830891559113393</c:v>
              </c:pt>
              <c:pt idx="37">
                <c:v>0.80947422702571137</c:v>
              </c:pt>
              <c:pt idx="38">
                <c:v>0.81982446652986596</c:v>
              </c:pt>
              <c:pt idx="39">
                <c:v>0.82934921228976932</c:v>
              </c:pt>
              <c:pt idx="40">
                <c:v>0.83803887369381902</c:v>
              </c:pt>
              <c:pt idx="41">
                <c:v>0.8458847009895728</c:v>
              </c:pt>
              <c:pt idx="42">
                <c:v>0.8528787940940058</c:v>
              </c:pt>
              <c:pt idx="43">
                <c:v>0.85901411054822574</c:v>
              </c:pt>
              <c:pt idx="44">
                <c:v>0.86428447260863184</c:v>
              </c:pt>
              <c:pt idx="45">
                <c:v>0.86868457346737848</c:v>
              </c:pt>
              <c:pt idx="46">
                <c:v>0.87220998259588189</c:v>
              </c:pt>
              <c:pt idx="47">
                <c:v>0.87485715020598553</c:v>
              </c:pt>
              <c:pt idx="48">
                <c:v>0.87662341082429684</c:v>
              </c:pt>
              <c:pt idx="49">
                <c:v>0.87750698597609278</c:v>
              </c:pt>
              <c:pt idx="50">
                <c:v>0.87750698597609278</c:v>
              </c:pt>
              <c:pt idx="51">
                <c:v>0.87662341082429707</c:v>
              </c:pt>
              <c:pt idx="52">
                <c:v>0.87485715020598576</c:v>
              </c:pt>
              <c:pt idx="53">
                <c:v>0.87220998259588223</c:v>
              </c:pt>
              <c:pt idx="54">
                <c:v>0.86868457346737904</c:v>
              </c:pt>
              <c:pt idx="55">
                <c:v>0.86428447260863228</c:v>
              </c:pt>
              <c:pt idx="56">
                <c:v>0.8590141105482263</c:v>
              </c:pt>
              <c:pt idx="57">
                <c:v>0.85287879409400646</c:v>
              </c:pt>
              <c:pt idx="58">
                <c:v>0.84588470098957358</c:v>
              </c:pt>
              <c:pt idx="59">
                <c:v>0.83803887369381991</c:v>
              </c:pt>
              <c:pt idx="60">
                <c:v>0.82934921228977021</c:v>
              </c:pt>
              <c:pt idx="61">
                <c:v>0.81982446652986696</c:v>
              </c:pt>
              <c:pt idx="62">
                <c:v>0.80947422702571248</c:v>
              </c:pt>
              <c:pt idx="63">
                <c:v>0.79830891559113515</c:v>
              </c:pt>
              <c:pt idx="64">
                <c:v>0.78633977474830674</c:v>
              </c:pt>
              <c:pt idx="65">
                <c:v>0.77357885640747526</c:v>
              </c:pt>
              <c:pt idx="66">
                <c:v>0.76003900973171301</c:v>
              </c:pt>
              <c:pt idx="67">
                <c:v>0.7457338681988992</c:v>
              </c:pt>
              <c:pt idx="68">
                <c:v>0.7306778358739624</c:v>
              </c:pt>
              <c:pt idx="69">
                <c:v>0.71488607290520845</c:v>
              </c:pt>
              <c:pt idx="70">
                <c:v>0.69837448025933657</c:v>
              </c:pt>
              <c:pt idx="71">
                <c:v>0.68115968371051294</c:v>
              </c:pt>
              <c:pt idx="72">
                <c:v>0.66325901709962709</c:v>
              </c:pt>
              <c:pt idx="73">
                <c:v>0.64469050488058144</c:v>
              </c:pt>
              <c:pt idx="74">
                <c:v>0.62547284397119507</c:v>
              </c:pt>
              <c:pt idx="75">
                <c:v>0.60562538492699225</c:v>
              </c:pt>
              <c:pt idx="76">
                <c:v>0.58516811245683353</c:v>
              </c:pt>
              <c:pt idx="77">
                <c:v>0.56412162530000776</c:v>
              </c:pt>
              <c:pt idx="78">
                <c:v>0.54250711548504749</c:v>
              </c:pt>
              <c:pt idx="79">
                <c:v>0.5203463469911529</c:v>
              </c:pt>
              <c:pt idx="80">
                <c:v>0.49766163383370926</c:v>
              </c:pt>
              <c:pt idx="81">
                <c:v>0.47447581759596508</c:v>
              </c:pt>
              <c:pt idx="82">
                <c:v>0.45081224442949486</c:v>
              </c:pt>
              <c:pt idx="83">
                <c:v>0.42669474154660186</c:v>
              </c:pt>
              <c:pt idx="84">
                <c:v>0.40214759322833582</c:v>
              </c:pt>
              <c:pt idx="85">
                <c:v>0.37719551637228071</c:v>
              </c:pt>
              <c:pt idx="86">
                <c:v>0.35186363560473316</c:v>
              </c:pt>
              <c:pt idx="87">
                <c:v>0.32617745798233516</c:v>
              </c:pt>
              <c:pt idx="88">
                <c:v>0.30016284730862819</c:v>
              </c:pt>
              <c:pt idx="89">
                <c:v>0.27384599809139648</c:v>
              </c:pt>
              <c:pt idx="90">
                <c:v>0.24725340916701793</c:v>
              </c:pt>
              <c:pt idx="91">
                <c:v>0.22041185701838231</c:v>
              </c:pt>
              <c:pt idx="92">
                <c:v>0.19334836881324186</c:v>
              </c:pt>
              <c:pt idx="93">
                <c:v>0.16609019519014628</c:v>
              </c:pt>
              <c:pt idx="94">
                <c:v>0.13866478281935718</c:v>
              </c:pt>
              <c:pt idx="95">
                <c:v>0.11109974676637935</c:v>
              </c:pt>
              <c:pt idx="96">
                <c:v>8.3422842685930018E-2</c:v>
              </c:pt>
              <c:pt idx="97">
                <c:v>5.5661938874347151E-2</c:v>
              </c:pt>
              <c:pt idx="98">
                <c:v>2.7844988208578721E-2</c:v>
              </c:pt>
              <c:pt idx="99">
                <c:v>2.8356602315901878E-15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CA2F-4105-AC3A-835FC93966D6}"/>
            </c:ext>
          </c:extLst>
        </c:ser>
        <c:ser>
          <c:idx val="3"/>
          <c:order val="3"/>
          <c:tx>
            <c:v>Failure Envelope</c:v>
          </c:tx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3.5664261805896618</c:v>
              </c:pt>
            </c:numLit>
          </c:xVal>
          <c:yVal>
            <c:numLit>
              <c:formatCode>General</c:formatCode>
              <c:ptCount val="2"/>
              <c:pt idx="0">
                <c:v>0.3958576007241546</c:v>
              </c:pt>
              <c:pt idx="1">
                <c:v>1.1448070986479835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CA2F-4105-AC3A-835FC9396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766464"/>
        <c:axId val="100769152"/>
      </c:scatterChart>
      <c:valAx>
        <c:axId val="100766464"/>
        <c:scaling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65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8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c:rich>
          </c:tx>
          <c:layout>
            <c:manualLayout>
              <c:xMode val="edge"/>
              <c:yMode val="edge"/>
              <c:x val="0.26006046249089987"/>
              <c:y val="0.9273254364122506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low"/>
        <c:spPr>
          <a:ln w="3175">
            <a:noFill/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769152"/>
        <c:crosses val="autoZero"/>
        <c:crossBetween val="midCat"/>
      </c:valAx>
      <c:valAx>
        <c:axId val="100769152"/>
        <c:scaling>
          <c:orientation val="minMax"/>
          <c:max val="4.5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8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c:rich>
          </c:tx>
          <c:layout>
            <c:manualLayout>
              <c:xMode val="edge"/>
              <c:yMode val="edge"/>
              <c:x val="1.1348818897637796E-2"/>
              <c:y val="0.323731758530183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0">
            <a:noFill/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76646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5148232113675875"/>
          <c:y val="0.33739729198920826"/>
          <c:w val="0.34114236220472444"/>
          <c:h val="0.23262204724409449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 horizontalDpi="300" verticalDpi="300"/>
  </c:printSettings>
  <c:userShapes r:id="rId2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554344</xdr:colOff>
      <xdr:row>15</xdr:row>
      <xdr:rowOff>54429</xdr:rowOff>
    </xdr:from>
    <xdr:to>
      <xdr:col>34</xdr:col>
      <xdr:colOff>339588</xdr:colOff>
      <xdr:row>36</xdr:row>
      <xdr:rowOff>99391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581024</xdr:colOff>
      <xdr:row>37</xdr:row>
      <xdr:rowOff>95250</xdr:rowOff>
    </xdr:from>
    <xdr:to>
      <xdr:col>34</xdr:col>
      <xdr:colOff>361949</xdr:colOff>
      <xdr:row>58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168965</xdr:colOff>
      <xdr:row>3</xdr:row>
      <xdr:rowOff>92821</xdr:rowOff>
    </xdr:from>
    <xdr:to>
      <xdr:col>23</xdr:col>
      <xdr:colOff>415346</xdr:colOff>
      <xdr:row>24</xdr:row>
      <xdr:rowOff>105575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1DFAD6-18BA-5892-90E3-1153DCB8B9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0.15451</cdr:x>
      <cdr:y>0.12325</cdr:y>
    </cdr:from>
    <cdr:to>
      <cdr:x>0.47371</cdr:x>
      <cdr:y>0.31856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DAD78E8-B534-4706-0BAD-8AE2EA7BE7C2}"/>
            </a:ext>
          </a:extLst>
        </cdr:cNvPr>
        <cdr:cNvSpPr txBox="1"/>
      </cdr:nvSpPr>
      <cdr:spPr>
        <a:xfrm xmlns:a="http://schemas.openxmlformats.org/drawingml/2006/main">
          <a:off x="979951" y="470285"/>
          <a:ext cx="2024488" cy="745247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IN" sz="800" b="0">
              <a:latin typeface="Calibri" panose="020F0502020204030204" pitchFamily="34" charset="0"/>
            </a:rPr>
            <a:t>BH-38 / Depth-3.00 m</a:t>
          </a:r>
        </a:p>
        <a:p xmlns:a="http://schemas.openxmlformats.org/drawingml/2006/main">
          <a:endParaRPr lang="en-IN" sz="800" b="0">
            <a:latin typeface="Calibri" panose="020F0502020204030204" pitchFamily="34" charset="0"/>
          </a:endParaRPr>
        </a:p>
        <a:p xmlns:a="http://schemas.openxmlformats.org/drawingml/2006/main">
          <a:r>
            <a:rPr lang="en-IN" sz="800" b="0">
              <a:latin typeface="Calibri" panose="020F0502020204030204" pitchFamily="34" charset="0"/>
            </a:rPr>
            <a:t>Cohesion (c) = 0.3959 kPa</a:t>
          </a:r>
        </a:p>
        <a:p xmlns:a="http://schemas.openxmlformats.org/drawingml/2006/main">
          <a:r>
            <a:rPr lang="en-IN" sz="800" b="0">
              <a:latin typeface="Calibri" panose="020F0502020204030204" pitchFamily="34" charset="0"/>
            </a:rPr>
            <a:t>Angle of Internal Friction (f) = 11.86°</a:t>
          </a: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213"/>
  <sheetViews>
    <sheetView zoomScale="55" zoomScaleNormal="55" workbookViewId="0">
      <selection activeCell="T9" sqref="T9"/>
    </sheetView>
  </sheetViews>
  <sheetFormatPr defaultRowHeight="15" x14ac:dyDescent="0.25"/>
  <cols>
    <col min="1" max="1" width="8.140625" customWidth="1"/>
    <col min="2" max="2" width="9.7109375" customWidth="1"/>
    <col min="3" max="3" width="10.7109375" customWidth="1"/>
    <col min="4" max="7" width="14.28515625" customWidth="1"/>
    <col min="8" max="8" width="11.28515625" customWidth="1"/>
    <col min="14" max="15" width="14.28515625" customWidth="1"/>
    <col min="22" max="23" width="14.28515625" customWidth="1"/>
  </cols>
  <sheetData>
    <row r="1" spans="1:23" x14ac:dyDescent="0.25">
      <c r="A1" s="14" t="s">
        <v>1</v>
      </c>
      <c r="B1" s="15"/>
      <c r="C1" s="16"/>
      <c r="D1" s="2"/>
      <c r="E1" s="9" t="s">
        <v>9</v>
      </c>
    </row>
    <row r="2" spans="1:23" x14ac:dyDescent="0.25">
      <c r="A2" s="14" t="s">
        <v>15</v>
      </c>
      <c r="B2" s="15"/>
      <c r="C2" s="16"/>
      <c r="D2" s="4"/>
      <c r="E2" s="2" t="s">
        <v>16</v>
      </c>
    </row>
    <row r="5" spans="1:23" ht="22.5" customHeight="1" x14ac:dyDescent="0.25">
      <c r="A5" s="14" t="s">
        <v>17</v>
      </c>
      <c r="B5" s="15"/>
      <c r="C5" s="16"/>
      <c r="D5" s="4">
        <v>3.786</v>
      </c>
      <c r="E5" s="2" t="s">
        <v>18</v>
      </c>
      <c r="I5" s="14" t="s">
        <v>17</v>
      </c>
      <c r="J5" s="15"/>
      <c r="K5" s="16"/>
      <c r="L5" s="4">
        <f>D5</f>
        <v>3.786</v>
      </c>
      <c r="M5" s="2" t="s">
        <v>18</v>
      </c>
      <c r="Q5" s="14" t="s">
        <v>17</v>
      </c>
      <c r="R5" s="15"/>
      <c r="S5" s="16"/>
      <c r="T5" s="4">
        <f>D5</f>
        <v>3.786</v>
      </c>
      <c r="U5" s="2" t="s">
        <v>18</v>
      </c>
    </row>
    <row r="6" spans="1:23" ht="22.5" customHeight="1" x14ac:dyDescent="0.25">
      <c r="A6" s="14" t="s">
        <v>19</v>
      </c>
      <c r="B6" s="15"/>
      <c r="C6" s="16"/>
      <c r="D6" s="3">
        <f>(PI()/4)*D5^2</f>
        <v>11.25773705291369</v>
      </c>
      <c r="E6" s="2" t="s">
        <v>35</v>
      </c>
      <c r="I6" s="14" t="s">
        <v>19</v>
      </c>
      <c r="J6" s="15"/>
      <c r="K6" s="16"/>
      <c r="L6" s="3">
        <f>(PI()/4)*L5^2</f>
        <v>11.25773705291369</v>
      </c>
      <c r="M6" s="2" t="s">
        <v>20</v>
      </c>
      <c r="Q6" s="14" t="s">
        <v>19</v>
      </c>
      <c r="R6" s="15"/>
      <c r="S6" s="16"/>
      <c r="T6" s="3">
        <f>(PI()/4)*T5^2</f>
        <v>11.25773705291369</v>
      </c>
      <c r="U6" s="2" t="s">
        <v>35</v>
      </c>
    </row>
    <row r="7" spans="1:23" ht="22.5" customHeight="1" x14ac:dyDescent="0.25">
      <c r="A7" s="14" t="s">
        <v>21</v>
      </c>
      <c r="B7" s="15"/>
      <c r="C7" s="16"/>
      <c r="D7" s="3">
        <v>7.7859999999999996</v>
      </c>
      <c r="E7" s="2" t="s">
        <v>18</v>
      </c>
      <c r="I7" s="14" t="s">
        <v>21</v>
      </c>
      <c r="J7" s="15"/>
      <c r="K7" s="16"/>
      <c r="L7" s="3">
        <f>D7</f>
        <v>7.7859999999999996</v>
      </c>
      <c r="M7" s="2" t="s">
        <v>18</v>
      </c>
      <c r="Q7" s="14" t="s">
        <v>21</v>
      </c>
      <c r="R7" s="15"/>
      <c r="S7" s="16"/>
      <c r="T7" s="3">
        <f>D7</f>
        <v>7.7859999999999996</v>
      </c>
      <c r="U7" s="2" t="s">
        <v>18</v>
      </c>
    </row>
    <row r="8" spans="1:23" ht="22.5" customHeight="1" x14ac:dyDescent="0.25">
      <c r="A8" s="14" t="s">
        <v>22</v>
      </c>
      <c r="B8" s="15"/>
      <c r="C8" s="16"/>
      <c r="D8" s="2">
        <v>1.81</v>
      </c>
      <c r="E8" s="2" t="s">
        <v>33</v>
      </c>
      <c r="I8" s="14" t="s">
        <v>22</v>
      </c>
      <c r="J8" s="15"/>
      <c r="K8" s="16"/>
      <c r="L8" s="2">
        <f>D8</f>
        <v>1.81</v>
      </c>
      <c r="M8" s="2" t="s">
        <v>33</v>
      </c>
      <c r="Q8" s="14" t="s">
        <v>22</v>
      </c>
      <c r="R8" s="15"/>
      <c r="S8" s="16"/>
      <c r="T8" s="2">
        <f>D8</f>
        <v>1.81</v>
      </c>
      <c r="U8" s="2" t="s">
        <v>33</v>
      </c>
    </row>
    <row r="9" spans="1:23" ht="22.5" customHeight="1" x14ac:dyDescent="0.25">
      <c r="A9" s="14" t="s">
        <v>23</v>
      </c>
      <c r="B9" s="15"/>
      <c r="C9" s="16"/>
      <c r="D9" s="4">
        <f>D8*(D6*D7)</f>
        <v>158.65146065611464</v>
      </c>
      <c r="E9" s="2" t="s">
        <v>24</v>
      </c>
      <c r="F9" s="11"/>
      <c r="G9" s="11"/>
      <c r="H9" s="6"/>
      <c r="I9" s="14" t="s">
        <v>23</v>
      </c>
      <c r="J9" s="15"/>
      <c r="K9" s="16"/>
      <c r="L9" s="4">
        <f>L8*(L6*L7)</f>
        <v>158.65146065611464</v>
      </c>
      <c r="M9" s="2" t="s">
        <v>24</v>
      </c>
      <c r="N9" s="11"/>
      <c r="O9" s="11"/>
      <c r="Q9" s="14" t="s">
        <v>23</v>
      </c>
      <c r="R9" s="15"/>
      <c r="S9" s="16"/>
      <c r="T9" s="4">
        <f>T8*(T6*T7)</f>
        <v>158.65146065611464</v>
      </c>
      <c r="U9" s="2" t="s">
        <v>24</v>
      </c>
      <c r="V9" s="11"/>
      <c r="W9" s="11"/>
    </row>
    <row r="10" spans="1:23" ht="22.5" customHeight="1" x14ac:dyDescent="0.25">
      <c r="A10" s="14" t="s">
        <v>25</v>
      </c>
      <c r="B10" s="15"/>
      <c r="C10" s="16"/>
      <c r="D10" s="4">
        <v>0.5</v>
      </c>
      <c r="E10" s="2" t="s">
        <v>34</v>
      </c>
      <c r="F10" s="11"/>
      <c r="G10" s="11"/>
      <c r="H10" s="6"/>
      <c r="I10" s="14" t="s">
        <v>25</v>
      </c>
      <c r="J10" s="15"/>
      <c r="K10" s="16"/>
      <c r="L10" s="4">
        <v>1</v>
      </c>
      <c r="M10" s="2" t="s">
        <v>34</v>
      </c>
      <c r="N10" s="11"/>
      <c r="O10" s="11"/>
      <c r="Q10" s="14" t="s">
        <v>25</v>
      </c>
      <c r="R10" s="15"/>
      <c r="S10" s="16"/>
      <c r="T10" s="4">
        <v>1.5</v>
      </c>
      <c r="U10" s="2" t="s">
        <v>34</v>
      </c>
      <c r="V10" s="11"/>
      <c r="W10" s="11"/>
    </row>
    <row r="11" spans="1:23" ht="22.5" customHeight="1" x14ac:dyDescent="0.25">
      <c r="A11" s="14" t="s">
        <v>26</v>
      </c>
      <c r="B11" s="15"/>
      <c r="C11" s="16"/>
      <c r="D11" s="4">
        <f>MAX(G14:G169)</f>
        <v>0.5</v>
      </c>
      <c r="E11" s="2" t="s">
        <v>34</v>
      </c>
      <c r="F11" s="11"/>
      <c r="G11" s="11"/>
      <c r="H11" s="6"/>
      <c r="I11" s="14" t="s">
        <v>26</v>
      </c>
      <c r="J11" s="15"/>
      <c r="K11" s="16"/>
      <c r="L11" s="4">
        <f>MAX(O14:O169)</f>
        <v>1</v>
      </c>
      <c r="M11" s="2" t="s">
        <v>34</v>
      </c>
      <c r="N11" s="11"/>
      <c r="O11" s="11"/>
      <c r="Q11" s="14" t="s">
        <v>26</v>
      </c>
      <c r="R11" s="15"/>
      <c r="S11" s="16"/>
      <c r="T11" s="4">
        <f>MAX(W14:W169)</f>
        <v>1.5</v>
      </c>
      <c r="U11" s="2" t="s">
        <v>34</v>
      </c>
      <c r="V11" s="11"/>
      <c r="W11" s="11"/>
    </row>
    <row r="13" spans="1:23" s="5" customFormat="1" ht="73.900000000000006" customHeight="1" x14ac:dyDescent="0.25">
      <c r="A13" s="1" t="s">
        <v>0</v>
      </c>
      <c r="B13" s="8" t="s">
        <v>27</v>
      </c>
      <c r="C13" s="8" t="s">
        <v>28</v>
      </c>
      <c r="D13" s="8" t="s">
        <v>29</v>
      </c>
      <c r="E13" s="8" t="s">
        <v>30</v>
      </c>
      <c r="F13" s="8" t="s">
        <v>31</v>
      </c>
      <c r="G13" s="8" t="s">
        <v>32</v>
      </c>
      <c r="H13" s="11"/>
      <c r="I13" s="1" t="s">
        <v>0</v>
      </c>
      <c r="J13" s="8" t="s">
        <v>27</v>
      </c>
      <c r="K13" s="8" t="s">
        <v>28</v>
      </c>
      <c r="L13" s="8" t="s">
        <v>29</v>
      </c>
      <c r="M13" s="8" t="s">
        <v>30</v>
      </c>
      <c r="N13" s="8" t="s">
        <v>31</v>
      </c>
      <c r="O13" s="8" t="s">
        <v>32</v>
      </c>
      <c r="Q13" s="1" t="s">
        <v>0</v>
      </c>
      <c r="R13" s="8" t="s">
        <v>27</v>
      </c>
      <c r="S13" s="8" t="s">
        <v>28</v>
      </c>
      <c r="T13" s="8" t="s">
        <v>29</v>
      </c>
      <c r="U13" s="8" t="s">
        <v>30</v>
      </c>
      <c r="V13" s="8" t="s">
        <v>31</v>
      </c>
      <c r="W13" s="8" t="s">
        <v>32</v>
      </c>
    </row>
    <row r="14" spans="1:23" x14ac:dyDescent="0.25">
      <c r="A14" s="5">
        <v>1</v>
      </c>
      <c r="B14" s="7"/>
      <c r="C14" s="7"/>
      <c r="D14" s="12">
        <f t="shared" ref="D14:D45" si="0">(B14/$D$7)*100</f>
        <v>0</v>
      </c>
      <c r="E14" s="6">
        <f t="shared" ref="E14:E45" si="1">$D$6/(1-(D14/100))</f>
        <v>11.25773705291369</v>
      </c>
      <c r="F14" s="12">
        <f t="shared" ref="F14:F45" si="2">C14/E14</f>
        <v>0</v>
      </c>
      <c r="G14" s="12">
        <f t="shared" ref="G14:G45" si="3">F14+$D$10</f>
        <v>0.5</v>
      </c>
      <c r="H14" s="12"/>
      <c r="I14" s="5">
        <v>1</v>
      </c>
      <c r="J14" s="6"/>
      <c r="K14" s="6"/>
      <c r="L14" s="12">
        <f t="shared" ref="L14:L45" si="4">(J14/$L$7)*100</f>
        <v>0</v>
      </c>
      <c r="M14" s="6">
        <f t="shared" ref="M14:M45" si="5">$L$6/(1-(L14/100))</f>
        <v>11.25773705291369</v>
      </c>
      <c r="N14" s="12">
        <f t="shared" ref="N14:N45" si="6">K14/M14</f>
        <v>0</v>
      </c>
      <c r="O14" s="12">
        <f t="shared" ref="O14:O45" si="7">N14+$L$10</f>
        <v>1</v>
      </c>
      <c r="Q14" s="5">
        <v>1</v>
      </c>
      <c r="R14" s="7"/>
      <c r="S14" s="7"/>
      <c r="T14" s="12">
        <f t="shared" ref="T14:T45" si="8">(R14/$T$7)*100</f>
        <v>0</v>
      </c>
      <c r="U14" s="6">
        <f t="shared" ref="U14:U45" si="9">$T$6/(1-(T14/100))</f>
        <v>11.25773705291369</v>
      </c>
      <c r="V14" s="12">
        <f t="shared" ref="V14:V45" si="10">S14/U14</f>
        <v>0</v>
      </c>
      <c r="W14" s="12">
        <f t="shared" ref="W14:W45" si="11">V14+$T$10</f>
        <v>1.5</v>
      </c>
    </row>
    <row r="15" spans="1:23" x14ac:dyDescent="0.25">
      <c r="A15" s="5">
        <v>2</v>
      </c>
      <c r="B15" s="7"/>
      <c r="C15" s="7"/>
      <c r="D15" s="12">
        <f t="shared" si="0"/>
        <v>0</v>
      </c>
      <c r="E15" s="6">
        <f t="shared" si="1"/>
        <v>11.25773705291369</v>
      </c>
      <c r="F15" s="12">
        <f t="shared" si="2"/>
        <v>0</v>
      </c>
      <c r="G15" s="12">
        <f t="shared" si="3"/>
        <v>0.5</v>
      </c>
      <c r="H15" s="12"/>
      <c r="I15" s="5">
        <v>2</v>
      </c>
      <c r="J15" s="6"/>
      <c r="K15" s="6"/>
      <c r="L15" s="12">
        <f t="shared" si="4"/>
        <v>0</v>
      </c>
      <c r="M15" s="6">
        <f t="shared" si="5"/>
        <v>11.25773705291369</v>
      </c>
      <c r="N15" s="12">
        <f t="shared" si="6"/>
        <v>0</v>
      </c>
      <c r="O15" s="12">
        <f t="shared" si="7"/>
        <v>1</v>
      </c>
      <c r="Q15" s="5">
        <v>2</v>
      </c>
      <c r="R15" s="7"/>
      <c r="S15" s="7"/>
      <c r="T15" s="12">
        <f t="shared" si="8"/>
        <v>0</v>
      </c>
      <c r="U15" s="6">
        <f t="shared" si="9"/>
        <v>11.25773705291369</v>
      </c>
      <c r="V15" s="12">
        <f t="shared" si="10"/>
        <v>0</v>
      </c>
      <c r="W15" s="12">
        <f t="shared" si="11"/>
        <v>1.5</v>
      </c>
    </row>
    <row r="16" spans="1:23" x14ac:dyDescent="0.25">
      <c r="A16" s="5">
        <v>3</v>
      </c>
      <c r="B16" s="7"/>
      <c r="C16" s="7"/>
      <c r="D16" s="12">
        <f t="shared" si="0"/>
        <v>0</v>
      </c>
      <c r="E16" s="6">
        <f t="shared" si="1"/>
        <v>11.25773705291369</v>
      </c>
      <c r="F16" s="12">
        <f t="shared" si="2"/>
        <v>0</v>
      </c>
      <c r="G16" s="12">
        <f t="shared" si="3"/>
        <v>0.5</v>
      </c>
      <c r="H16" s="12"/>
      <c r="I16" s="5">
        <v>3</v>
      </c>
      <c r="J16" s="6"/>
      <c r="K16" s="6"/>
      <c r="L16" s="12">
        <f t="shared" si="4"/>
        <v>0</v>
      </c>
      <c r="M16" s="6">
        <f t="shared" si="5"/>
        <v>11.25773705291369</v>
      </c>
      <c r="N16" s="12">
        <f t="shared" si="6"/>
        <v>0</v>
      </c>
      <c r="O16" s="12">
        <f t="shared" si="7"/>
        <v>1</v>
      </c>
      <c r="Q16" s="5">
        <v>3</v>
      </c>
      <c r="R16" s="7"/>
      <c r="S16" s="7"/>
      <c r="T16" s="12">
        <f t="shared" si="8"/>
        <v>0</v>
      </c>
      <c r="U16" s="6">
        <f t="shared" si="9"/>
        <v>11.25773705291369</v>
      </c>
      <c r="V16" s="12">
        <f t="shared" si="10"/>
        <v>0</v>
      </c>
      <c r="W16" s="12">
        <f t="shared" si="11"/>
        <v>1.5</v>
      </c>
    </row>
    <row r="17" spans="1:23" x14ac:dyDescent="0.25">
      <c r="A17" s="5">
        <v>4</v>
      </c>
      <c r="B17" s="7"/>
      <c r="C17" s="7"/>
      <c r="D17" s="12">
        <f t="shared" si="0"/>
        <v>0</v>
      </c>
      <c r="E17" s="6">
        <f t="shared" si="1"/>
        <v>11.25773705291369</v>
      </c>
      <c r="F17" s="12">
        <f t="shared" si="2"/>
        <v>0</v>
      </c>
      <c r="G17" s="12">
        <f t="shared" si="3"/>
        <v>0.5</v>
      </c>
      <c r="H17" s="12"/>
      <c r="I17" s="5">
        <v>4</v>
      </c>
      <c r="J17" s="6"/>
      <c r="K17" s="6"/>
      <c r="L17" s="12">
        <f t="shared" si="4"/>
        <v>0</v>
      </c>
      <c r="M17" s="6">
        <f t="shared" si="5"/>
        <v>11.25773705291369</v>
      </c>
      <c r="N17" s="12">
        <f t="shared" si="6"/>
        <v>0</v>
      </c>
      <c r="O17" s="12">
        <f t="shared" si="7"/>
        <v>1</v>
      </c>
      <c r="Q17" s="5">
        <v>4</v>
      </c>
      <c r="R17" s="7"/>
      <c r="S17" s="7"/>
      <c r="T17" s="12">
        <f t="shared" si="8"/>
        <v>0</v>
      </c>
      <c r="U17" s="6">
        <f t="shared" si="9"/>
        <v>11.25773705291369</v>
      </c>
      <c r="V17" s="12">
        <f t="shared" si="10"/>
        <v>0</v>
      </c>
      <c r="W17" s="12">
        <f t="shared" si="11"/>
        <v>1.5</v>
      </c>
    </row>
    <row r="18" spans="1:23" x14ac:dyDescent="0.25">
      <c r="A18" s="5">
        <v>5</v>
      </c>
      <c r="B18" s="7"/>
      <c r="C18" s="7"/>
      <c r="D18" s="12">
        <f t="shared" si="0"/>
        <v>0</v>
      </c>
      <c r="E18" s="6">
        <f t="shared" si="1"/>
        <v>11.25773705291369</v>
      </c>
      <c r="F18" s="12">
        <f t="shared" si="2"/>
        <v>0</v>
      </c>
      <c r="G18" s="12">
        <f t="shared" si="3"/>
        <v>0.5</v>
      </c>
      <c r="H18" s="12"/>
      <c r="I18" s="5">
        <v>5</v>
      </c>
      <c r="J18" s="6"/>
      <c r="K18" s="6"/>
      <c r="L18" s="12">
        <f t="shared" si="4"/>
        <v>0</v>
      </c>
      <c r="M18" s="6">
        <f t="shared" si="5"/>
        <v>11.25773705291369</v>
      </c>
      <c r="N18" s="12">
        <f t="shared" si="6"/>
        <v>0</v>
      </c>
      <c r="O18" s="12">
        <f t="shared" si="7"/>
        <v>1</v>
      </c>
      <c r="Q18" s="5">
        <v>5</v>
      </c>
      <c r="R18" s="7"/>
      <c r="S18" s="7"/>
      <c r="T18" s="12">
        <f t="shared" si="8"/>
        <v>0</v>
      </c>
      <c r="U18" s="6">
        <f t="shared" si="9"/>
        <v>11.25773705291369</v>
      </c>
      <c r="V18" s="12">
        <f t="shared" si="10"/>
        <v>0</v>
      </c>
      <c r="W18" s="12">
        <f t="shared" si="11"/>
        <v>1.5</v>
      </c>
    </row>
    <row r="19" spans="1:23" x14ac:dyDescent="0.25">
      <c r="A19" s="5">
        <v>6</v>
      </c>
      <c r="B19" s="7"/>
      <c r="C19" s="7"/>
      <c r="D19" s="12">
        <f t="shared" si="0"/>
        <v>0</v>
      </c>
      <c r="E19" s="6">
        <f t="shared" si="1"/>
        <v>11.25773705291369</v>
      </c>
      <c r="F19" s="12">
        <f t="shared" si="2"/>
        <v>0</v>
      </c>
      <c r="G19" s="12">
        <f t="shared" si="3"/>
        <v>0.5</v>
      </c>
      <c r="H19" s="12"/>
      <c r="I19" s="5">
        <v>6</v>
      </c>
      <c r="J19" s="6"/>
      <c r="K19" s="6"/>
      <c r="L19" s="12">
        <f t="shared" si="4"/>
        <v>0</v>
      </c>
      <c r="M19" s="6">
        <f t="shared" si="5"/>
        <v>11.25773705291369</v>
      </c>
      <c r="N19" s="12">
        <f t="shared" si="6"/>
        <v>0</v>
      </c>
      <c r="O19" s="12">
        <f t="shared" si="7"/>
        <v>1</v>
      </c>
      <c r="Q19" s="5">
        <v>6</v>
      </c>
      <c r="R19" s="7"/>
      <c r="S19" s="7"/>
      <c r="T19" s="12">
        <f t="shared" si="8"/>
        <v>0</v>
      </c>
      <c r="U19" s="6">
        <f t="shared" si="9"/>
        <v>11.25773705291369</v>
      </c>
      <c r="V19" s="12">
        <f t="shared" si="10"/>
        <v>0</v>
      </c>
      <c r="W19" s="12">
        <f t="shared" si="11"/>
        <v>1.5</v>
      </c>
    </row>
    <row r="20" spans="1:23" x14ac:dyDescent="0.25">
      <c r="A20" s="5">
        <v>7</v>
      </c>
      <c r="B20" s="7"/>
      <c r="C20" s="7"/>
      <c r="D20" s="12">
        <f t="shared" si="0"/>
        <v>0</v>
      </c>
      <c r="E20" s="6">
        <f t="shared" si="1"/>
        <v>11.25773705291369</v>
      </c>
      <c r="F20" s="12">
        <f t="shared" si="2"/>
        <v>0</v>
      </c>
      <c r="G20" s="12">
        <f t="shared" si="3"/>
        <v>0.5</v>
      </c>
      <c r="H20" s="12"/>
      <c r="I20" s="5">
        <v>7</v>
      </c>
      <c r="J20" s="6"/>
      <c r="K20" s="6"/>
      <c r="L20" s="12">
        <f t="shared" si="4"/>
        <v>0</v>
      </c>
      <c r="M20" s="6">
        <f t="shared" si="5"/>
        <v>11.25773705291369</v>
      </c>
      <c r="N20" s="12">
        <f t="shared" si="6"/>
        <v>0</v>
      </c>
      <c r="O20" s="12">
        <f t="shared" si="7"/>
        <v>1</v>
      </c>
      <c r="Q20" s="5">
        <v>7</v>
      </c>
      <c r="R20" s="7"/>
      <c r="S20" s="7"/>
      <c r="T20" s="12">
        <f t="shared" si="8"/>
        <v>0</v>
      </c>
      <c r="U20" s="6">
        <f t="shared" si="9"/>
        <v>11.25773705291369</v>
      </c>
      <c r="V20" s="12">
        <f t="shared" si="10"/>
        <v>0</v>
      </c>
      <c r="W20" s="12">
        <f t="shared" si="11"/>
        <v>1.5</v>
      </c>
    </row>
    <row r="21" spans="1:23" x14ac:dyDescent="0.25">
      <c r="A21" s="5">
        <v>8</v>
      </c>
      <c r="B21" s="7"/>
      <c r="C21" s="7"/>
      <c r="D21" s="12">
        <f t="shared" si="0"/>
        <v>0</v>
      </c>
      <c r="E21" s="6">
        <f t="shared" si="1"/>
        <v>11.25773705291369</v>
      </c>
      <c r="F21" s="12">
        <f t="shared" si="2"/>
        <v>0</v>
      </c>
      <c r="G21" s="12">
        <f t="shared" si="3"/>
        <v>0.5</v>
      </c>
      <c r="H21" s="12"/>
      <c r="I21" s="5">
        <v>8</v>
      </c>
      <c r="J21" s="6"/>
      <c r="K21" s="6"/>
      <c r="L21" s="12">
        <f t="shared" si="4"/>
        <v>0</v>
      </c>
      <c r="M21" s="6">
        <f t="shared" si="5"/>
        <v>11.25773705291369</v>
      </c>
      <c r="N21" s="12">
        <f t="shared" si="6"/>
        <v>0</v>
      </c>
      <c r="O21" s="12">
        <f t="shared" si="7"/>
        <v>1</v>
      </c>
      <c r="Q21" s="5">
        <v>8</v>
      </c>
      <c r="R21" s="7"/>
      <c r="S21" s="7"/>
      <c r="T21" s="12">
        <f t="shared" si="8"/>
        <v>0</v>
      </c>
      <c r="U21" s="6">
        <f t="shared" si="9"/>
        <v>11.25773705291369</v>
      </c>
      <c r="V21" s="12">
        <f t="shared" si="10"/>
        <v>0</v>
      </c>
      <c r="W21" s="12">
        <f t="shared" si="11"/>
        <v>1.5</v>
      </c>
    </row>
    <row r="22" spans="1:23" x14ac:dyDescent="0.25">
      <c r="A22" s="5">
        <v>9</v>
      </c>
      <c r="B22" s="7"/>
      <c r="C22" s="7"/>
      <c r="D22" s="12">
        <f t="shared" si="0"/>
        <v>0</v>
      </c>
      <c r="E22" s="6">
        <f t="shared" si="1"/>
        <v>11.25773705291369</v>
      </c>
      <c r="F22" s="12">
        <f t="shared" si="2"/>
        <v>0</v>
      </c>
      <c r="G22" s="12">
        <f t="shared" si="3"/>
        <v>0.5</v>
      </c>
      <c r="H22" s="12"/>
      <c r="I22" s="5">
        <v>9</v>
      </c>
      <c r="J22" s="6"/>
      <c r="K22" s="6"/>
      <c r="L22" s="12">
        <f t="shared" si="4"/>
        <v>0</v>
      </c>
      <c r="M22" s="6">
        <f t="shared" si="5"/>
        <v>11.25773705291369</v>
      </c>
      <c r="N22" s="12">
        <f t="shared" si="6"/>
        <v>0</v>
      </c>
      <c r="O22" s="12">
        <f t="shared" si="7"/>
        <v>1</v>
      </c>
      <c r="Q22" s="5">
        <v>9</v>
      </c>
      <c r="R22" s="7"/>
      <c r="S22" s="7"/>
      <c r="T22" s="12">
        <f t="shared" si="8"/>
        <v>0</v>
      </c>
      <c r="U22" s="6">
        <f t="shared" si="9"/>
        <v>11.25773705291369</v>
      </c>
      <c r="V22" s="12">
        <f t="shared" si="10"/>
        <v>0</v>
      </c>
      <c r="W22" s="12">
        <f t="shared" si="11"/>
        <v>1.5</v>
      </c>
    </row>
    <row r="23" spans="1:23" x14ac:dyDescent="0.25">
      <c r="A23" s="5">
        <v>10</v>
      </c>
      <c r="B23" s="7"/>
      <c r="C23" s="7"/>
      <c r="D23" s="12">
        <f t="shared" si="0"/>
        <v>0</v>
      </c>
      <c r="E23" s="6">
        <f t="shared" si="1"/>
        <v>11.25773705291369</v>
      </c>
      <c r="F23" s="12">
        <f t="shared" si="2"/>
        <v>0</v>
      </c>
      <c r="G23" s="12">
        <f t="shared" si="3"/>
        <v>0.5</v>
      </c>
      <c r="H23" s="12"/>
      <c r="I23" s="5">
        <v>10</v>
      </c>
      <c r="J23" s="6"/>
      <c r="K23" s="6"/>
      <c r="L23" s="12">
        <f t="shared" si="4"/>
        <v>0</v>
      </c>
      <c r="M23" s="6">
        <f t="shared" si="5"/>
        <v>11.25773705291369</v>
      </c>
      <c r="N23" s="12">
        <f t="shared" si="6"/>
        <v>0</v>
      </c>
      <c r="O23" s="12">
        <f t="shared" si="7"/>
        <v>1</v>
      </c>
      <c r="Q23" s="5">
        <v>10</v>
      </c>
      <c r="R23" s="7"/>
      <c r="S23" s="7"/>
      <c r="T23" s="12">
        <f t="shared" si="8"/>
        <v>0</v>
      </c>
      <c r="U23" s="6">
        <f t="shared" si="9"/>
        <v>11.25773705291369</v>
      </c>
      <c r="V23" s="12">
        <f t="shared" si="10"/>
        <v>0</v>
      </c>
      <c r="W23" s="12">
        <f t="shared" si="11"/>
        <v>1.5</v>
      </c>
    </row>
    <row r="24" spans="1:23" x14ac:dyDescent="0.25">
      <c r="A24" s="5">
        <v>11</v>
      </c>
      <c r="B24" s="7"/>
      <c r="C24" s="7"/>
      <c r="D24" s="12">
        <f t="shared" si="0"/>
        <v>0</v>
      </c>
      <c r="E24" s="6">
        <f t="shared" si="1"/>
        <v>11.25773705291369</v>
      </c>
      <c r="F24" s="12">
        <f t="shared" si="2"/>
        <v>0</v>
      </c>
      <c r="G24" s="12">
        <f t="shared" si="3"/>
        <v>0.5</v>
      </c>
      <c r="H24" s="12"/>
      <c r="I24" s="5">
        <v>11</v>
      </c>
      <c r="J24" s="6"/>
      <c r="K24" s="6"/>
      <c r="L24" s="12">
        <f t="shared" si="4"/>
        <v>0</v>
      </c>
      <c r="M24" s="6">
        <f t="shared" si="5"/>
        <v>11.25773705291369</v>
      </c>
      <c r="N24" s="12">
        <f t="shared" si="6"/>
        <v>0</v>
      </c>
      <c r="O24" s="12">
        <f t="shared" si="7"/>
        <v>1</v>
      </c>
      <c r="Q24" s="5">
        <v>11</v>
      </c>
      <c r="R24" s="7"/>
      <c r="S24" s="7"/>
      <c r="T24" s="12">
        <f t="shared" si="8"/>
        <v>0</v>
      </c>
      <c r="U24" s="6">
        <f t="shared" si="9"/>
        <v>11.25773705291369</v>
      </c>
      <c r="V24" s="12">
        <f t="shared" si="10"/>
        <v>0</v>
      </c>
      <c r="W24" s="12">
        <f t="shared" si="11"/>
        <v>1.5</v>
      </c>
    </row>
    <row r="25" spans="1:23" x14ac:dyDescent="0.25">
      <c r="A25" s="5">
        <v>12</v>
      </c>
      <c r="B25" s="7"/>
      <c r="C25" s="7"/>
      <c r="D25" s="12">
        <f t="shared" si="0"/>
        <v>0</v>
      </c>
      <c r="E25" s="6">
        <f t="shared" si="1"/>
        <v>11.25773705291369</v>
      </c>
      <c r="F25" s="12">
        <f t="shared" si="2"/>
        <v>0</v>
      </c>
      <c r="G25" s="12">
        <f t="shared" si="3"/>
        <v>0.5</v>
      </c>
      <c r="H25" s="12"/>
      <c r="I25" s="5">
        <v>12</v>
      </c>
      <c r="J25" s="6"/>
      <c r="K25" s="6"/>
      <c r="L25" s="12">
        <f t="shared" si="4"/>
        <v>0</v>
      </c>
      <c r="M25" s="6">
        <f t="shared" si="5"/>
        <v>11.25773705291369</v>
      </c>
      <c r="N25" s="12">
        <f t="shared" si="6"/>
        <v>0</v>
      </c>
      <c r="O25" s="12">
        <f t="shared" si="7"/>
        <v>1</v>
      </c>
      <c r="Q25" s="5">
        <v>12</v>
      </c>
      <c r="R25" s="7"/>
      <c r="S25" s="7"/>
      <c r="T25" s="12">
        <f t="shared" si="8"/>
        <v>0</v>
      </c>
      <c r="U25" s="6">
        <f t="shared" si="9"/>
        <v>11.25773705291369</v>
      </c>
      <c r="V25" s="12">
        <f t="shared" si="10"/>
        <v>0</v>
      </c>
      <c r="W25" s="12">
        <f t="shared" si="11"/>
        <v>1.5</v>
      </c>
    </row>
    <row r="26" spans="1:23" x14ac:dyDescent="0.25">
      <c r="A26" s="5">
        <v>13</v>
      </c>
      <c r="B26" s="7"/>
      <c r="C26" s="7"/>
      <c r="D26" s="12">
        <f t="shared" si="0"/>
        <v>0</v>
      </c>
      <c r="E26" s="6">
        <f t="shared" si="1"/>
        <v>11.25773705291369</v>
      </c>
      <c r="F26" s="12">
        <f t="shared" si="2"/>
        <v>0</v>
      </c>
      <c r="G26" s="12">
        <f t="shared" si="3"/>
        <v>0.5</v>
      </c>
      <c r="H26" s="12"/>
      <c r="I26" s="5">
        <v>13</v>
      </c>
      <c r="J26" s="6"/>
      <c r="K26" s="6"/>
      <c r="L26" s="12">
        <f t="shared" si="4"/>
        <v>0</v>
      </c>
      <c r="M26" s="6">
        <f t="shared" si="5"/>
        <v>11.25773705291369</v>
      </c>
      <c r="N26" s="12">
        <f t="shared" si="6"/>
        <v>0</v>
      </c>
      <c r="O26" s="12">
        <f t="shared" si="7"/>
        <v>1</v>
      </c>
      <c r="Q26" s="5">
        <v>13</v>
      </c>
      <c r="R26" s="7"/>
      <c r="S26" s="7"/>
      <c r="T26" s="12">
        <f t="shared" si="8"/>
        <v>0</v>
      </c>
      <c r="U26" s="6">
        <f t="shared" si="9"/>
        <v>11.25773705291369</v>
      </c>
      <c r="V26" s="12">
        <f t="shared" si="10"/>
        <v>0</v>
      </c>
      <c r="W26" s="12">
        <f t="shared" si="11"/>
        <v>1.5</v>
      </c>
    </row>
    <row r="27" spans="1:23" x14ac:dyDescent="0.25">
      <c r="A27" s="5">
        <v>14</v>
      </c>
      <c r="B27" s="7"/>
      <c r="C27" s="7"/>
      <c r="D27" s="12">
        <f t="shared" si="0"/>
        <v>0</v>
      </c>
      <c r="E27" s="6">
        <f t="shared" si="1"/>
        <v>11.25773705291369</v>
      </c>
      <c r="F27" s="12">
        <f t="shared" si="2"/>
        <v>0</v>
      </c>
      <c r="G27" s="12">
        <f t="shared" si="3"/>
        <v>0.5</v>
      </c>
      <c r="H27" s="12"/>
      <c r="I27" s="5">
        <v>14</v>
      </c>
      <c r="J27" s="6"/>
      <c r="K27" s="6"/>
      <c r="L27" s="12">
        <f t="shared" si="4"/>
        <v>0</v>
      </c>
      <c r="M27" s="6">
        <f t="shared" si="5"/>
        <v>11.25773705291369</v>
      </c>
      <c r="N27" s="12">
        <f t="shared" si="6"/>
        <v>0</v>
      </c>
      <c r="O27" s="12">
        <f t="shared" si="7"/>
        <v>1</v>
      </c>
      <c r="Q27" s="5">
        <v>14</v>
      </c>
      <c r="R27" s="7"/>
      <c r="S27" s="7"/>
      <c r="T27" s="12">
        <f t="shared" si="8"/>
        <v>0</v>
      </c>
      <c r="U27" s="6">
        <f t="shared" si="9"/>
        <v>11.25773705291369</v>
      </c>
      <c r="V27" s="12">
        <f t="shared" si="10"/>
        <v>0</v>
      </c>
      <c r="W27" s="12">
        <f t="shared" si="11"/>
        <v>1.5</v>
      </c>
    </row>
    <row r="28" spans="1:23" x14ac:dyDescent="0.25">
      <c r="A28" s="5">
        <v>15</v>
      </c>
      <c r="B28" s="7"/>
      <c r="C28" s="7"/>
      <c r="D28" s="12">
        <f t="shared" si="0"/>
        <v>0</v>
      </c>
      <c r="E28" s="6">
        <f t="shared" si="1"/>
        <v>11.25773705291369</v>
      </c>
      <c r="F28" s="12">
        <f t="shared" si="2"/>
        <v>0</v>
      </c>
      <c r="G28" s="12">
        <f t="shared" si="3"/>
        <v>0.5</v>
      </c>
      <c r="H28" s="12"/>
      <c r="I28" s="5">
        <v>15</v>
      </c>
      <c r="J28" s="6"/>
      <c r="K28" s="6"/>
      <c r="L28" s="12">
        <f t="shared" si="4"/>
        <v>0</v>
      </c>
      <c r="M28" s="6">
        <f t="shared" si="5"/>
        <v>11.25773705291369</v>
      </c>
      <c r="N28" s="12">
        <f t="shared" si="6"/>
        <v>0</v>
      </c>
      <c r="O28" s="12">
        <f t="shared" si="7"/>
        <v>1</v>
      </c>
      <c r="Q28" s="5">
        <v>15</v>
      </c>
      <c r="R28" s="7"/>
      <c r="S28" s="7"/>
      <c r="T28" s="12">
        <f t="shared" si="8"/>
        <v>0</v>
      </c>
      <c r="U28" s="6">
        <f t="shared" si="9"/>
        <v>11.25773705291369</v>
      </c>
      <c r="V28" s="12">
        <f t="shared" si="10"/>
        <v>0</v>
      </c>
      <c r="W28" s="12">
        <f t="shared" si="11"/>
        <v>1.5</v>
      </c>
    </row>
    <row r="29" spans="1:23" x14ac:dyDescent="0.25">
      <c r="A29" s="5">
        <v>16</v>
      </c>
      <c r="B29" s="7"/>
      <c r="C29" s="7"/>
      <c r="D29" s="12">
        <f t="shared" si="0"/>
        <v>0</v>
      </c>
      <c r="E29" s="6">
        <f t="shared" si="1"/>
        <v>11.25773705291369</v>
      </c>
      <c r="F29" s="12">
        <f t="shared" si="2"/>
        <v>0</v>
      </c>
      <c r="G29" s="12">
        <f t="shared" si="3"/>
        <v>0.5</v>
      </c>
      <c r="H29" s="12"/>
      <c r="I29" s="5">
        <v>16</v>
      </c>
      <c r="J29" s="6"/>
      <c r="K29" s="6"/>
      <c r="L29" s="12">
        <f t="shared" si="4"/>
        <v>0</v>
      </c>
      <c r="M29" s="6">
        <f t="shared" si="5"/>
        <v>11.25773705291369</v>
      </c>
      <c r="N29" s="12">
        <f t="shared" si="6"/>
        <v>0</v>
      </c>
      <c r="O29" s="12">
        <f t="shared" si="7"/>
        <v>1</v>
      </c>
      <c r="Q29" s="5">
        <v>16</v>
      </c>
      <c r="R29" s="7"/>
      <c r="S29" s="7"/>
      <c r="T29" s="12">
        <f t="shared" si="8"/>
        <v>0</v>
      </c>
      <c r="U29" s="6">
        <f t="shared" si="9"/>
        <v>11.25773705291369</v>
      </c>
      <c r="V29" s="12">
        <f t="shared" si="10"/>
        <v>0</v>
      </c>
      <c r="W29" s="12">
        <f t="shared" si="11"/>
        <v>1.5</v>
      </c>
    </row>
    <row r="30" spans="1:23" x14ac:dyDescent="0.25">
      <c r="A30" s="5">
        <v>17</v>
      </c>
      <c r="B30" s="7"/>
      <c r="C30" s="7"/>
      <c r="D30" s="12">
        <f t="shared" si="0"/>
        <v>0</v>
      </c>
      <c r="E30" s="6">
        <f t="shared" si="1"/>
        <v>11.25773705291369</v>
      </c>
      <c r="F30" s="12">
        <f t="shared" si="2"/>
        <v>0</v>
      </c>
      <c r="G30" s="12">
        <f t="shared" si="3"/>
        <v>0.5</v>
      </c>
      <c r="H30" s="12"/>
      <c r="I30" s="5">
        <v>17</v>
      </c>
      <c r="J30" s="6"/>
      <c r="K30" s="6"/>
      <c r="L30" s="12">
        <f t="shared" si="4"/>
        <v>0</v>
      </c>
      <c r="M30" s="6">
        <f t="shared" si="5"/>
        <v>11.25773705291369</v>
      </c>
      <c r="N30" s="12">
        <f t="shared" si="6"/>
        <v>0</v>
      </c>
      <c r="O30" s="12">
        <f t="shared" si="7"/>
        <v>1</v>
      </c>
      <c r="Q30" s="5">
        <v>17</v>
      </c>
      <c r="R30" s="7"/>
      <c r="S30" s="7"/>
      <c r="T30" s="12">
        <f t="shared" si="8"/>
        <v>0</v>
      </c>
      <c r="U30" s="6">
        <f t="shared" si="9"/>
        <v>11.25773705291369</v>
      </c>
      <c r="V30" s="12">
        <f t="shared" si="10"/>
        <v>0</v>
      </c>
      <c r="W30" s="12">
        <f t="shared" si="11"/>
        <v>1.5</v>
      </c>
    </row>
    <row r="31" spans="1:23" x14ac:dyDescent="0.25">
      <c r="A31" s="5">
        <v>18</v>
      </c>
      <c r="B31" s="7"/>
      <c r="C31" s="7"/>
      <c r="D31" s="12">
        <f t="shared" si="0"/>
        <v>0</v>
      </c>
      <c r="E31" s="6">
        <f t="shared" si="1"/>
        <v>11.25773705291369</v>
      </c>
      <c r="F31" s="12">
        <f t="shared" si="2"/>
        <v>0</v>
      </c>
      <c r="G31" s="12">
        <f t="shared" si="3"/>
        <v>0.5</v>
      </c>
      <c r="H31" s="12"/>
      <c r="I31" s="5">
        <v>18</v>
      </c>
      <c r="J31" s="6"/>
      <c r="K31" s="6"/>
      <c r="L31" s="12">
        <f t="shared" si="4"/>
        <v>0</v>
      </c>
      <c r="M31" s="6">
        <f t="shared" si="5"/>
        <v>11.25773705291369</v>
      </c>
      <c r="N31" s="12">
        <f t="shared" si="6"/>
        <v>0</v>
      </c>
      <c r="O31" s="12">
        <f t="shared" si="7"/>
        <v>1</v>
      </c>
      <c r="Q31" s="5">
        <v>18</v>
      </c>
      <c r="R31" s="7"/>
      <c r="S31" s="7"/>
      <c r="T31" s="12">
        <f t="shared" si="8"/>
        <v>0</v>
      </c>
      <c r="U31" s="6">
        <f t="shared" si="9"/>
        <v>11.25773705291369</v>
      </c>
      <c r="V31" s="12">
        <f t="shared" si="10"/>
        <v>0</v>
      </c>
      <c r="W31" s="12">
        <f t="shared" si="11"/>
        <v>1.5</v>
      </c>
    </row>
    <row r="32" spans="1:23" x14ac:dyDescent="0.25">
      <c r="A32" s="5">
        <v>19</v>
      </c>
      <c r="B32" s="7"/>
      <c r="C32" s="7"/>
      <c r="D32" s="12">
        <f t="shared" si="0"/>
        <v>0</v>
      </c>
      <c r="E32" s="6">
        <f t="shared" si="1"/>
        <v>11.25773705291369</v>
      </c>
      <c r="F32" s="12">
        <f t="shared" si="2"/>
        <v>0</v>
      </c>
      <c r="G32" s="12">
        <f t="shared" si="3"/>
        <v>0.5</v>
      </c>
      <c r="H32" s="12"/>
      <c r="I32" s="5">
        <v>19</v>
      </c>
      <c r="J32" s="6"/>
      <c r="K32" s="6"/>
      <c r="L32" s="12">
        <f t="shared" si="4"/>
        <v>0</v>
      </c>
      <c r="M32" s="6">
        <f t="shared" si="5"/>
        <v>11.25773705291369</v>
      </c>
      <c r="N32" s="12">
        <f t="shared" si="6"/>
        <v>0</v>
      </c>
      <c r="O32" s="12">
        <f t="shared" si="7"/>
        <v>1</v>
      </c>
      <c r="Q32" s="5">
        <v>19</v>
      </c>
      <c r="R32" s="7"/>
      <c r="S32" s="7"/>
      <c r="T32" s="12">
        <f t="shared" si="8"/>
        <v>0</v>
      </c>
      <c r="U32" s="6">
        <f t="shared" si="9"/>
        <v>11.25773705291369</v>
      </c>
      <c r="V32" s="12">
        <f t="shared" si="10"/>
        <v>0</v>
      </c>
      <c r="W32" s="12">
        <f t="shared" si="11"/>
        <v>1.5</v>
      </c>
    </row>
    <row r="33" spans="1:23" x14ac:dyDescent="0.25">
      <c r="A33" s="5">
        <v>20</v>
      </c>
      <c r="B33" s="7"/>
      <c r="C33" s="7"/>
      <c r="D33" s="12">
        <f t="shared" si="0"/>
        <v>0</v>
      </c>
      <c r="E33" s="6">
        <f t="shared" si="1"/>
        <v>11.25773705291369</v>
      </c>
      <c r="F33" s="12">
        <f t="shared" si="2"/>
        <v>0</v>
      </c>
      <c r="G33" s="12">
        <f t="shared" si="3"/>
        <v>0.5</v>
      </c>
      <c r="H33" s="12"/>
      <c r="I33" s="5">
        <v>20</v>
      </c>
      <c r="J33" s="6"/>
      <c r="K33" s="6"/>
      <c r="L33" s="12">
        <f t="shared" si="4"/>
        <v>0</v>
      </c>
      <c r="M33" s="6">
        <f t="shared" si="5"/>
        <v>11.25773705291369</v>
      </c>
      <c r="N33" s="12">
        <f t="shared" si="6"/>
        <v>0</v>
      </c>
      <c r="O33" s="12">
        <f t="shared" si="7"/>
        <v>1</v>
      </c>
      <c r="Q33" s="5">
        <v>20</v>
      </c>
      <c r="R33" s="7"/>
      <c r="S33" s="7"/>
      <c r="T33" s="12">
        <f t="shared" si="8"/>
        <v>0</v>
      </c>
      <c r="U33" s="6">
        <f t="shared" si="9"/>
        <v>11.25773705291369</v>
      </c>
      <c r="V33" s="12">
        <f t="shared" si="10"/>
        <v>0</v>
      </c>
      <c r="W33" s="12">
        <f t="shared" si="11"/>
        <v>1.5</v>
      </c>
    </row>
    <row r="34" spans="1:23" x14ac:dyDescent="0.25">
      <c r="A34" s="5">
        <v>21</v>
      </c>
      <c r="B34" s="7"/>
      <c r="C34" s="7"/>
      <c r="D34" s="12">
        <f t="shared" si="0"/>
        <v>0</v>
      </c>
      <c r="E34" s="6">
        <f t="shared" si="1"/>
        <v>11.25773705291369</v>
      </c>
      <c r="F34" s="12">
        <f t="shared" si="2"/>
        <v>0</v>
      </c>
      <c r="G34" s="12">
        <f t="shared" si="3"/>
        <v>0.5</v>
      </c>
      <c r="I34" s="5">
        <v>21</v>
      </c>
      <c r="J34" s="6"/>
      <c r="K34" s="6"/>
      <c r="L34" s="12">
        <f t="shared" si="4"/>
        <v>0</v>
      </c>
      <c r="M34" s="6">
        <f t="shared" si="5"/>
        <v>11.25773705291369</v>
      </c>
      <c r="N34" s="12">
        <f t="shared" si="6"/>
        <v>0</v>
      </c>
      <c r="O34" s="12">
        <f t="shared" si="7"/>
        <v>1</v>
      </c>
      <c r="Q34" s="5">
        <v>21</v>
      </c>
      <c r="R34" s="7"/>
      <c r="S34" s="7"/>
      <c r="T34" s="12">
        <f t="shared" si="8"/>
        <v>0</v>
      </c>
      <c r="U34" s="6">
        <f t="shared" si="9"/>
        <v>11.25773705291369</v>
      </c>
      <c r="V34" s="12">
        <f t="shared" si="10"/>
        <v>0</v>
      </c>
      <c r="W34" s="12">
        <f t="shared" si="11"/>
        <v>1.5</v>
      </c>
    </row>
    <row r="35" spans="1:23" x14ac:dyDescent="0.25">
      <c r="A35" s="5">
        <v>22</v>
      </c>
      <c r="B35" s="7"/>
      <c r="C35" s="7"/>
      <c r="D35" s="12">
        <f t="shared" si="0"/>
        <v>0</v>
      </c>
      <c r="E35" s="6">
        <f t="shared" si="1"/>
        <v>11.25773705291369</v>
      </c>
      <c r="F35" s="12">
        <f t="shared" si="2"/>
        <v>0</v>
      </c>
      <c r="G35" s="12">
        <f t="shared" si="3"/>
        <v>0.5</v>
      </c>
      <c r="I35" s="5">
        <v>22</v>
      </c>
      <c r="J35" s="6"/>
      <c r="K35" s="6"/>
      <c r="L35" s="12">
        <f t="shared" si="4"/>
        <v>0</v>
      </c>
      <c r="M35" s="6">
        <f t="shared" si="5"/>
        <v>11.25773705291369</v>
      </c>
      <c r="N35" s="12">
        <f t="shared" si="6"/>
        <v>0</v>
      </c>
      <c r="O35" s="12">
        <f t="shared" si="7"/>
        <v>1</v>
      </c>
      <c r="Q35" s="5">
        <v>22</v>
      </c>
      <c r="R35" s="7"/>
      <c r="S35" s="7"/>
      <c r="T35" s="12">
        <f t="shared" si="8"/>
        <v>0</v>
      </c>
      <c r="U35" s="6">
        <f t="shared" si="9"/>
        <v>11.25773705291369</v>
      </c>
      <c r="V35" s="12">
        <f t="shared" si="10"/>
        <v>0</v>
      </c>
      <c r="W35" s="12">
        <f t="shared" si="11"/>
        <v>1.5</v>
      </c>
    </row>
    <row r="36" spans="1:23" x14ac:dyDescent="0.25">
      <c r="A36" s="5">
        <v>23</v>
      </c>
      <c r="B36" s="7"/>
      <c r="C36" s="7"/>
      <c r="D36" s="12">
        <f t="shared" si="0"/>
        <v>0</v>
      </c>
      <c r="E36" s="6">
        <f t="shared" si="1"/>
        <v>11.25773705291369</v>
      </c>
      <c r="F36" s="12">
        <f t="shared" si="2"/>
        <v>0</v>
      </c>
      <c r="G36" s="12">
        <f t="shared" si="3"/>
        <v>0.5</v>
      </c>
      <c r="I36" s="5">
        <v>23</v>
      </c>
      <c r="J36" s="6"/>
      <c r="K36" s="6"/>
      <c r="L36" s="12">
        <f t="shared" si="4"/>
        <v>0</v>
      </c>
      <c r="M36" s="6">
        <f t="shared" si="5"/>
        <v>11.25773705291369</v>
      </c>
      <c r="N36" s="12">
        <f t="shared" si="6"/>
        <v>0</v>
      </c>
      <c r="O36" s="12">
        <f t="shared" si="7"/>
        <v>1</v>
      </c>
      <c r="Q36" s="5">
        <v>23</v>
      </c>
      <c r="R36" s="7"/>
      <c r="S36" s="7"/>
      <c r="T36" s="12">
        <f t="shared" si="8"/>
        <v>0</v>
      </c>
      <c r="U36" s="6">
        <f t="shared" si="9"/>
        <v>11.25773705291369</v>
      </c>
      <c r="V36" s="12">
        <f t="shared" si="10"/>
        <v>0</v>
      </c>
      <c r="W36" s="12">
        <f t="shared" si="11"/>
        <v>1.5</v>
      </c>
    </row>
    <row r="37" spans="1:23" x14ac:dyDescent="0.25">
      <c r="A37" s="5">
        <v>24</v>
      </c>
      <c r="B37" s="7"/>
      <c r="C37" s="7"/>
      <c r="D37" s="12">
        <f t="shared" si="0"/>
        <v>0</v>
      </c>
      <c r="E37" s="6">
        <f t="shared" si="1"/>
        <v>11.25773705291369</v>
      </c>
      <c r="F37" s="12">
        <f t="shared" si="2"/>
        <v>0</v>
      </c>
      <c r="G37" s="12">
        <f t="shared" si="3"/>
        <v>0.5</v>
      </c>
      <c r="I37" s="5">
        <v>24</v>
      </c>
      <c r="J37" s="6"/>
      <c r="K37" s="6"/>
      <c r="L37" s="12">
        <f t="shared" si="4"/>
        <v>0</v>
      </c>
      <c r="M37" s="6">
        <f t="shared" si="5"/>
        <v>11.25773705291369</v>
      </c>
      <c r="N37" s="12">
        <f t="shared" si="6"/>
        <v>0</v>
      </c>
      <c r="O37" s="12">
        <f t="shared" si="7"/>
        <v>1</v>
      </c>
      <c r="Q37" s="5">
        <v>24</v>
      </c>
      <c r="R37" s="7"/>
      <c r="S37" s="7"/>
      <c r="T37" s="12">
        <f t="shared" si="8"/>
        <v>0</v>
      </c>
      <c r="U37" s="6">
        <f t="shared" si="9"/>
        <v>11.25773705291369</v>
      </c>
      <c r="V37" s="12">
        <f t="shared" si="10"/>
        <v>0</v>
      </c>
      <c r="W37" s="12">
        <f t="shared" si="11"/>
        <v>1.5</v>
      </c>
    </row>
    <row r="38" spans="1:23" x14ac:dyDescent="0.25">
      <c r="A38" s="5">
        <v>25</v>
      </c>
      <c r="B38" s="7"/>
      <c r="C38" s="7"/>
      <c r="D38" s="12">
        <f t="shared" si="0"/>
        <v>0</v>
      </c>
      <c r="E38" s="6">
        <f t="shared" si="1"/>
        <v>11.25773705291369</v>
      </c>
      <c r="F38" s="12">
        <f t="shared" si="2"/>
        <v>0</v>
      </c>
      <c r="G38" s="12">
        <f t="shared" si="3"/>
        <v>0.5</v>
      </c>
      <c r="I38" s="5">
        <v>25</v>
      </c>
      <c r="J38" s="6"/>
      <c r="K38" s="6"/>
      <c r="L38" s="12">
        <f t="shared" si="4"/>
        <v>0</v>
      </c>
      <c r="M38" s="6">
        <f t="shared" si="5"/>
        <v>11.25773705291369</v>
      </c>
      <c r="N38" s="12">
        <f t="shared" si="6"/>
        <v>0</v>
      </c>
      <c r="O38" s="12">
        <f t="shared" si="7"/>
        <v>1</v>
      </c>
      <c r="Q38" s="5">
        <v>25</v>
      </c>
      <c r="R38" s="7"/>
      <c r="S38" s="7"/>
      <c r="T38" s="12">
        <f t="shared" si="8"/>
        <v>0</v>
      </c>
      <c r="U38" s="6">
        <f t="shared" si="9"/>
        <v>11.25773705291369</v>
      </c>
      <c r="V38" s="12">
        <f t="shared" si="10"/>
        <v>0</v>
      </c>
      <c r="W38" s="12">
        <f t="shared" si="11"/>
        <v>1.5</v>
      </c>
    </row>
    <row r="39" spans="1:23" x14ac:dyDescent="0.25">
      <c r="A39" s="5">
        <v>26</v>
      </c>
      <c r="B39" s="7"/>
      <c r="C39" s="7"/>
      <c r="D39" s="12">
        <f t="shared" si="0"/>
        <v>0</v>
      </c>
      <c r="E39" s="6">
        <f t="shared" si="1"/>
        <v>11.25773705291369</v>
      </c>
      <c r="F39" s="12">
        <f t="shared" si="2"/>
        <v>0</v>
      </c>
      <c r="G39" s="12">
        <f t="shared" si="3"/>
        <v>0.5</v>
      </c>
      <c r="I39" s="5">
        <v>26</v>
      </c>
      <c r="J39" s="6"/>
      <c r="K39" s="6"/>
      <c r="L39" s="12">
        <f t="shared" si="4"/>
        <v>0</v>
      </c>
      <c r="M39" s="6">
        <f t="shared" si="5"/>
        <v>11.25773705291369</v>
      </c>
      <c r="N39" s="12">
        <f t="shared" si="6"/>
        <v>0</v>
      </c>
      <c r="O39" s="12">
        <f t="shared" si="7"/>
        <v>1</v>
      </c>
      <c r="Q39" s="5">
        <v>26</v>
      </c>
      <c r="R39" s="7"/>
      <c r="S39" s="7"/>
      <c r="T39" s="12">
        <f t="shared" si="8"/>
        <v>0</v>
      </c>
      <c r="U39" s="6">
        <f t="shared" si="9"/>
        <v>11.25773705291369</v>
      </c>
      <c r="V39" s="12">
        <f t="shared" si="10"/>
        <v>0</v>
      </c>
      <c r="W39" s="12">
        <f t="shared" si="11"/>
        <v>1.5</v>
      </c>
    </row>
    <row r="40" spans="1:23" x14ac:dyDescent="0.25">
      <c r="A40" s="5">
        <v>27</v>
      </c>
      <c r="B40" s="7"/>
      <c r="C40" s="7"/>
      <c r="D40" s="12">
        <f t="shared" si="0"/>
        <v>0</v>
      </c>
      <c r="E40" s="6">
        <f t="shared" si="1"/>
        <v>11.25773705291369</v>
      </c>
      <c r="F40" s="12">
        <f t="shared" si="2"/>
        <v>0</v>
      </c>
      <c r="G40" s="12">
        <f t="shared" si="3"/>
        <v>0.5</v>
      </c>
      <c r="I40" s="5">
        <v>27</v>
      </c>
      <c r="J40" s="6"/>
      <c r="K40" s="6"/>
      <c r="L40" s="12">
        <f t="shared" si="4"/>
        <v>0</v>
      </c>
      <c r="M40" s="6">
        <f t="shared" si="5"/>
        <v>11.25773705291369</v>
      </c>
      <c r="N40" s="12">
        <f t="shared" si="6"/>
        <v>0</v>
      </c>
      <c r="O40" s="12">
        <f t="shared" si="7"/>
        <v>1</v>
      </c>
      <c r="Q40" s="5">
        <v>27</v>
      </c>
      <c r="R40" s="7"/>
      <c r="S40" s="7"/>
      <c r="T40" s="12">
        <f t="shared" si="8"/>
        <v>0</v>
      </c>
      <c r="U40" s="6">
        <f t="shared" si="9"/>
        <v>11.25773705291369</v>
      </c>
      <c r="V40" s="12">
        <f t="shared" si="10"/>
        <v>0</v>
      </c>
      <c r="W40" s="12">
        <f t="shared" si="11"/>
        <v>1.5</v>
      </c>
    </row>
    <row r="41" spans="1:23" x14ac:dyDescent="0.25">
      <c r="A41" s="5">
        <v>28</v>
      </c>
      <c r="B41" s="7"/>
      <c r="C41" s="7"/>
      <c r="D41" s="12">
        <f t="shared" si="0"/>
        <v>0</v>
      </c>
      <c r="E41" s="6">
        <f t="shared" si="1"/>
        <v>11.25773705291369</v>
      </c>
      <c r="F41" s="12">
        <f t="shared" si="2"/>
        <v>0</v>
      </c>
      <c r="G41" s="12">
        <f t="shared" si="3"/>
        <v>0.5</v>
      </c>
      <c r="I41" s="5">
        <v>28</v>
      </c>
      <c r="J41" s="6"/>
      <c r="K41" s="6"/>
      <c r="L41" s="12">
        <f t="shared" si="4"/>
        <v>0</v>
      </c>
      <c r="M41" s="6">
        <f t="shared" si="5"/>
        <v>11.25773705291369</v>
      </c>
      <c r="N41" s="12">
        <f t="shared" si="6"/>
        <v>0</v>
      </c>
      <c r="O41" s="12">
        <f t="shared" si="7"/>
        <v>1</v>
      </c>
      <c r="Q41" s="5">
        <v>28</v>
      </c>
      <c r="R41" s="7"/>
      <c r="S41" s="7"/>
      <c r="T41" s="12">
        <f t="shared" si="8"/>
        <v>0</v>
      </c>
      <c r="U41" s="6">
        <f t="shared" si="9"/>
        <v>11.25773705291369</v>
      </c>
      <c r="V41" s="12">
        <f t="shared" si="10"/>
        <v>0</v>
      </c>
      <c r="W41" s="12">
        <f t="shared" si="11"/>
        <v>1.5</v>
      </c>
    </row>
    <row r="42" spans="1:23" x14ac:dyDescent="0.25">
      <c r="A42" s="5">
        <v>29</v>
      </c>
      <c r="B42" s="7"/>
      <c r="C42" s="7"/>
      <c r="D42" s="12">
        <f t="shared" si="0"/>
        <v>0</v>
      </c>
      <c r="E42" s="6">
        <f t="shared" si="1"/>
        <v>11.25773705291369</v>
      </c>
      <c r="F42" s="12">
        <f t="shared" si="2"/>
        <v>0</v>
      </c>
      <c r="G42" s="12">
        <f t="shared" si="3"/>
        <v>0.5</v>
      </c>
      <c r="I42" s="5">
        <v>29</v>
      </c>
      <c r="J42" s="6"/>
      <c r="K42" s="6"/>
      <c r="L42" s="12">
        <f t="shared" si="4"/>
        <v>0</v>
      </c>
      <c r="M42" s="6">
        <f t="shared" si="5"/>
        <v>11.25773705291369</v>
      </c>
      <c r="N42" s="12">
        <f t="shared" si="6"/>
        <v>0</v>
      </c>
      <c r="O42" s="12">
        <f t="shared" si="7"/>
        <v>1</v>
      </c>
      <c r="Q42" s="5">
        <v>29</v>
      </c>
      <c r="R42" s="7"/>
      <c r="S42" s="7"/>
      <c r="T42" s="12">
        <f t="shared" si="8"/>
        <v>0</v>
      </c>
      <c r="U42" s="6">
        <f t="shared" si="9"/>
        <v>11.25773705291369</v>
      </c>
      <c r="V42" s="12">
        <f t="shared" si="10"/>
        <v>0</v>
      </c>
      <c r="W42" s="12">
        <f t="shared" si="11"/>
        <v>1.5</v>
      </c>
    </row>
    <row r="43" spans="1:23" x14ac:dyDescent="0.25">
      <c r="A43" s="5">
        <v>30</v>
      </c>
      <c r="B43" s="7"/>
      <c r="C43" s="7"/>
      <c r="D43" s="12">
        <f t="shared" si="0"/>
        <v>0</v>
      </c>
      <c r="E43" s="6">
        <f t="shared" si="1"/>
        <v>11.25773705291369</v>
      </c>
      <c r="F43" s="12">
        <f t="shared" si="2"/>
        <v>0</v>
      </c>
      <c r="G43" s="12">
        <f t="shared" si="3"/>
        <v>0.5</v>
      </c>
      <c r="I43" s="5">
        <v>30</v>
      </c>
      <c r="J43" s="6"/>
      <c r="K43" s="6"/>
      <c r="L43" s="12">
        <f t="shared" si="4"/>
        <v>0</v>
      </c>
      <c r="M43" s="6">
        <f t="shared" si="5"/>
        <v>11.25773705291369</v>
      </c>
      <c r="N43" s="12">
        <f t="shared" si="6"/>
        <v>0</v>
      </c>
      <c r="O43" s="12">
        <f t="shared" si="7"/>
        <v>1</v>
      </c>
      <c r="Q43" s="5">
        <v>30</v>
      </c>
      <c r="R43" s="7"/>
      <c r="S43" s="7"/>
      <c r="T43" s="12">
        <f t="shared" si="8"/>
        <v>0</v>
      </c>
      <c r="U43" s="6">
        <f t="shared" si="9"/>
        <v>11.25773705291369</v>
      </c>
      <c r="V43" s="12">
        <f t="shared" si="10"/>
        <v>0</v>
      </c>
      <c r="W43" s="12">
        <f t="shared" si="11"/>
        <v>1.5</v>
      </c>
    </row>
    <row r="44" spans="1:23" x14ac:dyDescent="0.25">
      <c r="A44" s="5">
        <v>31</v>
      </c>
      <c r="B44" s="7"/>
      <c r="C44" s="7"/>
      <c r="D44" s="12">
        <f t="shared" si="0"/>
        <v>0</v>
      </c>
      <c r="E44" s="6">
        <f t="shared" si="1"/>
        <v>11.25773705291369</v>
      </c>
      <c r="F44" s="12">
        <f t="shared" si="2"/>
        <v>0</v>
      </c>
      <c r="G44" s="12">
        <f t="shared" si="3"/>
        <v>0.5</v>
      </c>
      <c r="I44" s="5">
        <v>31</v>
      </c>
      <c r="J44" s="6"/>
      <c r="K44" s="6"/>
      <c r="L44" s="12">
        <f t="shared" si="4"/>
        <v>0</v>
      </c>
      <c r="M44" s="6">
        <f t="shared" si="5"/>
        <v>11.25773705291369</v>
      </c>
      <c r="N44" s="12">
        <f t="shared" si="6"/>
        <v>0</v>
      </c>
      <c r="O44" s="12">
        <f t="shared" si="7"/>
        <v>1</v>
      </c>
      <c r="Q44" s="5">
        <v>31</v>
      </c>
      <c r="R44" s="7"/>
      <c r="S44" s="7"/>
      <c r="T44" s="12">
        <f t="shared" si="8"/>
        <v>0</v>
      </c>
      <c r="U44" s="6">
        <f t="shared" si="9"/>
        <v>11.25773705291369</v>
      </c>
      <c r="V44" s="12">
        <f t="shared" si="10"/>
        <v>0</v>
      </c>
      <c r="W44" s="12">
        <f t="shared" si="11"/>
        <v>1.5</v>
      </c>
    </row>
    <row r="45" spans="1:23" x14ac:dyDescent="0.25">
      <c r="A45" s="5">
        <v>32</v>
      </c>
      <c r="B45" s="7"/>
      <c r="C45" s="7"/>
      <c r="D45" s="12">
        <f t="shared" si="0"/>
        <v>0</v>
      </c>
      <c r="E45" s="6">
        <f t="shared" si="1"/>
        <v>11.25773705291369</v>
      </c>
      <c r="F45" s="12">
        <f t="shared" si="2"/>
        <v>0</v>
      </c>
      <c r="G45" s="12">
        <f t="shared" si="3"/>
        <v>0.5</v>
      </c>
      <c r="I45" s="5">
        <v>32</v>
      </c>
      <c r="J45" s="6"/>
      <c r="K45" s="6"/>
      <c r="L45" s="12">
        <f t="shared" si="4"/>
        <v>0</v>
      </c>
      <c r="M45" s="6">
        <f t="shared" si="5"/>
        <v>11.25773705291369</v>
      </c>
      <c r="N45" s="12">
        <f t="shared" si="6"/>
        <v>0</v>
      </c>
      <c r="O45" s="12">
        <f t="shared" si="7"/>
        <v>1</v>
      </c>
      <c r="Q45" s="5">
        <v>32</v>
      </c>
      <c r="R45" s="7"/>
      <c r="S45" s="7"/>
      <c r="T45" s="12">
        <f t="shared" si="8"/>
        <v>0</v>
      </c>
      <c r="U45" s="6">
        <f t="shared" si="9"/>
        <v>11.25773705291369</v>
      </c>
      <c r="V45" s="12">
        <f t="shared" si="10"/>
        <v>0</v>
      </c>
      <c r="W45" s="12">
        <f t="shared" si="11"/>
        <v>1.5</v>
      </c>
    </row>
    <row r="46" spans="1:23" x14ac:dyDescent="0.25">
      <c r="A46" s="5">
        <v>33</v>
      </c>
      <c r="B46" s="7"/>
      <c r="C46" s="7"/>
      <c r="D46" s="12">
        <f t="shared" ref="D46:D77" si="12">(B46/$D$7)*100</f>
        <v>0</v>
      </c>
      <c r="E46" s="6">
        <f t="shared" ref="E46:E77" si="13">$D$6/(1-(D46/100))</f>
        <v>11.25773705291369</v>
      </c>
      <c r="F46" s="12">
        <f t="shared" ref="F46:F77" si="14">C46/E46</f>
        <v>0</v>
      </c>
      <c r="G46" s="12">
        <f t="shared" ref="G46:G77" si="15">F46+$D$10</f>
        <v>0.5</v>
      </c>
      <c r="I46" s="5">
        <v>33</v>
      </c>
      <c r="J46" s="6"/>
      <c r="K46" s="6"/>
      <c r="L46" s="12">
        <f t="shared" ref="L46:L77" si="16">(J46/$L$7)*100</f>
        <v>0</v>
      </c>
      <c r="M46" s="6">
        <f t="shared" ref="M46:M77" si="17">$L$6/(1-(L46/100))</f>
        <v>11.25773705291369</v>
      </c>
      <c r="N46" s="12">
        <f t="shared" ref="N46:N77" si="18">K46/M46</f>
        <v>0</v>
      </c>
      <c r="O46" s="12">
        <f t="shared" ref="O46:O77" si="19">N46+$L$10</f>
        <v>1</v>
      </c>
      <c r="Q46" s="5">
        <v>33</v>
      </c>
      <c r="R46" s="7"/>
      <c r="S46" s="7"/>
      <c r="T46" s="12">
        <f t="shared" ref="T46:T77" si="20">(R46/$T$7)*100</f>
        <v>0</v>
      </c>
      <c r="U46" s="6">
        <f t="shared" ref="U46:U77" si="21">$T$6/(1-(T46/100))</f>
        <v>11.25773705291369</v>
      </c>
      <c r="V46" s="12">
        <f t="shared" ref="V46:V77" si="22">S46/U46</f>
        <v>0</v>
      </c>
      <c r="W46" s="12">
        <f t="shared" ref="W46:W77" si="23">V46+$T$10</f>
        <v>1.5</v>
      </c>
    </row>
    <row r="47" spans="1:23" x14ac:dyDescent="0.25">
      <c r="A47" s="5">
        <v>34</v>
      </c>
      <c r="B47" s="7"/>
      <c r="C47" s="7"/>
      <c r="D47" s="12">
        <f t="shared" si="12"/>
        <v>0</v>
      </c>
      <c r="E47" s="6">
        <f t="shared" si="13"/>
        <v>11.25773705291369</v>
      </c>
      <c r="F47" s="12">
        <f t="shared" si="14"/>
        <v>0</v>
      </c>
      <c r="G47" s="12">
        <f t="shared" si="15"/>
        <v>0.5</v>
      </c>
      <c r="I47" s="5">
        <v>34</v>
      </c>
      <c r="J47" s="6"/>
      <c r="K47" s="6"/>
      <c r="L47" s="12">
        <f t="shared" si="16"/>
        <v>0</v>
      </c>
      <c r="M47" s="6">
        <f t="shared" si="17"/>
        <v>11.25773705291369</v>
      </c>
      <c r="N47" s="12">
        <f t="shared" si="18"/>
        <v>0</v>
      </c>
      <c r="O47" s="12">
        <f t="shared" si="19"/>
        <v>1</v>
      </c>
      <c r="Q47" s="5">
        <v>34</v>
      </c>
      <c r="R47" s="7"/>
      <c r="S47" s="7"/>
      <c r="T47" s="12">
        <f t="shared" si="20"/>
        <v>0</v>
      </c>
      <c r="U47" s="6">
        <f t="shared" si="21"/>
        <v>11.25773705291369</v>
      </c>
      <c r="V47" s="12">
        <f t="shared" si="22"/>
        <v>0</v>
      </c>
      <c r="W47" s="12">
        <f t="shared" si="23"/>
        <v>1.5</v>
      </c>
    </row>
    <row r="48" spans="1:23" x14ac:dyDescent="0.25">
      <c r="A48" s="5">
        <v>35</v>
      </c>
      <c r="B48" s="7"/>
      <c r="C48" s="7"/>
      <c r="D48" s="12">
        <f t="shared" si="12"/>
        <v>0</v>
      </c>
      <c r="E48" s="6">
        <f t="shared" si="13"/>
        <v>11.25773705291369</v>
      </c>
      <c r="F48" s="12">
        <f t="shared" si="14"/>
        <v>0</v>
      </c>
      <c r="G48" s="12">
        <f t="shared" si="15"/>
        <v>0.5</v>
      </c>
      <c r="I48" s="5">
        <v>35</v>
      </c>
      <c r="J48" s="6"/>
      <c r="K48" s="6"/>
      <c r="L48" s="12">
        <f t="shared" si="16"/>
        <v>0</v>
      </c>
      <c r="M48" s="6">
        <f t="shared" si="17"/>
        <v>11.25773705291369</v>
      </c>
      <c r="N48" s="12">
        <f t="shared" si="18"/>
        <v>0</v>
      </c>
      <c r="O48" s="12">
        <f t="shared" si="19"/>
        <v>1</v>
      </c>
      <c r="Q48" s="5">
        <v>35</v>
      </c>
      <c r="R48" s="7"/>
      <c r="S48" s="7"/>
      <c r="T48" s="12">
        <f t="shared" si="20"/>
        <v>0</v>
      </c>
      <c r="U48" s="6">
        <f t="shared" si="21"/>
        <v>11.25773705291369</v>
      </c>
      <c r="V48" s="12">
        <f t="shared" si="22"/>
        <v>0</v>
      </c>
      <c r="W48" s="12">
        <f t="shared" si="23"/>
        <v>1.5</v>
      </c>
    </row>
    <row r="49" spans="1:23" x14ac:dyDescent="0.25">
      <c r="A49" s="5">
        <v>36</v>
      </c>
      <c r="B49" s="7"/>
      <c r="C49" s="7"/>
      <c r="D49" s="12">
        <f t="shared" si="12"/>
        <v>0</v>
      </c>
      <c r="E49" s="6">
        <f t="shared" si="13"/>
        <v>11.25773705291369</v>
      </c>
      <c r="F49" s="12">
        <f t="shared" si="14"/>
        <v>0</v>
      </c>
      <c r="G49" s="12">
        <f t="shared" si="15"/>
        <v>0.5</v>
      </c>
      <c r="I49" s="5">
        <v>36</v>
      </c>
      <c r="J49" s="6"/>
      <c r="K49" s="6"/>
      <c r="L49" s="12">
        <f t="shared" si="16"/>
        <v>0</v>
      </c>
      <c r="M49" s="6">
        <f t="shared" si="17"/>
        <v>11.25773705291369</v>
      </c>
      <c r="N49" s="12">
        <f t="shared" si="18"/>
        <v>0</v>
      </c>
      <c r="O49" s="12">
        <f t="shared" si="19"/>
        <v>1</v>
      </c>
      <c r="Q49" s="5">
        <v>36</v>
      </c>
      <c r="R49" s="7"/>
      <c r="S49" s="7"/>
      <c r="T49" s="12">
        <f t="shared" si="20"/>
        <v>0</v>
      </c>
      <c r="U49" s="6">
        <f t="shared" si="21"/>
        <v>11.25773705291369</v>
      </c>
      <c r="V49" s="12">
        <f t="shared" si="22"/>
        <v>0</v>
      </c>
      <c r="W49" s="12">
        <f t="shared" si="23"/>
        <v>1.5</v>
      </c>
    </row>
    <row r="50" spans="1:23" x14ac:dyDescent="0.25">
      <c r="A50" s="5">
        <v>37</v>
      </c>
      <c r="B50" s="7"/>
      <c r="C50" s="7"/>
      <c r="D50" s="12">
        <f t="shared" si="12"/>
        <v>0</v>
      </c>
      <c r="E50" s="6">
        <f t="shared" si="13"/>
        <v>11.25773705291369</v>
      </c>
      <c r="F50" s="12">
        <f t="shared" si="14"/>
        <v>0</v>
      </c>
      <c r="G50" s="12">
        <f t="shared" si="15"/>
        <v>0.5</v>
      </c>
      <c r="I50" s="5">
        <v>37</v>
      </c>
      <c r="J50" s="6"/>
      <c r="K50" s="6"/>
      <c r="L50" s="12">
        <f t="shared" si="16"/>
        <v>0</v>
      </c>
      <c r="M50" s="6">
        <f t="shared" si="17"/>
        <v>11.25773705291369</v>
      </c>
      <c r="N50" s="12">
        <f t="shared" si="18"/>
        <v>0</v>
      </c>
      <c r="O50" s="12">
        <f t="shared" si="19"/>
        <v>1</v>
      </c>
      <c r="Q50" s="5">
        <v>37</v>
      </c>
      <c r="R50" s="7"/>
      <c r="S50" s="7"/>
      <c r="T50" s="12">
        <f t="shared" si="20"/>
        <v>0</v>
      </c>
      <c r="U50" s="6">
        <f t="shared" si="21"/>
        <v>11.25773705291369</v>
      </c>
      <c r="V50" s="12">
        <f t="shared" si="22"/>
        <v>0</v>
      </c>
      <c r="W50" s="12">
        <f t="shared" si="23"/>
        <v>1.5</v>
      </c>
    </row>
    <row r="51" spans="1:23" x14ac:dyDescent="0.25">
      <c r="A51" s="5">
        <v>38</v>
      </c>
      <c r="B51" s="7"/>
      <c r="C51" s="7"/>
      <c r="D51" s="12">
        <f t="shared" si="12"/>
        <v>0</v>
      </c>
      <c r="E51" s="6">
        <f t="shared" si="13"/>
        <v>11.25773705291369</v>
      </c>
      <c r="F51" s="12">
        <f t="shared" si="14"/>
        <v>0</v>
      </c>
      <c r="G51" s="12">
        <f t="shared" si="15"/>
        <v>0.5</v>
      </c>
      <c r="I51" s="5">
        <v>38</v>
      </c>
      <c r="J51" s="6"/>
      <c r="K51" s="6"/>
      <c r="L51" s="12">
        <f t="shared" si="16"/>
        <v>0</v>
      </c>
      <c r="M51" s="6">
        <f t="shared" si="17"/>
        <v>11.25773705291369</v>
      </c>
      <c r="N51" s="12">
        <f t="shared" si="18"/>
        <v>0</v>
      </c>
      <c r="O51" s="12">
        <f t="shared" si="19"/>
        <v>1</v>
      </c>
      <c r="Q51" s="5">
        <v>38</v>
      </c>
      <c r="R51" s="7"/>
      <c r="S51" s="7"/>
      <c r="T51" s="12">
        <f t="shared" si="20"/>
        <v>0</v>
      </c>
      <c r="U51" s="6">
        <f t="shared" si="21"/>
        <v>11.25773705291369</v>
      </c>
      <c r="V51" s="12">
        <f t="shared" si="22"/>
        <v>0</v>
      </c>
      <c r="W51" s="12">
        <f t="shared" si="23"/>
        <v>1.5</v>
      </c>
    </row>
    <row r="52" spans="1:23" x14ac:dyDescent="0.25">
      <c r="A52" s="5">
        <v>39</v>
      </c>
      <c r="B52" s="7"/>
      <c r="C52" s="7"/>
      <c r="D52" s="12">
        <f t="shared" si="12"/>
        <v>0</v>
      </c>
      <c r="E52" s="6">
        <f t="shared" si="13"/>
        <v>11.25773705291369</v>
      </c>
      <c r="F52" s="12">
        <f t="shared" si="14"/>
        <v>0</v>
      </c>
      <c r="G52" s="12">
        <f t="shared" si="15"/>
        <v>0.5</v>
      </c>
      <c r="I52" s="5">
        <v>39</v>
      </c>
      <c r="J52" s="6"/>
      <c r="K52" s="6"/>
      <c r="L52" s="12">
        <f t="shared" si="16"/>
        <v>0</v>
      </c>
      <c r="M52" s="6">
        <f t="shared" si="17"/>
        <v>11.25773705291369</v>
      </c>
      <c r="N52" s="12">
        <f t="shared" si="18"/>
        <v>0</v>
      </c>
      <c r="O52" s="12">
        <f t="shared" si="19"/>
        <v>1</v>
      </c>
      <c r="Q52" s="5">
        <v>39</v>
      </c>
      <c r="R52" s="7"/>
      <c r="S52" s="7"/>
      <c r="T52" s="12">
        <f t="shared" si="20"/>
        <v>0</v>
      </c>
      <c r="U52" s="6">
        <f t="shared" si="21"/>
        <v>11.25773705291369</v>
      </c>
      <c r="V52" s="12">
        <f t="shared" si="22"/>
        <v>0</v>
      </c>
      <c r="W52" s="12">
        <f t="shared" si="23"/>
        <v>1.5</v>
      </c>
    </row>
    <row r="53" spans="1:23" x14ac:dyDescent="0.25">
      <c r="A53" s="5">
        <v>40</v>
      </c>
      <c r="B53" s="7"/>
      <c r="C53" s="7"/>
      <c r="D53" s="12">
        <f t="shared" si="12"/>
        <v>0</v>
      </c>
      <c r="E53" s="6">
        <f t="shared" si="13"/>
        <v>11.25773705291369</v>
      </c>
      <c r="F53" s="12">
        <f t="shared" si="14"/>
        <v>0</v>
      </c>
      <c r="G53" s="12">
        <f t="shared" si="15"/>
        <v>0.5</v>
      </c>
      <c r="I53" s="5">
        <v>40</v>
      </c>
      <c r="J53" s="6"/>
      <c r="K53" s="6"/>
      <c r="L53" s="12">
        <f t="shared" si="16"/>
        <v>0</v>
      </c>
      <c r="M53" s="6">
        <f t="shared" si="17"/>
        <v>11.25773705291369</v>
      </c>
      <c r="N53" s="12">
        <f t="shared" si="18"/>
        <v>0</v>
      </c>
      <c r="O53" s="12">
        <f t="shared" si="19"/>
        <v>1</v>
      </c>
      <c r="Q53" s="5">
        <v>40</v>
      </c>
      <c r="R53" s="7"/>
      <c r="S53" s="7"/>
      <c r="T53" s="12">
        <f t="shared" si="20"/>
        <v>0</v>
      </c>
      <c r="U53" s="6">
        <f t="shared" si="21"/>
        <v>11.25773705291369</v>
      </c>
      <c r="V53" s="12">
        <f t="shared" si="22"/>
        <v>0</v>
      </c>
      <c r="W53" s="12">
        <f t="shared" si="23"/>
        <v>1.5</v>
      </c>
    </row>
    <row r="54" spans="1:23" x14ac:dyDescent="0.25">
      <c r="A54" s="5">
        <v>41</v>
      </c>
      <c r="B54" s="7"/>
      <c r="C54" s="7"/>
      <c r="D54" s="12">
        <f t="shared" si="12"/>
        <v>0</v>
      </c>
      <c r="E54" s="6">
        <f t="shared" si="13"/>
        <v>11.25773705291369</v>
      </c>
      <c r="F54" s="12">
        <f t="shared" si="14"/>
        <v>0</v>
      </c>
      <c r="G54" s="12">
        <f t="shared" si="15"/>
        <v>0.5</v>
      </c>
      <c r="I54" s="5">
        <v>41</v>
      </c>
      <c r="J54" s="6"/>
      <c r="K54" s="6"/>
      <c r="L54" s="12">
        <f t="shared" si="16"/>
        <v>0</v>
      </c>
      <c r="M54" s="6">
        <f t="shared" si="17"/>
        <v>11.25773705291369</v>
      </c>
      <c r="N54" s="12">
        <f t="shared" si="18"/>
        <v>0</v>
      </c>
      <c r="O54" s="12">
        <f t="shared" si="19"/>
        <v>1</v>
      </c>
      <c r="Q54" s="5">
        <v>41</v>
      </c>
      <c r="R54" s="7"/>
      <c r="S54" s="7"/>
      <c r="T54" s="12">
        <f t="shared" si="20"/>
        <v>0</v>
      </c>
      <c r="U54" s="6">
        <f t="shared" si="21"/>
        <v>11.25773705291369</v>
      </c>
      <c r="V54" s="12">
        <f t="shared" si="22"/>
        <v>0</v>
      </c>
      <c r="W54" s="12">
        <f t="shared" si="23"/>
        <v>1.5</v>
      </c>
    </row>
    <row r="55" spans="1:23" x14ac:dyDescent="0.25">
      <c r="A55" s="5">
        <v>42</v>
      </c>
      <c r="B55" s="7"/>
      <c r="C55" s="7"/>
      <c r="D55" s="12">
        <f t="shared" si="12"/>
        <v>0</v>
      </c>
      <c r="E55" s="6">
        <f t="shared" si="13"/>
        <v>11.25773705291369</v>
      </c>
      <c r="F55" s="12">
        <f t="shared" si="14"/>
        <v>0</v>
      </c>
      <c r="G55" s="12">
        <f t="shared" si="15"/>
        <v>0.5</v>
      </c>
      <c r="I55" s="5">
        <v>42</v>
      </c>
      <c r="J55" s="6"/>
      <c r="K55" s="6"/>
      <c r="L55" s="12">
        <f t="shared" si="16"/>
        <v>0</v>
      </c>
      <c r="M55" s="6">
        <f t="shared" si="17"/>
        <v>11.25773705291369</v>
      </c>
      <c r="N55" s="12">
        <f t="shared" si="18"/>
        <v>0</v>
      </c>
      <c r="O55" s="12">
        <f t="shared" si="19"/>
        <v>1</v>
      </c>
      <c r="Q55" s="5">
        <v>42</v>
      </c>
      <c r="R55" s="7"/>
      <c r="S55" s="7"/>
      <c r="T55" s="12">
        <f t="shared" si="20"/>
        <v>0</v>
      </c>
      <c r="U55" s="6">
        <f t="shared" si="21"/>
        <v>11.25773705291369</v>
      </c>
      <c r="V55" s="12">
        <f t="shared" si="22"/>
        <v>0</v>
      </c>
      <c r="W55" s="12">
        <f t="shared" si="23"/>
        <v>1.5</v>
      </c>
    </row>
    <row r="56" spans="1:23" x14ac:dyDescent="0.25">
      <c r="A56" s="5">
        <v>43</v>
      </c>
      <c r="B56" s="7"/>
      <c r="C56" s="7"/>
      <c r="D56" s="12">
        <f t="shared" si="12"/>
        <v>0</v>
      </c>
      <c r="E56" s="6">
        <f t="shared" si="13"/>
        <v>11.25773705291369</v>
      </c>
      <c r="F56" s="12">
        <f t="shared" si="14"/>
        <v>0</v>
      </c>
      <c r="G56" s="12">
        <f t="shared" si="15"/>
        <v>0.5</v>
      </c>
      <c r="I56" s="5">
        <v>43</v>
      </c>
      <c r="J56" s="6"/>
      <c r="K56" s="6"/>
      <c r="L56" s="12">
        <f t="shared" si="16"/>
        <v>0</v>
      </c>
      <c r="M56" s="6">
        <f t="shared" si="17"/>
        <v>11.25773705291369</v>
      </c>
      <c r="N56" s="12">
        <f t="shared" si="18"/>
        <v>0</v>
      </c>
      <c r="O56" s="12">
        <f t="shared" si="19"/>
        <v>1</v>
      </c>
      <c r="Q56" s="5">
        <v>43</v>
      </c>
      <c r="R56" s="7"/>
      <c r="S56" s="7"/>
      <c r="T56" s="12">
        <f t="shared" si="20"/>
        <v>0</v>
      </c>
      <c r="U56" s="6">
        <f t="shared" si="21"/>
        <v>11.25773705291369</v>
      </c>
      <c r="V56" s="12">
        <f t="shared" si="22"/>
        <v>0</v>
      </c>
      <c r="W56" s="12">
        <f t="shared" si="23"/>
        <v>1.5</v>
      </c>
    </row>
    <row r="57" spans="1:23" x14ac:dyDescent="0.25">
      <c r="A57" s="5">
        <v>44</v>
      </c>
      <c r="B57" s="7"/>
      <c r="C57" s="7"/>
      <c r="D57" s="12">
        <f t="shared" si="12"/>
        <v>0</v>
      </c>
      <c r="E57" s="6">
        <f t="shared" si="13"/>
        <v>11.25773705291369</v>
      </c>
      <c r="F57" s="12">
        <f t="shared" si="14"/>
        <v>0</v>
      </c>
      <c r="G57" s="12">
        <f t="shared" si="15"/>
        <v>0.5</v>
      </c>
      <c r="I57" s="5">
        <v>44</v>
      </c>
      <c r="J57" s="6"/>
      <c r="K57" s="6"/>
      <c r="L57" s="12">
        <f t="shared" si="16"/>
        <v>0</v>
      </c>
      <c r="M57" s="6">
        <f t="shared" si="17"/>
        <v>11.25773705291369</v>
      </c>
      <c r="N57" s="12">
        <f t="shared" si="18"/>
        <v>0</v>
      </c>
      <c r="O57" s="12">
        <f t="shared" si="19"/>
        <v>1</v>
      </c>
      <c r="Q57" s="5">
        <v>44</v>
      </c>
      <c r="R57" s="7"/>
      <c r="S57" s="7"/>
      <c r="T57" s="12">
        <f t="shared" si="20"/>
        <v>0</v>
      </c>
      <c r="U57" s="6">
        <f t="shared" si="21"/>
        <v>11.25773705291369</v>
      </c>
      <c r="V57" s="12">
        <f t="shared" si="22"/>
        <v>0</v>
      </c>
      <c r="W57" s="12">
        <f t="shared" si="23"/>
        <v>1.5</v>
      </c>
    </row>
    <row r="58" spans="1:23" x14ac:dyDescent="0.25">
      <c r="A58" s="5">
        <v>45</v>
      </c>
      <c r="B58" s="7"/>
      <c r="C58" s="7"/>
      <c r="D58" s="12">
        <f t="shared" si="12"/>
        <v>0</v>
      </c>
      <c r="E58" s="6">
        <f t="shared" si="13"/>
        <v>11.25773705291369</v>
      </c>
      <c r="F58" s="12">
        <f t="shared" si="14"/>
        <v>0</v>
      </c>
      <c r="G58" s="12">
        <f t="shared" si="15"/>
        <v>0.5</v>
      </c>
      <c r="I58" s="5">
        <v>45</v>
      </c>
      <c r="J58" s="6"/>
      <c r="K58" s="6"/>
      <c r="L58" s="12">
        <f t="shared" si="16"/>
        <v>0</v>
      </c>
      <c r="M58" s="6">
        <f t="shared" si="17"/>
        <v>11.25773705291369</v>
      </c>
      <c r="N58" s="12">
        <f t="shared" si="18"/>
        <v>0</v>
      </c>
      <c r="O58" s="12">
        <f t="shared" si="19"/>
        <v>1</v>
      </c>
      <c r="Q58" s="5">
        <v>45</v>
      </c>
      <c r="R58" s="7"/>
      <c r="S58" s="7"/>
      <c r="T58" s="12">
        <f t="shared" si="20"/>
        <v>0</v>
      </c>
      <c r="U58" s="6">
        <f t="shared" si="21"/>
        <v>11.25773705291369</v>
      </c>
      <c r="V58" s="12">
        <f t="shared" si="22"/>
        <v>0</v>
      </c>
      <c r="W58" s="12">
        <f t="shared" si="23"/>
        <v>1.5</v>
      </c>
    </row>
    <row r="59" spans="1:23" x14ac:dyDescent="0.25">
      <c r="A59" s="5">
        <v>46</v>
      </c>
      <c r="B59" s="7"/>
      <c r="C59" s="7"/>
      <c r="D59" s="12">
        <f t="shared" si="12"/>
        <v>0</v>
      </c>
      <c r="E59" s="6">
        <f t="shared" si="13"/>
        <v>11.25773705291369</v>
      </c>
      <c r="F59" s="12">
        <f t="shared" si="14"/>
        <v>0</v>
      </c>
      <c r="G59" s="12">
        <f t="shared" si="15"/>
        <v>0.5</v>
      </c>
      <c r="I59" s="5">
        <v>46</v>
      </c>
      <c r="J59" s="6"/>
      <c r="K59" s="6"/>
      <c r="L59" s="12">
        <f t="shared" si="16"/>
        <v>0</v>
      </c>
      <c r="M59" s="6">
        <f t="shared" si="17"/>
        <v>11.25773705291369</v>
      </c>
      <c r="N59" s="12">
        <f t="shared" si="18"/>
        <v>0</v>
      </c>
      <c r="O59" s="12">
        <f t="shared" si="19"/>
        <v>1</v>
      </c>
      <c r="Q59" s="5">
        <v>46</v>
      </c>
      <c r="R59" s="7"/>
      <c r="S59" s="7"/>
      <c r="T59" s="12">
        <f t="shared" si="20"/>
        <v>0</v>
      </c>
      <c r="U59" s="6">
        <f t="shared" si="21"/>
        <v>11.25773705291369</v>
      </c>
      <c r="V59" s="12">
        <f t="shared" si="22"/>
        <v>0</v>
      </c>
      <c r="W59" s="12">
        <f t="shared" si="23"/>
        <v>1.5</v>
      </c>
    </row>
    <row r="60" spans="1:23" x14ac:dyDescent="0.25">
      <c r="A60" s="5">
        <v>47</v>
      </c>
      <c r="B60" s="7"/>
      <c r="C60" s="7"/>
      <c r="D60" s="12">
        <f t="shared" si="12"/>
        <v>0</v>
      </c>
      <c r="E60" s="6">
        <f t="shared" si="13"/>
        <v>11.25773705291369</v>
      </c>
      <c r="F60" s="12">
        <f t="shared" si="14"/>
        <v>0</v>
      </c>
      <c r="G60" s="12">
        <f t="shared" si="15"/>
        <v>0.5</v>
      </c>
      <c r="I60" s="5">
        <v>47</v>
      </c>
      <c r="J60" s="6"/>
      <c r="K60" s="6"/>
      <c r="L60" s="12">
        <f t="shared" si="16"/>
        <v>0</v>
      </c>
      <c r="M60" s="6">
        <f t="shared" si="17"/>
        <v>11.25773705291369</v>
      </c>
      <c r="N60" s="12">
        <f t="shared" si="18"/>
        <v>0</v>
      </c>
      <c r="O60" s="12">
        <f t="shared" si="19"/>
        <v>1</v>
      </c>
      <c r="Q60" s="5">
        <v>47</v>
      </c>
      <c r="R60" s="7"/>
      <c r="S60" s="7"/>
      <c r="T60" s="12">
        <f t="shared" si="20"/>
        <v>0</v>
      </c>
      <c r="U60" s="6">
        <f t="shared" si="21"/>
        <v>11.25773705291369</v>
      </c>
      <c r="V60" s="12">
        <f t="shared" si="22"/>
        <v>0</v>
      </c>
      <c r="W60" s="12">
        <f t="shared" si="23"/>
        <v>1.5</v>
      </c>
    </row>
    <row r="61" spans="1:23" x14ac:dyDescent="0.25">
      <c r="A61" s="5">
        <v>48</v>
      </c>
      <c r="B61" s="7"/>
      <c r="C61" s="7"/>
      <c r="D61" s="12">
        <f t="shared" si="12"/>
        <v>0</v>
      </c>
      <c r="E61" s="6">
        <f t="shared" si="13"/>
        <v>11.25773705291369</v>
      </c>
      <c r="F61" s="12">
        <f t="shared" si="14"/>
        <v>0</v>
      </c>
      <c r="G61" s="12">
        <f t="shared" si="15"/>
        <v>0.5</v>
      </c>
      <c r="I61" s="5">
        <v>48</v>
      </c>
      <c r="J61" s="6"/>
      <c r="K61" s="6"/>
      <c r="L61" s="12">
        <f t="shared" si="16"/>
        <v>0</v>
      </c>
      <c r="M61" s="6">
        <f t="shared" si="17"/>
        <v>11.25773705291369</v>
      </c>
      <c r="N61" s="12">
        <f t="shared" si="18"/>
        <v>0</v>
      </c>
      <c r="O61" s="12">
        <f t="shared" si="19"/>
        <v>1</v>
      </c>
      <c r="Q61" s="5">
        <v>48</v>
      </c>
      <c r="R61" s="7"/>
      <c r="S61" s="7"/>
      <c r="T61" s="12">
        <f t="shared" si="20"/>
        <v>0</v>
      </c>
      <c r="U61" s="6">
        <f t="shared" si="21"/>
        <v>11.25773705291369</v>
      </c>
      <c r="V61" s="12">
        <f t="shared" si="22"/>
        <v>0</v>
      </c>
      <c r="W61" s="12">
        <f t="shared" si="23"/>
        <v>1.5</v>
      </c>
    </row>
    <row r="62" spans="1:23" x14ac:dyDescent="0.25">
      <c r="A62" s="5">
        <v>49</v>
      </c>
      <c r="B62" s="7"/>
      <c r="C62" s="7"/>
      <c r="D62" s="12">
        <f t="shared" si="12"/>
        <v>0</v>
      </c>
      <c r="E62" s="6">
        <f t="shared" si="13"/>
        <v>11.25773705291369</v>
      </c>
      <c r="F62" s="12">
        <f t="shared" si="14"/>
        <v>0</v>
      </c>
      <c r="G62" s="12">
        <f t="shared" si="15"/>
        <v>0.5</v>
      </c>
      <c r="I62" s="5">
        <v>49</v>
      </c>
      <c r="J62" s="6"/>
      <c r="K62" s="6"/>
      <c r="L62" s="12">
        <f t="shared" si="16"/>
        <v>0</v>
      </c>
      <c r="M62" s="6">
        <f t="shared" si="17"/>
        <v>11.25773705291369</v>
      </c>
      <c r="N62" s="12">
        <f t="shared" si="18"/>
        <v>0</v>
      </c>
      <c r="O62" s="12">
        <f t="shared" si="19"/>
        <v>1</v>
      </c>
      <c r="Q62" s="5">
        <v>49</v>
      </c>
      <c r="R62" s="7"/>
      <c r="S62" s="7"/>
      <c r="T62" s="12">
        <f t="shared" si="20"/>
        <v>0</v>
      </c>
      <c r="U62" s="6">
        <f t="shared" si="21"/>
        <v>11.25773705291369</v>
      </c>
      <c r="V62" s="12">
        <f t="shared" si="22"/>
        <v>0</v>
      </c>
      <c r="W62" s="12">
        <f t="shared" si="23"/>
        <v>1.5</v>
      </c>
    </row>
    <row r="63" spans="1:23" x14ac:dyDescent="0.25">
      <c r="A63" s="5">
        <v>50</v>
      </c>
      <c r="B63" s="7"/>
      <c r="C63" s="7"/>
      <c r="D63" s="12">
        <f t="shared" si="12"/>
        <v>0</v>
      </c>
      <c r="E63" s="6">
        <f t="shared" si="13"/>
        <v>11.25773705291369</v>
      </c>
      <c r="F63" s="12">
        <f t="shared" si="14"/>
        <v>0</v>
      </c>
      <c r="G63" s="12">
        <f t="shared" si="15"/>
        <v>0.5</v>
      </c>
      <c r="I63" s="5">
        <v>50</v>
      </c>
      <c r="J63" s="6"/>
      <c r="K63" s="6"/>
      <c r="L63" s="12">
        <f t="shared" si="16"/>
        <v>0</v>
      </c>
      <c r="M63" s="6">
        <f t="shared" si="17"/>
        <v>11.25773705291369</v>
      </c>
      <c r="N63" s="12">
        <f t="shared" si="18"/>
        <v>0</v>
      </c>
      <c r="O63" s="12">
        <f t="shared" si="19"/>
        <v>1</v>
      </c>
      <c r="Q63" s="5">
        <v>50</v>
      </c>
      <c r="R63" s="7"/>
      <c r="S63" s="7"/>
      <c r="T63" s="12">
        <f t="shared" si="20"/>
        <v>0</v>
      </c>
      <c r="U63" s="6">
        <f t="shared" si="21"/>
        <v>11.25773705291369</v>
      </c>
      <c r="V63" s="12">
        <f t="shared" si="22"/>
        <v>0</v>
      </c>
      <c r="W63" s="12">
        <f t="shared" si="23"/>
        <v>1.5</v>
      </c>
    </row>
    <row r="64" spans="1:23" x14ac:dyDescent="0.25">
      <c r="A64" s="5">
        <v>51</v>
      </c>
      <c r="B64" s="7"/>
      <c r="C64" s="7"/>
      <c r="D64" s="12">
        <f t="shared" si="12"/>
        <v>0</v>
      </c>
      <c r="E64" s="6">
        <f t="shared" si="13"/>
        <v>11.25773705291369</v>
      </c>
      <c r="F64" s="12">
        <f t="shared" si="14"/>
        <v>0</v>
      </c>
      <c r="G64" s="12">
        <f t="shared" si="15"/>
        <v>0.5</v>
      </c>
      <c r="I64" s="5">
        <v>51</v>
      </c>
      <c r="J64" s="6"/>
      <c r="K64" s="6"/>
      <c r="L64" s="12">
        <f t="shared" si="16"/>
        <v>0</v>
      </c>
      <c r="M64" s="6">
        <f t="shared" si="17"/>
        <v>11.25773705291369</v>
      </c>
      <c r="N64" s="12">
        <f t="shared" si="18"/>
        <v>0</v>
      </c>
      <c r="O64" s="12">
        <f t="shared" si="19"/>
        <v>1</v>
      </c>
      <c r="Q64" s="5">
        <v>51</v>
      </c>
      <c r="R64" s="7"/>
      <c r="S64" s="7"/>
      <c r="T64" s="12">
        <f t="shared" si="20"/>
        <v>0</v>
      </c>
      <c r="U64" s="6">
        <f t="shared" si="21"/>
        <v>11.25773705291369</v>
      </c>
      <c r="V64" s="12">
        <f t="shared" si="22"/>
        <v>0</v>
      </c>
      <c r="W64" s="12">
        <f t="shared" si="23"/>
        <v>1.5</v>
      </c>
    </row>
    <row r="65" spans="1:23" x14ac:dyDescent="0.25">
      <c r="A65" s="5">
        <v>52</v>
      </c>
      <c r="B65" s="7"/>
      <c r="C65" s="7"/>
      <c r="D65" s="12">
        <f t="shared" si="12"/>
        <v>0</v>
      </c>
      <c r="E65" s="6">
        <f t="shared" si="13"/>
        <v>11.25773705291369</v>
      </c>
      <c r="F65" s="12">
        <f t="shared" si="14"/>
        <v>0</v>
      </c>
      <c r="G65" s="12">
        <f t="shared" si="15"/>
        <v>0.5</v>
      </c>
      <c r="I65" s="5">
        <v>52</v>
      </c>
      <c r="J65" s="6"/>
      <c r="K65" s="6"/>
      <c r="L65" s="12">
        <f t="shared" si="16"/>
        <v>0</v>
      </c>
      <c r="M65" s="6">
        <f t="shared" si="17"/>
        <v>11.25773705291369</v>
      </c>
      <c r="N65" s="12">
        <f t="shared" si="18"/>
        <v>0</v>
      </c>
      <c r="O65" s="12">
        <f t="shared" si="19"/>
        <v>1</v>
      </c>
      <c r="Q65" s="5">
        <v>52</v>
      </c>
      <c r="R65" s="7"/>
      <c r="S65" s="7"/>
      <c r="T65" s="12">
        <f t="shared" si="20"/>
        <v>0</v>
      </c>
      <c r="U65" s="6">
        <f t="shared" si="21"/>
        <v>11.25773705291369</v>
      </c>
      <c r="V65" s="12">
        <f t="shared" si="22"/>
        <v>0</v>
      </c>
      <c r="W65" s="12">
        <f t="shared" si="23"/>
        <v>1.5</v>
      </c>
    </row>
    <row r="66" spans="1:23" x14ac:dyDescent="0.25">
      <c r="A66" s="5">
        <v>53</v>
      </c>
      <c r="B66" s="7"/>
      <c r="C66" s="7"/>
      <c r="D66" s="12">
        <f t="shared" si="12"/>
        <v>0</v>
      </c>
      <c r="E66" s="6">
        <f t="shared" si="13"/>
        <v>11.25773705291369</v>
      </c>
      <c r="F66" s="12">
        <f t="shared" si="14"/>
        <v>0</v>
      </c>
      <c r="G66" s="12">
        <f t="shared" si="15"/>
        <v>0.5</v>
      </c>
      <c r="I66" s="5">
        <v>53</v>
      </c>
      <c r="J66" s="6"/>
      <c r="K66" s="6"/>
      <c r="L66" s="12">
        <f t="shared" si="16"/>
        <v>0</v>
      </c>
      <c r="M66" s="6">
        <f t="shared" si="17"/>
        <v>11.25773705291369</v>
      </c>
      <c r="N66" s="12">
        <f t="shared" si="18"/>
        <v>0</v>
      </c>
      <c r="O66" s="12">
        <f t="shared" si="19"/>
        <v>1</v>
      </c>
      <c r="Q66" s="5">
        <v>53</v>
      </c>
      <c r="R66" s="7"/>
      <c r="S66" s="7"/>
      <c r="T66" s="12">
        <f t="shared" si="20"/>
        <v>0</v>
      </c>
      <c r="U66" s="6">
        <f t="shared" si="21"/>
        <v>11.25773705291369</v>
      </c>
      <c r="V66" s="12">
        <f t="shared" si="22"/>
        <v>0</v>
      </c>
      <c r="W66" s="12">
        <f t="shared" si="23"/>
        <v>1.5</v>
      </c>
    </row>
    <row r="67" spans="1:23" x14ac:dyDescent="0.25">
      <c r="A67" s="5">
        <v>54</v>
      </c>
      <c r="B67" s="7"/>
      <c r="C67" s="7"/>
      <c r="D67" s="12">
        <f t="shared" si="12"/>
        <v>0</v>
      </c>
      <c r="E67" s="6">
        <f t="shared" si="13"/>
        <v>11.25773705291369</v>
      </c>
      <c r="F67" s="12">
        <f t="shared" si="14"/>
        <v>0</v>
      </c>
      <c r="G67" s="12">
        <f t="shared" si="15"/>
        <v>0.5</v>
      </c>
      <c r="I67" s="5">
        <v>54</v>
      </c>
      <c r="J67" s="6"/>
      <c r="K67" s="6"/>
      <c r="L67" s="12">
        <f t="shared" si="16"/>
        <v>0</v>
      </c>
      <c r="M67" s="6">
        <f t="shared" si="17"/>
        <v>11.25773705291369</v>
      </c>
      <c r="N67" s="12">
        <f t="shared" si="18"/>
        <v>0</v>
      </c>
      <c r="O67" s="12">
        <f t="shared" si="19"/>
        <v>1</v>
      </c>
      <c r="Q67" s="5">
        <v>54</v>
      </c>
      <c r="R67" s="7"/>
      <c r="S67" s="7"/>
      <c r="T67" s="12">
        <f t="shared" si="20"/>
        <v>0</v>
      </c>
      <c r="U67" s="6">
        <f t="shared" si="21"/>
        <v>11.25773705291369</v>
      </c>
      <c r="V67" s="12">
        <f t="shared" si="22"/>
        <v>0</v>
      </c>
      <c r="W67" s="12">
        <f t="shared" si="23"/>
        <v>1.5</v>
      </c>
    </row>
    <row r="68" spans="1:23" x14ac:dyDescent="0.25">
      <c r="A68" s="5">
        <v>55</v>
      </c>
      <c r="B68" s="7"/>
      <c r="C68" s="7"/>
      <c r="D68" s="12">
        <f t="shared" si="12"/>
        <v>0</v>
      </c>
      <c r="E68" s="6">
        <f t="shared" si="13"/>
        <v>11.25773705291369</v>
      </c>
      <c r="F68" s="12">
        <f t="shared" si="14"/>
        <v>0</v>
      </c>
      <c r="G68" s="12">
        <f t="shared" si="15"/>
        <v>0.5</v>
      </c>
      <c r="I68" s="5">
        <v>55</v>
      </c>
      <c r="J68" s="6"/>
      <c r="K68" s="6"/>
      <c r="L68" s="12">
        <f t="shared" si="16"/>
        <v>0</v>
      </c>
      <c r="M68" s="6">
        <f t="shared" si="17"/>
        <v>11.25773705291369</v>
      </c>
      <c r="N68" s="12">
        <f t="shared" si="18"/>
        <v>0</v>
      </c>
      <c r="O68" s="12">
        <f t="shared" si="19"/>
        <v>1</v>
      </c>
      <c r="Q68" s="5">
        <v>55</v>
      </c>
      <c r="R68" s="7"/>
      <c r="S68" s="7"/>
      <c r="T68" s="12">
        <f t="shared" si="20"/>
        <v>0</v>
      </c>
      <c r="U68" s="6">
        <f t="shared" si="21"/>
        <v>11.25773705291369</v>
      </c>
      <c r="V68" s="12">
        <f t="shared" si="22"/>
        <v>0</v>
      </c>
      <c r="W68" s="12">
        <f t="shared" si="23"/>
        <v>1.5</v>
      </c>
    </row>
    <row r="69" spans="1:23" x14ac:dyDescent="0.25">
      <c r="A69" s="5">
        <v>56</v>
      </c>
      <c r="B69" s="7"/>
      <c r="C69" s="7"/>
      <c r="D69" s="12">
        <f t="shared" si="12"/>
        <v>0</v>
      </c>
      <c r="E69" s="6">
        <f t="shared" si="13"/>
        <v>11.25773705291369</v>
      </c>
      <c r="F69" s="12">
        <f t="shared" si="14"/>
        <v>0</v>
      </c>
      <c r="G69" s="12">
        <f t="shared" si="15"/>
        <v>0.5</v>
      </c>
      <c r="I69" s="5">
        <v>56</v>
      </c>
      <c r="J69" s="6"/>
      <c r="K69" s="6"/>
      <c r="L69" s="12">
        <f t="shared" si="16"/>
        <v>0</v>
      </c>
      <c r="M69" s="6">
        <f t="shared" si="17"/>
        <v>11.25773705291369</v>
      </c>
      <c r="N69" s="12">
        <f t="shared" si="18"/>
        <v>0</v>
      </c>
      <c r="O69" s="12">
        <f t="shared" si="19"/>
        <v>1</v>
      </c>
      <c r="Q69" s="5">
        <v>56</v>
      </c>
      <c r="R69" s="7"/>
      <c r="S69" s="7"/>
      <c r="T69" s="12">
        <f t="shared" si="20"/>
        <v>0</v>
      </c>
      <c r="U69" s="6">
        <f t="shared" si="21"/>
        <v>11.25773705291369</v>
      </c>
      <c r="V69" s="12">
        <f t="shared" si="22"/>
        <v>0</v>
      </c>
      <c r="W69" s="12">
        <f t="shared" si="23"/>
        <v>1.5</v>
      </c>
    </row>
    <row r="70" spans="1:23" x14ac:dyDescent="0.25">
      <c r="A70" s="5">
        <v>57</v>
      </c>
      <c r="B70" s="7"/>
      <c r="C70" s="7"/>
      <c r="D70" s="12">
        <f t="shared" si="12"/>
        <v>0</v>
      </c>
      <c r="E70" s="6">
        <f t="shared" si="13"/>
        <v>11.25773705291369</v>
      </c>
      <c r="F70" s="12">
        <f t="shared" si="14"/>
        <v>0</v>
      </c>
      <c r="G70" s="12">
        <f t="shared" si="15"/>
        <v>0.5</v>
      </c>
      <c r="I70" s="5">
        <v>57</v>
      </c>
      <c r="J70" s="6"/>
      <c r="K70" s="6"/>
      <c r="L70" s="12">
        <f t="shared" si="16"/>
        <v>0</v>
      </c>
      <c r="M70" s="6">
        <f t="shared" si="17"/>
        <v>11.25773705291369</v>
      </c>
      <c r="N70" s="12">
        <f t="shared" si="18"/>
        <v>0</v>
      </c>
      <c r="O70" s="12">
        <f t="shared" si="19"/>
        <v>1</v>
      </c>
      <c r="Q70" s="5">
        <v>57</v>
      </c>
      <c r="R70" s="7"/>
      <c r="S70" s="7"/>
      <c r="T70" s="12">
        <f t="shared" si="20"/>
        <v>0</v>
      </c>
      <c r="U70" s="6">
        <f t="shared" si="21"/>
        <v>11.25773705291369</v>
      </c>
      <c r="V70" s="12">
        <f t="shared" si="22"/>
        <v>0</v>
      </c>
      <c r="W70" s="12">
        <f t="shared" si="23"/>
        <v>1.5</v>
      </c>
    </row>
    <row r="71" spans="1:23" x14ac:dyDescent="0.25">
      <c r="A71" s="5">
        <v>58</v>
      </c>
      <c r="B71" s="7"/>
      <c r="C71" s="7"/>
      <c r="D71" s="12">
        <f t="shared" si="12"/>
        <v>0</v>
      </c>
      <c r="E71" s="6">
        <f t="shared" si="13"/>
        <v>11.25773705291369</v>
      </c>
      <c r="F71" s="12">
        <f t="shared" si="14"/>
        <v>0</v>
      </c>
      <c r="G71" s="12">
        <f t="shared" si="15"/>
        <v>0.5</v>
      </c>
      <c r="I71" s="5">
        <v>58</v>
      </c>
      <c r="J71" s="6"/>
      <c r="K71" s="6"/>
      <c r="L71" s="12">
        <f t="shared" si="16"/>
        <v>0</v>
      </c>
      <c r="M71" s="6">
        <f t="shared" si="17"/>
        <v>11.25773705291369</v>
      </c>
      <c r="N71" s="12">
        <f t="shared" si="18"/>
        <v>0</v>
      </c>
      <c r="O71" s="12">
        <f t="shared" si="19"/>
        <v>1</v>
      </c>
      <c r="Q71" s="5">
        <v>58</v>
      </c>
      <c r="R71" s="7"/>
      <c r="S71" s="7"/>
      <c r="T71" s="12">
        <f t="shared" si="20"/>
        <v>0</v>
      </c>
      <c r="U71" s="6">
        <f t="shared" si="21"/>
        <v>11.25773705291369</v>
      </c>
      <c r="V71" s="12">
        <f t="shared" si="22"/>
        <v>0</v>
      </c>
      <c r="W71" s="12">
        <f t="shared" si="23"/>
        <v>1.5</v>
      </c>
    </row>
    <row r="72" spans="1:23" x14ac:dyDescent="0.25">
      <c r="A72" s="5">
        <v>59</v>
      </c>
      <c r="B72" s="7"/>
      <c r="C72" s="7"/>
      <c r="D72" s="12">
        <f t="shared" si="12"/>
        <v>0</v>
      </c>
      <c r="E72" s="6">
        <f t="shared" si="13"/>
        <v>11.25773705291369</v>
      </c>
      <c r="F72" s="12">
        <f t="shared" si="14"/>
        <v>0</v>
      </c>
      <c r="G72" s="12">
        <f t="shared" si="15"/>
        <v>0.5</v>
      </c>
      <c r="I72" s="5">
        <v>59</v>
      </c>
      <c r="J72" s="6"/>
      <c r="K72" s="6"/>
      <c r="L72" s="12">
        <f t="shared" si="16"/>
        <v>0</v>
      </c>
      <c r="M72" s="6">
        <f t="shared" si="17"/>
        <v>11.25773705291369</v>
      </c>
      <c r="N72" s="12">
        <f t="shared" si="18"/>
        <v>0</v>
      </c>
      <c r="O72" s="12">
        <f t="shared" si="19"/>
        <v>1</v>
      </c>
      <c r="Q72" s="5">
        <v>59</v>
      </c>
      <c r="R72" s="7"/>
      <c r="S72" s="7"/>
      <c r="T72" s="12">
        <f t="shared" si="20"/>
        <v>0</v>
      </c>
      <c r="U72" s="6">
        <f t="shared" si="21"/>
        <v>11.25773705291369</v>
      </c>
      <c r="V72" s="12">
        <f t="shared" si="22"/>
        <v>0</v>
      </c>
      <c r="W72" s="12">
        <f t="shared" si="23"/>
        <v>1.5</v>
      </c>
    </row>
    <row r="73" spans="1:23" x14ac:dyDescent="0.25">
      <c r="A73" s="5">
        <v>60</v>
      </c>
      <c r="B73" s="7"/>
      <c r="C73" s="7"/>
      <c r="D73" s="12">
        <f t="shared" si="12"/>
        <v>0</v>
      </c>
      <c r="E73" s="6">
        <f t="shared" si="13"/>
        <v>11.25773705291369</v>
      </c>
      <c r="F73" s="12">
        <f t="shared" si="14"/>
        <v>0</v>
      </c>
      <c r="G73" s="12">
        <f t="shared" si="15"/>
        <v>0.5</v>
      </c>
      <c r="I73" s="5">
        <v>60</v>
      </c>
      <c r="J73" s="6"/>
      <c r="K73" s="6"/>
      <c r="L73" s="12">
        <f t="shared" si="16"/>
        <v>0</v>
      </c>
      <c r="M73" s="6">
        <f t="shared" si="17"/>
        <v>11.25773705291369</v>
      </c>
      <c r="N73" s="12">
        <f t="shared" si="18"/>
        <v>0</v>
      </c>
      <c r="O73" s="12">
        <f t="shared" si="19"/>
        <v>1</v>
      </c>
      <c r="Q73" s="5">
        <v>60</v>
      </c>
      <c r="R73" s="7"/>
      <c r="S73" s="7"/>
      <c r="T73" s="12">
        <f t="shared" si="20"/>
        <v>0</v>
      </c>
      <c r="U73" s="6">
        <f t="shared" si="21"/>
        <v>11.25773705291369</v>
      </c>
      <c r="V73" s="12">
        <f t="shared" si="22"/>
        <v>0</v>
      </c>
      <c r="W73" s="12">
        <f t="shared" si="23"/>
        <v>1.5</v>
      </c>
    </row>
    <row r="74" spans="1:23" x14ac:dyDescent="0.25">
      <c r="A74" s="5">
        <v>61</v>
      </c>
      <c r="B74" s="7"/>
      <c r="C74" s="7"/>
      <c r="D74" s="12">
        <f t="shared" si="12"/>
        <v>0</v>
      </c>
      <c r="E74" s="6">
        <f t="shared" si="13"/>
        <v>11.25773705291369</v>
      </c>
      <c r="F74" s="12">
        <f t="shared" si="14"/>
        <v>0</v>
      </c>
      <c r="G74" s="12">
        <f t="shared" si="15"/>
        <v>0.5</v>
      </c>
      <c r="I74" s="5">
        <v>61</v>
      </c>
      <c r="J74" s="6"/>
      <c r="K74" s="6"/>
      <c r="L74" s="12">
        <f t="shared" si="16"/>
        <v>0</v>
      </c>
      <c r="M74" s="6">
        <f t="shared" si="17"/>
        <v>11.25773705291369</v>
      </c>
      <c r="N74" s="12">
        <f t="shared" si="18"/>
        <v>0</v>
      </c>
      <c r="O74" s="12">
        <f t="shared" si="19"/>
        <v>1</v>
      </c>
      <c r="Q74" s="5">
        <v>61</v>
      </c>
      <c r="R74" s="7"/>
      <c r="S74" s="7"/>
      <c r="T74" s="12">
        <f t="shared" si="20"/>
        <v>0</v>
      </c>
      <c r="U74" s="6">
        <f t="shared" si="21"/>
        <v>11.25773705291369</v>
      </c>
      <c r="V74" s="12">
        <f t="shared" si="22"/>
        <v>0</v>
      </c>
      <c r="W74" s="12">
        <f t="shared" si="23"/>
        <v>1.5</v>
      </c>
    </row>
    <row r="75" spans="1:23" x14ac:dyDescent="0.25">
      <c r="A75" s="5">
        <v>62</v>
      </c>
      <c r="B75" s="7"/>
      <c r="C75" s="7"/>
      <c r="D75" s="12">
        <f t="shared" si="12"/>
        <v>0</v>
      </c>
      <c r="E75" s="6">
        <f t="shared" si="13"/>
        <v>11.25773705291369</v>
      </c>
      <c r="F75" s="12">
        <f t="shared" si="14"/>
        <v>0</v>
      </c>
      <c r="G75" s="12">
        <f t="shared" si="15"/>
        <v>0.5</v>
      </c>
      <c r="I75" s="5">
        <v>62</v>
      </c>
      <c r="J75" s="6"/>
      <c r="K75" s="6"/>
      <c r="L75" s="12">
        <f t="shared" si="16"/>
        <v>0</v>
      </c>
      <c r="M75" s="6">
        <f t="shared" si="17"/>
        <v>11.25773705291369</v>
      </c>
      <c r="N75" s="12">
        <f t="shared" si="18"/>
        <v>0</v>
      </c>
      <c r="O75" s="12">
        <f t="shared" si="19"/>
        <v>1</v>
      </c>
      <c r="Q75" s="5">
        <v>62</v>
      </c>
      <c r="R75" s="7"/>
      <c r="S75" s="7"/>
      <c r="T75" s="12">
        <f t="shared" si="20"/>
        <v>0</v>
      </c>
      <c r="U75" s="6">
        <f t="shared" si="21"/>
        <v>11.25773705291369</v>
      </c>
      <c r="V75" s="12">
        <f t="shared" si="22"/>
        <v>0</v>
      </c>
      <c r="W75" s="12">
        <f t="shared" si="23"/>
        <v>1.5</v>
      </c>
    </row>
    <row r="76" spans="1:23" x14ac:dyDescent="0.25">
      <c r="A76" s="5">
        <v>63</v>
      </c>
      <c r="B76" s="7"/>
      <c r="C76" s="7"/>
      <c r="D76" s="12">
        <f t="shared" si="12"/>
        <v>0</v>
      </c>
      <c r="E76" s="6">
        <f t="shared" si="13"/>
        <v>11.25773705291369</v>
      </c>
      <c r="F76" s="12">
        <f t="shared" si="14"/>
        <v>0</v>
      </c>
      <c r="G76" s="12">
        <f t="shared" si="15"/>
        <v>0.5</v>
      </c>
      <c r="I76" s="5">
        <v>63</v>
      </c>
      <c r="J76" s="6"/>
      <c r="K76" s="6"/>
      <c r="L76" s="12">
        <f t="shared" si="16"/>
        <v>0</v>
      </c>
      <c r="M76" s="6">
        <f t="shared" si="17"/>
        <v>11.25773705291369</v>
      </c>
      <c r="N76" s="12">
        <f t="shared" si="18"/>
        <v>0</v>
      </c>
      <c r="O76" s="12">
        <f t="shared" si="19"/>
        <v>1</v>
      </c>
      <c r="Q76" s="5">
        <v>63</v>
      </c>
      <c r="R76" s="7"/>
      <c r="S76" s="7"/>
      <c r="T76" s="12">
        <f t="shared" si="20"/>
        <v>0</v>
      </c>
      <c r="U76" s="6">
        <f t="shared" si="21"/>
        <v>11.25773705291369</v>
      </c>
      <c r="V76" s="12">
        <f t="shared" si="22"/>
        <v>0</v>
      </c>
      <c r="W76" s="12">
        <f t="shared" si="23"/>
        <v>1.5</v>
      </c>
    </row>
    <row r="77" spans="1:23" x14ac:dyDescent="0.25">
      <c r="A77" s="5">
        <v>64</v>
      </c>
      <c r="B77" s="7"/>
      <c r="C77" s="7"/>
      <c r="D77" s="12">
        <f t="shared" si="12"/>
        <v>0</v>
      </c>
      <c r="E77" s="6">
        <f t="shared" si="13"/>
        <v>11.25773705291369</v>
      </c>
      <c r="F77" s="12">
        <f t="shared" si="14"/>
        <v>0</v>
      </c>
      <c r="G77" s="12">
        <f t="shared" si="15"/>
        <v>0.5</v>
      </c>
      <c r="I77" s="5">
        <v>64</v>
      </c>
      <c r="J77" s="6"/>
      <c r="K77" s="6"/>
      <c r="L77" s="12">
        <f t="shared" si="16"/>
        <v>0</v>
      </c>
      <c r="M77" s="6">
        <f t="shared" si="17"/>
        <v>11.25773705291369</v>
      </c>
      <c r="N77" s="12">
        <f t="shared" si="18"/>
        <v>0</v>
      </c>
      <c r="O77" s="12">
        <f t="shared" si="19"/>
        <v>1</v>
      </c>
      <c r="Q77" s="5">
        <v>64</v>
      </c>
      <c r="R77" s="7"/>
      <c r="S77" s="7"/>
      <c r="T77" s="12">
        <f t="shared" si="20"/>
        <v>0</v>
      </c>
      <c r="U77" s="6">
        <f t="shared" si="21"/>
        <v>11.25773705291369</v>
      </c>
      <c r="V77" s="12">
        <f t="shared" si="22"/>
        <v>0</v>
      </c>
      <c r="W77" s="12">
        <f t="shared" si="23"/>
        <v>1.5</v>
      </c>
    </row>
    <row r="78" spans="1:23" x14ac:dyDescent="0.25">
      <c r="A78" s="5">
        <v>65</v>
      </c>
      <c r="B78" s="7"/>
      <c r="C78" s="7"/>
      <c r="D78" s="12">
        <f t="shared" ref="D78:D109" si="24">(B78/$D$7)*100</f>
        <v>0</v>
      </c>
      <c r="E78" s="6">
        <f t="shared" ref="E78:E109" si="25">$D$6/(1-(D78/100))</f>
        <v>11.25773705291369</v>
      </c>
      <c r="F78" s="12">
        <f t="shared" ref="F78:F109" si="26">C78/E78</f>
        <v>0</v>
      </c>
      <c r="G78" s="12">
        <f t="shared" ref="G78:G109" si="27">F78+$D$10</f>
        <v>0.5</v>
      </c>
      <c r="I78" s="5">
        <v>65</v>
      </c>
      <c r="J78" s="6"/>
      <c r="K78" s="6"/>
      <c r="L78" s="12">
        <f t="shared" ref="L78:L109" si="28">(J78/$L$7)*100</f>
        <v>0</v>
      </c>
      <c r="M78" s="6">
        <f t="shared" ref="M78:M109" si="29">$L$6/(1-(L78/100))</f>
        <v>11.25773705291369</v>
      </c>
      <c r="N78" s="12">
        <f t="shared" ref="N78:N109" si="30">K78/M78</f>
        <v>0</v>
      </c>
      <c r="O78" s="12">
        <f t="shared" ref="O78:O109" si="31">N78+$L$10</f>
        <v>1</v>
      </c>
      <c r="Q78" s="5">
        <v>65</v>
      </c>
      <c r="R78" s="7"/>
      <c r="S78" s="7"/>
      <c r="T78" s="12">
        <f t="shared" ref="T78:T109" si="32">(R78/$T$7)*100</f>
        <v>0</v>
      </c>
      <c r="U78" s="6">
        <f t="shared" ref="U78:U109" si="33">$T$6/(1-(T78/100))</f>
        <v>11.25773705291369</v>
      </c>
      <c r="V78" s="12">
        <f t="shared" ref="V78:V109" si="34">S78/U78</f>
        <v>0</v>
      </c>
      <c r="W78" s="12">
        <f t="shared" ref="W78:W109" si="35">V78+$T$10</f>
        <v>1.5</v>
      </c>
    </row>
    <row r="79" spans="1:23" x14ac:dyDescent="0.25">
      <c r="A79" s="5">
        <v>66</v>
      </c>
      <c r="B79" s="7"/>
      <c r="C79" s="7"/>
      <c r="D79" s="12">
        <f t="shared" si="24"/>
        <v>0</v>
      </c>
      <c r="E79" s="6">
        <f t="shared" si="25"/>
        <v>11.25773705291369</v>
      </c>
      <c r="F79" s="12">
        <f t="shared" si="26"/>
        <v>0</v>
      </c>
      <c r="G79" s="12">
        <f t="shared" si="27"/>
        <v>0.5</v>
      </c>
      <c r="I79" s="5">
        <v>66</v>
      </c>
      <c r="J79" s="6"/>
      <c r="K79" s="6"/>
      <c r="L79" s="12">
        <f t="shared" si="28"/>
        <v>0</v>
      </c>
      <c r="M79" s="6">
        <f t="shared" si="29"/>
        <v>11.25773705291369</v>
      </c>
      <c r="N79" s="12">
        <f t="shared" si="30"/>
        <v>0</v>
      </c>
      <c r="O79" s="12">
        <f t="shared" si="31"/>
        <v>1</v>
      </c>
      <c r="Q79" s="5">
        <v>66</v>
      </c>
      <c r="R79" s="7"/>
      <c r="S79" s="7"/>
      <c r="T79" s="12">
        <f t="shared" si="32"/>
        <v>0</v>
      </c>
      <c r="U79" s="6">
        <f t="shared" si="33"/>
        <v>11.25773705291369</v>
      </c>
      <c r="V79" s="12">
        <f t="shared" si="34"/>
        <v>0</v>
      </c>
      <c r="W79" s="12">
        <f t="shared" si="35"/>
        <v>1.5</v>
      </c>
    </row>
    <row r="80" spans="1:23" x14ac:dyDescent="0.25">
      <c r="A80" s="5">
        <v>67</v>
      </c>
      <c r="B80" s="7"/>
      <c r="C80" s="7"/>
      <c r="D80" s="12">
        <f t="shared" si="24"/>
        <v>0</v>
      </c>
      <c r="E80" s="6">
        <f t="shared" si="25"/>
        <v>11.25773705291369</v>
      </c>
      <c r="F80" s="12">
        <f t="shared" si="26"/>
        <v>0</v>
      </c>
      <c r="G80" s="12">
        <f t="shared" si="27"/>
        <v>0.5</v>
      </c>
      <c r="I80" s="5">
        <v>67</v>
      </c>
      <c r="J80" s="6"/>
      <c r="K80" s="6"/>
      <c r="L80" s="12">
        <f t="shared" si="28"/>
        <v>0</v>
      </c>
      <c r="M80" s="6">
        <f t="shared" si="29"/>
        <v>11.25773705291369</v>
      </c>
      <c r="N80" s="12">
        <f t="shared" si="30"/>
        <v>0</v>
      </c>
      <c r="O80" s="12">
        <f t="shared" si="31"/>
        <v>1</v>
      </c>
      <c r="Q80" s="5">
        <v>67</v>
      </c>
      <c r="R80" s="7"/>
      <c r="S80" s="7"/>
      <c r="T80" s="12">
        <f t="shared" si="32"/>
        <v>0</v>
      </c>
      <c r="U80" s="6">
        <f t="shared" si="33"/>
        <v>11.25773705291369</v>
      </c>
      <c r="V80" s="12">
        <f t="shared" si="34"/>
        <v>0</v>
      </c>
      <c r="W80" s="12">
        <f t="shared" si="35"/>
        <v>1.5</v>
      </c>
    </row>
    <row r="81" spans="1:23" x14ac:dyDescent="0.25">
      <c r="A81" s="5">
        <v>68</v>
      </c>
      <c r="B81" s="7"/>
      <c r="C81" s="7"/>
      <c r="D81" s="12">
        <f t="shared" si="24"/>
        <v>0</v>
      </c>
      <c r="E81" s="6">
        <f t="shared" si="25"/>
        <v>11.25773705291369</v>
      </c>
      <c r="F81" s="12">
        <f t="shared" si="26"/>
        <v>0</v>
      </c>
      <c r="G81" s="12">
        <f t="shared" si="27"/>
        <v>0.5</v>
      </c>
      <c r="I81" s="5">
        <v>68</v>
      </c>
      <c r="J81" s="6"/>
      <c r="K81" s="6"/>
      <c r="L81" s="12">
        <f t="shared" si="28"/>
        <v>0</v>
      </c>
      <c r="M81" s="6">
        <f t="shared" si="29"/>
        <v>11.25773705291369</v>
      </c>
      <c r="N81" s="12">
        <f t="shared" si="30"/>
        <v>0</v>
      </c>
      <c r="O81" s="12">
        <f t="shared" si="31"/>
        <v>1</v>
      </c>
      <c r="Q81" s="5">
        <v>68</v>
      </c>
      <c r="R81" s="7"/>
      <c r="S81" s="7"/>
      <c r="T81" s="12">
        <f t="shared" si="32"/>
        <v>0</v>
      </c>
      <c r="U81" s="6">
        <f t="shared" si="33"/>
        <v>11.25773705291369</v>
      </c>
      <c r="V81" s="12">
        <f t="shared" si="34"/>
        <v>0</v>
      </c>
      <c r="W81" s="12">
        <f t="shared" si="35"/>
        <v>1.5</v>
      </c>
    </row>
    <row r="82" spans="1:23" x14ac:dyDescent="0.25">
      <c r="A82" s="5">
        <v>69</v>
      </c>
      <c r="B82" s="7"/>
      <c r="C82" s="7"/>
      <c r="D82" s="12">
        <f t="shared" si="24"/>
        <v>0</v>
      </c>
      <c r="E82" s="6">
        <f t="shared" si="25"/>
        <v>11.25773705291369</v>
      </c>
      <c r="F82" s="12">
        <f t="shared" si="26"/>
        <v>0</v>
      </c>
      <c r="G82" s="12">
        <f t="shared" si="27"/>
        <v>0.5</v>
      </c>
      <c r="I82" s="5">
        <v>69</v>
      </c>
      <c r="J82" s="6"/>
      <c r="K82" s="6"/>
      <c r="L82" s="12">
        <f t="shared" si="28"/>
        <v>0</v>
      </c>
      <c r="M82" s="6">
        <f t="shared" si="29"/>
        <v>11.25773705291369</v>
      </c>
      <c r="N82" s="12">
        <f t="shared" si="30"/>
        <v>0</v>
      </c>
      <c r="O82" s="12">
        <f t="shared" si="31"/>
        <v>1</v>
      </c>
      <c r="Q82" s="5">
        <v>69</v>
      </c>
      <c r="R82" s="7"/>
      <c r="S82" s="7"/>
      <c r="T82" s="12">
        <f t="shared" si="32"/>
        <v>0</v>
      </c>
      <c r="U82" s="6">
        <f t="shared" si="33"/>
        <v>11.25773705291369</v>
      </c>
      <c r="V82" s="12">
        <f t="shared" si="34"/>
        <v>0</v>
      </c>
      <c r="W82" s="12">
        <f t="shared" si="35"/>
        <v>1.5</v>
      </c>
    </row>
    <row r="83" spans="1:23" x14ac:dyDescent="0.25">
      <c r="A83" s="5">
        <v>70</v>
      </c>
      <c r="B83" s="7"/>
      <c r="C83" s="7"/>
      <c r="D83" s="12">
        <f t="shared" si="24"/>
        <v>0</v>
      </c>
      <c r="E83" s="6">
        <f t="shared" si="25"/>
        <v>11.25773705291369</v>
      </c>
      <c r="F83" s="12">
        <f t="shared" si="26"/>
        <v>0</v>
      </c>
      <c r="G83" s="12">
        <f t="shared" si="27"/>
        <v>0.5</v>
      </c>
      <c r="I83" s="5">
        <v>70</v>
      </c>
      <c r="J83" s="6"/>
      <c r="K83" s="6"/>
      <c r="L83" s="12">
        <f t="shared" si="28"/>
        <v>0</v>
      </c>
      <c r="M83" s="6">
        <f t="shared" si="29"/>
        <v>11.25773705291369</v>
      </c>
      <c r="N83" s="12">
        <f t="shared" si="30"/>
        <v>0</v>
      </c>
      <c r="O83" s="12">
        <f t="shared" si="31"/>
        <v>1</v>
      </c>
      <c r="Q83" s="5">
        <v>70</v>
      </c>
      <c r="R83" s="7"/>
      <c r="S83" s="7"/>
      <c r="T83" s="12">
        <f t="shared" si="32"/>
        <v>0</v>
      </c>
      <c r="U83" s="6">
        <f t="shared" si="33"/>
        <v>11.25773705291369</v>
      </c>
      <c r="V83" s="12">
        <f t="shared" si="34"/>
        <v>0</v>
      </c>
      <c r="W83" s="12">
        <f t="shared" si="35"/>
        <v>1.5</v>
      </c>
    </row>
    <row r="84" spans="1:23" x14ac:dyDescent="0.25">
      <c r="A84" s="5">
        <v>71</v>
      </c>
      <c r="B84" s="7"/>
      <c r="C84" s="7"/>
      <c r="D84" s="12">
        <f t="shared" si="24"/>
        <v>0</v>
      </c>
      <c r="E84" s="6">
        <f t="shared" si="25"/>
        <v>11.25773705291369</v>
      </c>
      <c r="F84" s="12">
        <f t="shared" si="26"/>
        <v>0</v>
      </c>
      <c r="G84" s="12">
        <f t="shared" si="27"/>
        <v>0.5</v>
      </c>
      <c r="I84" s="5">
        <v>71</v>
      </c>
      <c r="J84" s="6"/>
      <c r="K84" s="6"/>
      <c r="L84" s="12">
        <f t="shared" si="28"/>
        <v>0</v>
      </c>
      <c r="M84" s="6">
        <f t="shared" si="29"/>
        <v>11.25773705291369</v>
      </c>
      <c r="N84" s="12">
        <f t="shared" si="30"/>
        <v>0</v>
      </c>
      <c r="O84" s="12">
        <f t="shared" si="31"/>
        <v>1</v>
      </c>
      <c r="Q84" s="5">
        <v>71</v>
      </c>
      <c r="R84" s="7"/>
      <c r="S84" s="7"/>
      <c r="T84" s="12">
        <f t="shared" si="32"/>
        <v>0</v>
      </c>
      <c r="U84" s="6">
        <f t="shared" si="33"/>
        <v>11.25773705291369</v>
      </c>
      <c r="V84" s="12">
        <f t="shared" si="34"/>
        <v>0</v>
      </c>
      <c r="W84" s="12">
        <f t="shared" si="35"/>
        <v>1.5</v>
      </c>
    </row>
    <row r="85" spans="1:23" x14ac:dyDescent="0.25">
      <c r="A85" s="5">
        <v>72</v>
      </c>
      <c r="B85" s="7"/>
      <c r="C85" s="7"/>
      <c r="D85" s="12">
        <f t="shared" si="24"/>
        <v>0</v>
      </c>
      <c r="E85" s="6">
        <f t="shared" si="25"/>
        <v>11.25773705291369</v>
      </c>
      <c r="F85" s="12">
        <f t="shared" si="26"/>
        <v>0</v>
      </c>
      <c r="G85" s="12">
        <f t="shared" si="27"/>
        <v>0.5</v>
      </c>
      <c r="I85" s="5">
        <v>72</v>
      </c>
      <c r="J85" s="6"/>
      <c r="K85" s="6"/>
      <c r="L85" s="12">
        <f t="shared" si="28"/>
        <v>0</v>
      </c>
      <c r="M85" s="6">
        <f t="shared" si="29"/>
        <v>11.25773705291369</v>
      </c>
      <c r="N85" s="12">
        <f t="shared" si="30"/>
        <v>0</v>
      </c>
      <c r="O85" s="12">
        <f t="shared" si="31"/>
        <v>1</v>
      </c>
      <c r="Q85" s="5">
        <v>72</v>
      </c>
      <c r="R85" s="7"/>
      <c r="S85" s="7"/>
      <c r="T85" s="12">
        <f t="shared" si="32"/>
        <v>0</v>
      </c>
      <c r="U85" s="6">
        <f t="shared" si="33"/>
        <v>11.25773705291369</v>
      </c>
      <c r="V85" s="12">
        <f t="shared" si="34"/>
        <v>0</v>
      </c>
      <c r="W85" s="12">
        <f t="shared" si="35"/>
        <v>1.5</v>
      </c>
    </row>
    <row r="86" spans="1:23" x14ac:dyDescent="0.25">
      <c r="A86" s="5">
        <v>73</v>
      </c>
      <c r="B86" s="7"/>
      <c r="C86" s="7"/>
      <c r="D86" s="12">
        <f t="shared" si="24"/>
        <v>0</v>
      </c>
      <c r="E86" s="6">
        <f t="shared" si="25"/>
        <v>11.25773705291369</v>
      </c>
      <c r="F86" s="12">
        <f t="shared" si="26"/>
        <v>0</v>
      </c>
      <c r="G86" s="12">
        <f t="shared" si="27"/>
        <v>0.5</v>
      </c>
      <c r="I86" s="5">
        <v>73</v>
      </c>
      <c r="J86" s="6"/>
      <c r="K86" s="6"/>
      <c r="L86" s="12">
        <f t="shared" si="28"/>
        <v>0</v>
      </c>
      <c r="M86" s="6">
        <f t="shared" si="29"/>
        <v>11.25773705291369</v>
      </c>
      <c r="N86" s="12">
        <f t="shared" si="30"/>
        <v>0</v>
      </c>
      <c r="O86" s="12">
        <f t="shared" si="31"/>
        <v>1</v>
      </c>
      <c r="Q86" s="5">
        <v>73</v>
      </c>
      <c r="R86" s="7"/>
      <c r="S86" s="7"/>
      <c r="T86" s="12">
        <f t="shared" si="32"/>
        <v>0</v>
      </c>
      <c r="U86" s="6">
        <f t="shared" si="33"/>
        <v>11.25773705291369</v>
      </c>
      <c r="V86" s="12">
        <f t="shared" si="34"/>
        <v>0</v>
      </c>
      <c r="W86" s="12">
        <f t="shared" si="35"/>
        <v>1.5</v>
      </c>
    </row>
    <row r="87" spans="1:23" x14ac:dyDescent="0.25">
      <c r="A87" s="5">
        <v>74</v>
      </c>
      <c r="B87" s="7"/>
      <c r="C87" s="7"/>
      <c r="D87" s="12">
        <f t="shared" si="24"/>
        <v>0</v>
      </c>
      <c r="E87" s="6">
        <f t="shared" si="25"/>
        <v>11.25773705291369</v>
      </c>
      <c r="F87" s="12">
        <f t="shared" si="26"/>
        <v>0</v>
      </c>
      <c r="G87" s="12">
        <f t="shared" si="27"/>
        <v>0.5</v>
      </c>
      <c r="I87" s="5">
        <v>74</v>
      </c>
      <c r="J87" s="6"/>
      <c r="K87" s="6"/>
      <c r="L87" s="12">
        <f t="shared" si="28"/>
        <v>0</v>
      </c>
      <c r="M87" s="6">
        <f t="shared" si="29"/>
        <v>11.25773705291369</v>
      </c>
      <c r="N87" s="12">
        <f t="shared" si="30"/>
        <v>0</v>
      </c>
      <c r="O87" s="12">
        <f t="shared" si="31"/>
        <v>1</v>
      </c>
      <c r="Q87" s="5">
        <v>74</v>
      </c>
      <c r="R87" s="7"/>
      <c r="S87" s="7"/>
      <c r="T87" s="12">
        <f t="shared" si="32"/>
        <v>0</v>
      </c>
      <c r="U87" s="6">
        <f t="shared" si="33"/>
        <v>11.25773705291369</v>
      </c>
      <c r="V87" s="12">
        <f t="shared" si="34"/>
        <v>0</v>
      </c>
      <c r="W87" s="12">
        <f t="shared" si="35"/>
        <v>1.5</v>
      </c>
    </row>
    <row r="88" spans="1:23" x14ac:dyDescent="0.25">
      <c r="A88" s="5">
        <v>75</v>
      </c>
      <c r="B88" s="7"/>
      <c r="C88" s="7"/>
      <c r="D88" s="12">
        <f t="shared" si="24"/>
        <v>0</v>
      </c>
      <c r="E88" s="6">
        <f t="shared" si="25"/>
        <v>11.25773705291369</v>
      </c>
      <c r="F88" s="12">
        <f t="shared" si="26"/>
        <v>0</v>
      </c>
      <c r="G88" s="12">
        <f t="shared" si="27"/>
        <v>0.5</v>
      </c>
      <c r="I88" s="5">
        <v>75</v>
      </c>
      <c r="J88" s="6"/>
      <c r="K88" s="6"/>
      <c r="L88" s="12">
        <f t="shared" si="28"/>
        <v>0</v>
      </c>
      <c r="M88" s="6">
        <f t="shared" si="29"/>
        <v>11.25773705291369</v>
      </c>
      <c r="N88" s="12">
        <f t="shared" si="30"/>
        <v>0</v>
      </c>
      <c r="O88" s="12">
        <f t="shared" si="31"/>
        <v>1</v>
      </c>
      <c r="Q88" s="5">
        <v>75</v>
      </c>
      <c r="R88" s="7"/>
      <c r="S88" s="7"/>
      <c r="T88" s="12">
        <f t="shared" si="32"/>
        <v>0</v>
      </c>
      <c r="U88" s="6">
        <f t="shared" si="33"/>
        <v>11.25773705291369</v>
      </c>
      <c r="V88" s="12">
        <f t="shared" si="34"/>
        <v>0</v>
      </c>
      <c r="W88" s="12">
        <f t="shared" si="35"/>
        <v>1.5</v>
      </c>
    </row>
    <row r="89" spans="1:23" x14ac:dyDescent="0.25">
      <c r="A89" s="5">
        <v>76</v>
      </c>
      <c r="B89" s="7"/>
      <c r="C89" s="7"/>
      <c r="D89" s="12">
        <f t="shared" si="24"/>
        <v>0</v>
      </c>
      <c r="E89" s="6">
        <f t="shared" si="25"/>
        <v>11.25773705291369</v>
      </c>
      <c r="F89" s="12">
        <f t="shared" si="26"/>
        <v>0</v>
      </c>
      <c r="G89" s="12">
        <f t="shared" si="27"/>
        <v>0.5</v>
      </c>
      <c r="I89" s="5">
        <v>76</v>
      </c>
      <c r="J89" s="6"/>
      <c r="K89" s="6"/>
      <c r="L89" s="12">
        <f t="shared" si="28"/>
        <v>0</v>
      </c>
      <c r="M89" s="6">
        <f t="shared" si="29"/>
        <v>11.25773705291369</v>
      </c>
      <c r="N89" s="12">
        <f t="shared" si="30"/>
        <v>0</v>
      </c>
      <c r="O89" s="12">
        <f t="shared" si="31"/>
        <v>1</v>
      </c>
      <c r="Q89" s="5">
        <v>76</v>
      </c>
      <c r="R89" s="7"/>
      <c r="S89" s="7"/>
      <c r="T89" s="12">
        <f t="shared" si="32"/>
        <v>0</v>
      </c>
      <c r="U89" s="6">
        <f t="shared" si="33"/>
        <v>11.25773705291369</v>
      </c>
      <c r="V89" s="12">
        <f t="shared" si="34"/>
        <v>0</v>
      </c>
      <c r="W89" s="12">
        <f t="shared" si="35"/>
        <v>1.5</v>
      </c>
    </row>
    <row r="90" spans="1:23" x14ac:dyDescent="0.25">
      <c r="A90" s="5">
        <v>77</v>
      </c>
      <c r="B90" s="7"/>
      <c r="C90" s="7"/>
      <c r="D90" s="12">
        <f t="shared" si="24"/>
        <v>0</v>
      </c>
      <c r="E90" s="6">
        <f t="shared" si="25"/>
        <v>11.25773705291369</v>
      </c>
      <c r="F90" s="12">
        <f t="shared" si="26"/>
        <v>0</v>
      </c>
      <c r="G90" s="12">
        <f t="shared" si="27"/>
        <v>0.5</v>
      </c>
      <c r="I90" s="5">
        <v>77</v>
      </c>
      <c r="J90" s="6"/>
      <c r="K90" s="6"/>
      <c r="L90" s="12">
        <f t="shared" si="28"/>
        <v>0</v>
      </c>
      <c r="M90" s="6">
        <f t="shared" si="29"/>
        <v>11.25773705291369</v>
      </c>
      <c r="N90" s="12">
        <f t="shared" si="30"/>
        <v>0</v>
      </c>
      <c r="O90" s="12">
        <f t="shared" si="31"/>
        <v>1</v>
      </c>
      <c r="Q90" s="5">
        <v>77</v>
      </c>
      <c r="R90" s="7"/>
      <c r="S90" s="7"/>
      <c r="T90" s="12">
        <f t="shared" si="32"/>
        <v>0</v>
      </c>
      <c r="U90" s="6">
        <f t="shared" si="33"/>
        <v>11.25773705291369</v>
      </c>
      <c r="V90" s="12">
        <f t="shared" si="34"/>
        <v>0</v>
      </c>
      <c r="W90" s="12">
        <f t="shared" si="35"/>
        <v>1.5</v>
      </c>
    </row>
    <row r="91" spans="1:23" x14ac:dyDescent="0.25">
      <c r="A91" s="5">
        <v>78</v>
      </c>
      <c r="B91" s="7"/>
      <c r="C91" s="7"/>
      <c r="D91" s="12">
        <f t="shared" si="24"/>
        <v>0</v>
      </c>
      <c r="E91" s="6">
        <f t="shared" si="25"/>
        <v>11.25773705291369</v>
      </c>
      <c r="F91" s="12">
        <f t="shared" si="26"/>
        <v>0</v>
      </c>
      <c r="G91" s="12">
        <f t="shared" si="27"/>
        <v>0.5</v>
      </c>
      <c r="I91" s="5">
        <v>78</v>
      </c>
      <c r="J91" s="6"/>
      <c r="K91" s="6"/>
      <c r="L91" s="12">
        <f t="shared" si="28"/>
        <v>0</v>
      </c>
      <c r="M91" s="6">
        <f t="shared" si="29"/>
        <v>11.25773705291369</v>
      </c>
      <c r="N91" s="12">
        <f t="shared" si="30"/>
        <v>0</v>
      </c>
      <c r="O91" s="12">
        <f t="shared" si="31"/>
        <v>1</v>
      </c>
      <c r="Q91" s="5">
        <v>78</v>
      </c>
      <c r="R91" s="7"/>
      <c r="S91" s="7"/>
      <c r="T91" s="12">
        <f t="shared" si="32"/>
        <v>0</v>
      </c>
      <c r="U91" s="6">
        <f t="shared" si="33"/>
        <v>11.25773705291369</v>
      </c>
      <c r="V91" s="12">
        <f t="shared" si="34"/>
        <v>0</v>
      </c>
      <c r="W91" s="12">
        <f t="shared" si="35"/>
        <v>1.5</v>
      </c>
    </row>
    <row r="92" spans="1:23" x14ac:dyDescent="0.25">
      <c r="A92" s="5">
        <v>79</v>
      </c>
      <c r="B92" s="7"/>
      <c r="C92" s="7"/>
      <c r="D92" s="12">
        <f t="shared" si="24"/>
        <v>0</v>
      </c>
      <c r="E92" s="6">
        <f t="shared" si="25"/>
        <v>11.25773705291369</v>
      </c>
      <c r="F92" s="12">
        <f t="shared" si="26"/>
        <v>0</v>
      </c>
      <c r="G92" s="12">
        <f t="shared" si="27"/>
        <v>0.5</v>
      </c>
      <c r="I92" s="5">
        <v>79</v>
      </c>
      <c r="J92" s="6"/>
      <c r="K92" s="6"/>
      <c r="L92" s="12">
        <f t="shared" si="28"/>
        <v>0</v>
      </c>
      <c r="M92" s="6">
        <f t="shared" si="29"/>
        <v>11.25773705291369</v>
      </c>
      <c r="N92" s="12">
        <f t="shared" si="30"/>
        <v>0</v>
      </c>
      <c r="O92" s="12">
        <f t="shared" si="31"/>
        <v>1</v>
      </c>
      <c r="Q92" s="5">
        <v>79</v>
      </c>
      <c r="R92" s="7"/>
      <c r="S92" s="7"/>
      <c r="T92" s="12">
        <f t="shared" si="32"/>
        <v>0</v>
      </c>
      <c r="U92" s="6">
        <f t="shared" si="33"/>
        <v>11.25773705291369</v>
      </c>
      <c r="V92" s="12">
        <f t="shared" si="34"/>
        <v>0</v>
      </c>
      <c r="W92" s="12">
        <f t="shared" si="35"/>
        <v>1.5</v>
      </c>
    </row>
    <row r="93" spans="1:23" x14ac:dyDescent="0.25">
      <c r="A93" s="5">
        <v>80</v>
      </c>
      <c r="B93" s="7"/>
      <c r="C93" s="7"/>
      <c r="D93" s="12">
        <f t="shared" si="24"/>
        <v>0</v>
      </c>
      <c r="E93" s="6">
        <f t="shared" si="25"/>
        <v>11.25773705291369</v>
      </c>
      <c r="F93" s="12">
        <f t="shared" si="26"/>
        <v>0</v>
      </c>
      <c r="G93" s="12">
        <f t="shared" si="27"/>
        <v>0.5</v>
      </c>
      <c r="I93" s="5">
        <v>80</v>
      </c>
      <c r="J93" s="6"/>
      <c r="K93" s="6"/>
      <c r="L93" s="12">
        <f t="shared" si="28"/>
        <v>0</v>
      </c>
      <c r="M93" s="6">
        <f t="shared" si="29"/>
        <v>11.25773705291369</v>
      </c>
      <c r="N93" s="12">
        <f t="shared" si="30"/>
        <v>0</v>
      </c>
      <c r="O93" s="12">
        <f t="shared" si="31"/>
        <v>1</v>
      </c>
      <c r="Q93" s="5">
        <v>80</v>
      </c>
      <c r="R93" s="7"/>
      <c r="S93" s="7"/>
      <c r="T93" s="12">
        <f t="shared" si="32"/>
        <v>0</v>
      </c>
      <c r="U93" s="6">
        <f t="shared" si="33"/>
        <v>11.25773705291369</v>
      </c>
      <c r="V93" s="12">
        <f t="shared" si="34"/>
        <v>0</v>
      </c>
      <c r="W93" s="12">
        <f t="shared" si="35"/>
        <v>1.5</v>
      </c>
    </row>
    <row r="94" spans="1:23" x14ac:dyDescent="0.25">
      <c r="A94" s="5">
        <v>81</v>
      </c>
      <c r="B94" s="7"/>
      <c r="C94" s="7"/>
      <c r="D94" s="12">
        <f t="shared" si="24"/>
        <v>0</v>
      </c>
      <c r="E94" s="6">
        <f t="shared" si="25"/>
        <v>11.25773705291369</v>
      </c>
      <c r="F94" s="12">
        <f t="shared" si="26"/>
        <v>0</v>
      </c>
      <c r="G94" s="12">
        <f t="shared" si="27"/>
        <v>0.5</v>
      </c>
      <c r="I94" s="5">
        <v>81</v>
      </c>
      <c r="J94" s="6"/>
      <c r="K94" s="6"/>
      <c r="L94" s="12">
        <f t="shared" si="28"/>
        <v>0</v>
      </c>
      <c r="M94" s="6">
        <f t="shared" si="29"/>
        <v>11.25773705291369</v>
      </c>
      <c r="N94" s="12">
        <f t="shared" si="30"/>
        <v>0</v>
      </c>
      <c r="O94" s="12">
        <f t="shared" si="31"/>
        <v>1</v>
      </c>
      <c r="Q94" s="5">
        <v>81</v>
      </c>
      <c r="R94" s="7"/>
      <c r="S94" s="7"/>
      <c r="T94" s="12">
        <f t="shared" si="32"/>
        <v>0</v>
      </c>
      <c r="U94" s="6">
        <f t="shared" si="33"/>
        <v>11.25773705291369</v>
      </c>
      <c r="V94" s="12">
        <f t="shared" si="34"/>
        <v>0</v>
      </c>
      <c r="W94" s="12">
        <f t="shared" si="35"/>
        <v>1.5</v>
      </c>
    </row>
    <row r="95" spans="1:23" x14ac:dyDescent="0.25">
      <c r="A95" s="5">
        <v>82</v>
      </c>
      <c r="B95" s="7"/>
      <c r="C95" s="7"/>
      <c r="D95" s="12">
        <f t="shared" si="24"/>
        <v>0</v>
      </c>
      <c r="E95" s="6">
        <f t="shared" si="25"/>
        <v>11.25773705291369</v>
      </c>
      <c r="F95" s="12">
        <f t="shared" si="26"/>
        <v>0</v>
      </c>
      <c r="G95" s="12">
        <f t="shared" si="27"/>
        <v>0.5</v>
      </c>
      <c r="I95" s="5">
        <v>82</v>
      </c>
      <c r="J95" s="6"/>
      <c r="K95" s="6"/>
      <c r="L95" s="12">
        <f t="shared" si="28"/>
        <v>0</v>
      </c>
      <c r="M95" s="6">
        <f t="shared" si="29"/>
        <v>11.25773705291369</v>
      </c>
      <c r="N95" s="12">
        <f t="shared" si="30"/>
        <v>0</v>
      </c>
      <c r="O95" s="12">
        <f t="shared" si="31"/>
        <v>1</v>
      </c>
      <c r="Q95" s="5">
        <v>82</v>
      </c>
      <c r="R95" s="7"/>
      <c r="S95" s="7"/>
      <c r="T95" s="12">
        <f t="shared" si="32"/>
        <v>0</v>
      </c>
      <c r="U95" s="6">
        <f t="shared" si="33"/>
        <v>11.25773705291369</v>
      </c>
      <c r="V95" s="12">
        <f t="shared" si="34"/>
        <v>0</v>
      </c>
      <c r="W95" s="12">
        <f t="shared" si="35"/>
        <v>1.5</v>
      </c>
    </row>
    <row r="96" spans="1:23" x14ac:dyDescent="0.25">
      <c r="A96" s="5">
        <v>83</v>
      </c>
      <c r="B96" s="7"/>
      <c r="C96" s="7"/>
      <c r="D96" s="12">
        <f t="shared" si="24"/>
        <v>0</v>
      </c>
      <c r="E96" s="6">
        <f t="shared" si="25"/>
        <v>11.25773705291369</v>
      </c>
      <c r="F96" s="12">
        <f t="shared" si="26"/>
        <v>0</v>
      </c>
      <c r="G96" s="12">
        <f t="shared" si="27"/>
        <v>0.5</v>
      </c>
      <c r="I96" s="5">
        <v>83</v>
      </c>
      <c r="J96" s="6"/>
      <c r="K96" s="6"/>
      <c r="L96" s="12">
        <f t="shared" si="28"/>
        <v>0</v>
      </c>
      <c r="M96" s="6">
        <f t="shared" si="29"/>
        <v>11.25773705291369</v>
      </c>
      <c r="N96" s="12">
        <f t="shared" si="30"/>
        <v>0</v>
      </c>
      <c r="O96" s="12">
        <f t="shared" si="31"/>
        <v>1</v>
      </c>
      <c r="Q96" s="5">
        <v>83</v>
      </c>
      <c r="R96" s="7"/>
      <c r="S96" s="7"/>
      <c r="T96" s="12">
        <f t="shared" si="32"/>
        <v>0</v>
      </c>
      <c r="U96" s="6">
        <f t="shared" si="33"/>
        <v>11.25773705291369</v>
      </c>
      <c r="V96" s="12">
        <f t="shared" si="34"/>
        <v>0</v>
      </c>
      <c r="W96" s="12">
        <f t="shared" si="35"/>
        <v>1.5</v>
      </c>
    </row>
    <row r="97" spans="1:23" x14ac:dyDescent="0.25">
      <c r="A97" s="5">
        <v>84</v>
      </c>
      <c r="B97" s="7"/>
      <c r="C97" s="7"/>
      <c r="D97" s="12">
        <f t="shared" si="24"/>
        <v>0</v>
      </c>
      <c r="E97" s="6">
        <f t="shared" si="25"/>
        <v>11.25773705291369</v>
      </c>
      <c r="F97" s="12">
        <f t="shared" si="26"/>
        <v>0</v>
      </c>
      <c r="G97" s="12">
        <f t="shared" si="27"/>
        <v>0.5</v>
      </c>
      <c r="I97" s="5">
        <v>84</v>
      </c>
      <c r="J97" s="6"/>
      <c r="K97" s="6"/>
      <c r="L97" s="12">
        <f t="shared" si="28"/>
        <v>0</v>
      </c>
      <c r="M97" s="6">
        <f t="shared" si="29"/>
        <v>11.25773705291369</v>
      </c>
      <c r="N97" s="12">
        <f t="shared" si="30"/>
        <v>0</v>
      </c>
      <c r="O97" s="12">
        <f t="shared" si="31"/>
        <v>1</v>
      </c>
      <c r="Q97" s="5">
        <v>84</v>
      </c>
      <c r="R97" s="7"/>
      <c r="S97" s="7"/>
      <c r="T97" s="12">
        <f t="shared" si="32"/>
        <v>0</v>
      </c>
      <c r="U97" s="6">
        <f t="shared" si="33"/>
        <v>11.25773705291369</v>
      </c>
      <c r="V97" s="12">
        <f t="shared" si="34"/>
        <v>0</v>
      </c>
      <c r="W97" s="12">
        <f t="shared" si="35"/>
        <v>1.5</v>
      </c>
    </row>
    <row r="98" spans="1:23" x14ac:dyDescent="0.25">
      <c r="A98" s="5">
        <v>85</v>
      </c>
      <c r="B98" s="7"/>
      <c r="C98" s="7"/>
      <c r="D98" s="12">
        <f t="shared" si="24"/>
        <v>0</v>
      </c>
      <c r="E98" s="6">
        <f t="shared" si="25"/>
        <v>11.25773705291369</v>
      </c>
      <c r="F98" s="12">
        <f t="shared" si="26"/>
        <v>0</v>
      </c>
      <c r="G98" s="12">
        <f t="shared" si="27"/>
        <v>0.5</v>
      </c>
      <c r="I98" s="5">
        <v>85</v>
      </c>
      <c r="J98" s="6"/>
      <c r="K98" s="6"/>
      <c r="L98" s="12">
        <f t="shared" si="28"/>
        <v>0</v>
      </c>
      <c r="M98" s="6">
        <f t="shared" si="29"/>
        <v>11.25773705291369</v>
      </c>
      <c r="N98" s="12">
        <f t="shared" si="30"/>
        <v>0</v>
      </c>
      <c r="O98" s="12">
        <f t="shared" si="31"/>
        <v>1</v>
      </c>
      <c r="Q98" s="5">
        <v>85</v>
      </c>
      <c r="R98" s="7"/>
      <c r="S98" s="7"/>
      <c r="T98" s="12">
        <f t="shared" si="32"/>
        <v>0</v>
      </c>
      <c r="U98" s="6">
        <f t="shared" si="33"/>
        <v>11.25773705291369</v>
      </c>
      <c r="V98" s="12">
        <f t="shared" si="34"/>
        <v>0</v>
      </c>
      <c r="W98" s="12">
        <f t="shared" si="35"/>
        <v>1.5</v>
      </c>
    </row>
    <row r="99" spans="1:23" x14ac:dyDescent="0.25">
      <c r="A99" s="5">
        <v>86</v>
      </c>
      <c r="B99" s="7"/>
      <c r="C99" s="7"/>
      <c r="D99" s="12">
        <f t="shared" si="24"/>
        <v>0</v>
      </c>
      <c r="E99" s="6">
        <f t="shared" si="25"/>
        <v>11.25773705291369</v>
      </c>
      <c r="F99" s="12">
        <f t="shared" si="26"/>
        <v>0</v>
      </c>
      <c r="G99" s="12">
        <f t="shared" si="27"/>
        <v>0.5</v>
      </c>
      <c r="I99" s="5">
        <v>86</v>
      </c>
      <c r="J99" s="6"/>
      <c r="K99" s="6"/>
      <c r="L99" s="12">
        <f t="shared" si="28"/>
        <v>0</v>
      </c>
      <c r="M99" s="6">
        <f t="shared" si="29"/>
        <v>11.25773705291369</v>
      </c>
      <c r="N99" s="12">
        <f t="shared" si="30"/>
        <v>0</v>
      </c>
      <c r="O99" s="12">
        <f t="shared" si="31"/>
        <v>1</v>
      </c>
      <c r="Q99" s="5">
        <v>86</v>
      </c>
      <c r="R99" s="7"/>
      <c r="S99" s="7"/>
      <c r="T99" s="12">
        <f t="shared" si="32"/>
        <v>0</v>
      </c>
      <c r="U99" s="6">
        <f t="shared" si="33"/>
        <v>11.25773705291369</v>
      </c>
      <c r="V99" s="12">
        <f t="shared" si="34"/>
        <v>0</v>
      </c>
      <c r="W99" s="12">
        <f t="shared" si="35"/>
        <v>1.5</v>
      </c>
    </row>
    <row r="100" spans="1:23" x14ac:dyDescent="0.25">
      <c r="A100" s="5">
        <v>87</v>
      </c>
      <c r="B100" s="7"/>
      <c r="C100" s="7"/>
      <c r="D100" s="12">
        <f t="shared" si="24"/>
        <v>0</v>
      </c>
      <c r="E100" s="6">
        <f t="shared" si="25"/>
        <v>11.25773705291369</v>
      </c>
      <c r="F100" s="12">
        <f t="shared" si="26"/>
        <v>0</v>
      </c>
      <c r="G100" s="12">
        <f t="shared" si="27"/>
        <v>0.5</v>
      </c>
      <c r="I100" s="5">
        <v>87</v>
      </c>
      <c r="J100" s="6"/>
      <c r="K100" s="6"/>
      <c r="L100" s="12">
        <f t="shared" si="28"/>
        <v>0</v>
      </c>
      <c r="M100" s="6">
        <f t="shared" si="29"/>
        <v>11.25773705291369</v>
      </c>
      <c r="N100" s="12">
        <f t="shared" si="30"/>
        <v>0</v>
      </c>
      <c r="O100" s="12">
        <f t="shared" si="31"/>
        <v>1</v>
      </c>
      <c r="Q100" s="5">
        <v>87</v>
      </c>
      <c r="R100" s="7"/>
      <c r="S100" s="7"/>
      <c r="T100" s="12">
        <f t="shared" si="32"/>
        <v>0</v>
      </c>
      <c r="U100" s="6">
        <f t="shared" si="33"/>
        <v>11.25773705291369</v>
      </c>
      <c r="V100" s="12">
        <f t="shared" si="34"/>
        <v>0</v>
      </c>
      <c r="W100" s="12">
        <f t="shared" si="35"/>
        <v>1.5</v>
      </c>
    </row>
    <row r="101" spans="1:23" x14ac:dyDescent="0.25">
      <c r="A101" s="5">
        <v>88</v>
      </c>
      <c r="B101" s="7"/>
      <c r="C101" s="7"/>
      <c r="D101" s="12">
        <f t="shared" si="24"/>
        <v>0</v>
      </c>
      <c r="E101" s="6">
        <f t="shared" si="25"/>
        <v>11.25773705291369</v>
      </c>
      <c r="F101" s="12">
        <f t="shared" si="26"/>
        <v>0</v>
      </c>
      <c r="G101" s="12">
        <f t="shared" si="27"/>
        <v>0.5</v>
      </c>
      <c r="I101" s="5">
        <v>88</v>
      </c>
      <c r="J101" s="6"/>
      <c r="K101" s="6"/>
      <c r="L101" s="12">
        <f t="shared" si="28"/>
        <v>0</v>
      </c>
      <c r="M101" s="6">
        <f t="shared" si="29"/>
        <v>11.25773705291369</v>
      </c>
      <c r="N101" s="12">
        <f t="shared" si="30"/>
        <v>0</v>
      </c>
      <c r="O101" s="12">
        <f t="shared" si="31"/>
        <v>1</v>
      </c>
      <c r="Q101" s="5">
        <v>88</v>
      </c>
      <c r="R101" s="7"/>
      <c r="S101" s="7"/>
      <c r="T101" s="12">
        <f t="shared" si="32"/>
        <v>0</v>
      </c>
      <c r="U101" s="6">
        <f t="shared" si="33"/>
        <v>11.25773705291369</v>
      </c>
      <c r="V101" s="12">
        <f t="shared" si="34"/>
        <v>0</v>
      </c>
      <c r="W101" s="12">
        <f t="shared" si="35"/>
        <v>1.5</v>
      </c>
    </row>
    <row r="102" spans="1:23" x14ac:dyDescent="0.25">
      <c r="A102" s="5">
        <v>89</v>
      </c>
      <c r="B102" s="7"/>
      <c r="C102" s="7"/>
      <c r="D102" s="12">
        <f t="shared" si="24"/>
        <v>0</v>
      </c>
      <c r="E102" s="6">
        <f t="shared" si="25"/>
        <v>11.25773705291369</v>
      </c>
      <c r="F102" s="12">
        <f t="shared" si="26"/>
        <v>0</v>
      </c>
      <c r="G102" s="12">
        <f t="shared" si="27"/>
        <v>0.5</v>
      </c>
      <c r="I102" s="5">
        <v>89</v>
      </c>
      <c r="J102" s="6"/>
      <c r="K102" s="6"/>
      <c r="L102" s="12">
        <f t="shared" si="28"/>
        <v>0</v>
      </c>
      <c r="M102" s="6">
        <f t="shared" si="29"/>
        <v>11.25773705291369</v>
      </c>
      <c r="N102" s="12">
        <f t="shared" si="30"/>
        <v>0</v>
      </c>
      <c r="O102" s="12">
        <f t="shared" si="31"/>
        <v>1</v>
      </c>
      <c r="Q102" s="5">
        <v>89</v>
      </c>
      <c r="R102" s="7"/>
      <c r="S102" s="7"/>
      <c r="T102" s="12">
        <f t="shared" si="32"/>
        <v>0</v>
      </c>
      <c r="U102" s="6">
        <f t="shared" si="33"/>
        <v>11.25773705291369</v>
      </c>
      <c r="V102" s="12">
        <f t="shared" si="34"/>
        <v>0</v>
      </c>
      <c r="W102" s="12">
        <f t="shared" si="35"/>
        <v>1.5</v>
      </c>
    </row>
    <row r="103" spans="1:23" x14ac:dyDescent="0.25">
      <c r="A103" s="5">
        <v>90</v>
      </c>
      <c r="B103" s="7"/>
      <c r="C103" s="7"/>
      <c r="D103" s="12">
        <f t="shared" si="24"/>
        <v>0</v>
      </c>
      <c r="E103" s="6">
        <f t="shared" si="25"/>
        <v>11.25773705291369</v>
      </c>
      <c r="F103" s="12">
        <f t="shared" si="26"/>
        <v>0</v>
      </c>
      <c r="G103" s="12">
        <f t="shared" si="27"/>
        <v>0.5</v>
      </c>
      <c r="I103" s="5">
        <v>90</v>
      </c>
      <c r="J103" s="6"/>
      <c r="K103" s="6"/>
      <c r="L103" s="12">
        <f t="shared" si="28"/>
        <v>0</v>
      </c>
      <c r="M103" s="6">
        <f t="shared" si="29"/>
        <v>11.25773705291369</v>
      </c>
      <c r="N103" s="12">
        <f t="shared" si="30"/>
        <v>0</v>
      </c>
      <c r="O103" s="12">
        <f t="shared" si="31"/>
        <v>1</v>
      </c>
      <c r="Q103" s="5">
        <v>90</v>
      </c>
      <c r="R103" s="7"/>
      <c r="S103" s="7"/>
      <c r="T103" s="12">
        <f t="shared" si="32"/>
        <v>0</v>
      </c>
      <c r="U103" s="6">
        <f t="shared" si="33"/>
        <v>11.25773705291369</v>
      </c>
      <c r="V103" s="12">
        <f t="shared" si="34"/>
        <v>0</v>
      </c>
      <c r="W103" s="12">
        <f t="shared" si="35"/>
        <v>1.5</v>
      </c>
    </row>
    <row r="104" spans="1:23" x14ac:dyDescent="0.25">
      <c r="A104" s="5">
        <v>91</v>
      </c>
      <c r="B104" s="7"/>
      <c r="C104" s="7"/>
      <c r="D104" s="12">
        <f t="shared" si="24"/>
        <v>0</v>
      </c>
      <c r="E104" s="6">
        <f t="shared" si="25"/>
        <v>11.25773705291369</v>
      </c>
      <c r="F104" s="12">
        <f t="shared" si="26"/>
        <v>0</v>
      </c>
      <c r="G104" s="12">
        <f t="shared" si="27"/>
        <v>0.5</v>
      </c>
      <c r="I104" s="5">
        <v>91</v>
      </c>
      <c r="J104" s="6"/>
      <c r="K104" s="6"/>
      <c r="L104" s="12">
        <f t="shared" si="28"/>
        <v>0</v>
      </c>
      <c r="M104" s="6">
        <f t="shared" si="29"/>
        <v>11.25773705291369</v>
      </c>
      <c r="N104" s="12">
        <f t="shared" si="30"/>
        <v>0</v>
      </c>
      <c r="O104" s="12">
        <f t="shared" si="31"/>
        <v>1</v>
      </c>
      <c r="Q104" s="5">
        <v>91</v>
      </c>
      <c r="R104" s="7"/>
      <c r="S104" s="7"/>
      <c r="T104" s="12">
        <f t="shared" si="32"/>
        <v>0</v>
      </c>
      <c r="U104" s="6">
        <f t="shared" si="33"/>
        <v>11.25773705291369</v>
      </c>
      <c r="V104" s="12">
        <f t="shared" si="34"/>
        <v>0</v>
      </c>
      <c r="W104" s="12">
        <f t="shared" si="35"/>
        <v>1.5</v>
      </c>
    </row>
    <row r="105" spans="1:23" x14ac:dyDescent="0.25">
      <c r="A105" s="5">
        <v>92</v>
      </c>
      <c r="B105" s="7"/>
      <c r="C105" s="7"/>
      <c r="D105" s="12">
        <f t="shared" si="24"/>
        <v>0</v>
      </c>
      <c r="E105" s="6">
        <f t="shared" si="25"/>
        <v>11.25773705291369</v>
      </c>
      <c r="F105" s="12">
        <f t="shared" si="26"/>
        <v>0</v>
      </c>
      <c r="G105" s="12">
        <f t="shared" si="27"/>
        <v>0.5</v>
      </c>
      <c r="I105" s="5">
        <v>92</v>
      </c>
      <c r="J105" s="6"/>
      <c r="K105" s="6"/>
      <c r="L105" s="12">
        <f t="shared" si="28"/>
        <v>0</v>
      </c>
      <c r="M105" s="6">
        <f t="shared" si="29"/>
        <v>11.25773705291369</v>
      </c>
      <c r="N105" s="12">
        <f t="shared" si="30"/>
        <v>0</v>
      </c>
      <c r="O105" s="12">
        <f t="shared" si="31"/>
        <v>1</v>
      </c>
      <c r="Q105" s="5">
        <v>92</v>
      </c>
      <c r="R105" s="7"/>
      <c r="S105" s="7"/>
      <c r="T105" s="12">
        <f t="shared" si="32"/>
        <v>0</v>
      </c>
      <c r="U105" s="6">
        <f t="shared" si="33"/>
        <v>11.25773705291369</v>
      </c>
      <c r="V105" s="12">
        <f t="shared" si="34"/>
        <v>0</v>
      </c>
      <c r="W105" s="12">
        <f t="shared" si="35"/>
        <v>1.5</v>
      </c>
    </row>
    <row r="106" spans="1:23" x14ac:dyDescent="0.25">
      <c r="A106" s="5">
        <v>93</v>
      </c>
      <c r="B106" s="7"/>
      <c r="C106" s="7"/>
      <c r="D106" s="12">
        <f t="shared" si="24"/>
        <v>0</v>
      </c>
      <c r="E106" s="6">
        <f t="shared" si="25"/>
        <v>11.25773705291369</v>
      </c>
      <c r="F106" s="12">
        <f t="shared" si="26"/>
        <v>0</v>
      </c>
      <c r="G106" s="12">
        <f t="shared" si="27"/>
        <v>0.5</v>
      </c>
      <c r="I106" s="5">
        <v>93</v>
      </c>
      <c r="J106" s="6"/>
      <c r="K106" s="6"/>
      <c r="L106" s="12">
        <f t="shared" si="28"/>
        <v>0</v>
      </c>
      <c r="M106" s="6">
        <f t="shared" si="29"/>
        <v>11.25773705291369</v>
      </c>
      <c r="N106" s="12">
        <f t="shared" si="30"/>
        <v>0</v>
      </c>
      <c r="O106" s="12">
        <f t="shared" si="31"/>
        <v>1</v>
      </c>
      <c r="Q106" s="5">
        <v>93</v>
      </c>
      <c r="R106" s="7"/>
      <c r="S106" s="7"/>
      <c r="T106" s="12">
        <f t="shared" si="32"/>
        <v>0</v>
      </c>
      <c r="U106" s="6">
        <f t="shared" si="33"/>
        <v>11.25773705291369</v>
      </c>
      <c r="V106" s="12">
        <f t="shared" si="34"/>
        <v>0</v>
      </c>
      <c r="W106" s="12">
        <f t="shared" si="35"/>
        <v>1.5</v>
      </c>
    </row>
    <row r="107" spans="1:23" x14ac:dyDescent="0.25">
      <c r="A107" s="5">
        <v>94</v>
      </c>
      <c r="B107" s="7"/>
      <c r="C107" s="7"/>
      <c r="D107" s="12">
        <f t="shared" si="24"/>
        <v>0</v>
      </c>
      <c r="E107" s="6">
        <f t="shared" si="25"/>
        <v>11.25773705291369</v>
      </c>
      <c r="F107" s="12">
        <f t="shared" si="26"/>
        <v>0</v>
      </c>
      <c r="G107" s="12">
        <f t="shared" si="27"/>
        <v>0.5</v>
      </c>
      <c r="I107" s="5">
        <v>94</v>
      </c>
      <c r="J107" s="6"/>
      <c r="K107" s="6"/>
      <c r="L107" s="12">
        <f t="shared" si="28"/>
        <v>0</v>
      </c>
      <c r="M107" s="6">
        <f t="shared" si="29"/>
        <v>11.25773705291369</v>
      </c>
      <c r="N107" s="12">
        <f t="shared" si="30"/>
        <v>0</v>
      </c>
      <c r="O107" s="12">
        <f t="shared" si="31"/>
        <v>1</v>
      </c>
      <c r="Q107" s="5">
        <v>94</v>
      </c>
      <c r="R107" s="7"/>
      <c r="S107" s="7"/>
      <c r="T107" s="12">
        <f t="shared" si="32"/>
        <v>0</v>
      </c>
      <c r="U107" s="6">
        <f t="shared" si="33"/>
        <v>11.25773705291369</v>
      </c>
      <c r="V107" s="12">
        <f t="shared" si="34"/>
        <v>0</v>
      </c>
      <c r="W107" s="12">
        <f t="shared" si="35"/>
        <v>1.5</v>
      </c>
    </row>
    <row r="108" spans="1:23" x14ac:dyDescent="0.25">
      <c r="A108" s="5">
        <v>95</v>
      </c>
      <c r="B108" s="7"/>
      <c r="C108" s="7"/>
      <c r="D108" s="12">
        <f t="shared" si="24"/>
        <v>0</v>
      </c>
      <c r="E108" s="6">
        <f t="shared" si="25"/>
        <v>11.25773705291369</v>
      </c>
      <c r="F108" s="12">
        <f t="shared" si="26"/>
        <v>0</v>
      </c>
      <c r="G108" s="12">
        <f t="shared" si="27"/>
        <v>0.5</v>
      </c>
      <c r="I108" s="5">
        <v>95</v>
      </c>
      <c r="J108" s="6"/>
      <c r="K108" s="6"/>
      <c r="L108" s="12">
        <f t="shared" si="28"/>
        <v>0</v>
      </c>
      <c r="M108" s="6">
        <f t="shared" si="29"/>
        <v>11.25773705291369</v>
      </c>
      <c r="N108" s="12">
        <f t="shared" si="30"/>
        <v>0</v>
      </c>
      <c r="O108" s="12">
        <f t="shared" si="31"/>
        <v>1</v>
      </c>
      <c r="Q108" s="5">
        <v>95</v>
      </c>
      <c r="R108" s="7"/>
      <c r="S108" s="7"/>
      <c r="T108" s="12">
        <f t="shared" si="32"/>
        <v>0</v>
      </c>
      <c r="U108" s="6">
        <f t="shared" si="33"/>
        <v>11.25773705291369</v>
      </c>
      <c r="V108" s="12">
        <f t="shared" si="34"/>
        <v>0</v>
      </c>
      <c r="W108" s="12">
        <f t="shared" si="35"/>
        <v>1.5</v>
      </c>
    </row>
    <row r="109" spans="1:23" x14ac:dyDescent="0.25">
      <c r="A109" s="5">
        <v>96</v>
      </c>
      <c r="B109" s="7"/>
      <c r="C109" s="7"/>
      <c r="D109" s="12">
        <f t="shared" si="24"/>
        <v>0</v>
      </c>
      <c r="E109" s="6">
        <f t="shared" si="25"/>
        <v>11.25773705291369</v>
      </c>
      <c r="F109" s="12">
        <f t="shared" si="26"/>
        <v>0</v>
      </c>
      <c r="G109" s="12">
        <f t="shared" si="27"/>
        <v>0.5</v>
      </c>
      <c r="I109" s="5">
        <v>96</v>
      </c>
      <c r="J109" s="6"/>
      <c r="K109" s="6"/>
      <c r="L109" s="12">
        <f t="shared" si="28"/>
        <v>0</v>
      </c>
      <c r="M109" s="6">
        <f t="shared" si="29"/>
        <v>11.25773705291369</v>
      </c>
      <c r="N109" s="12">
        <f t="shared" si="30"/>
        <v>0</v>
      </c>
      <c r="O109" s="12">
        <f t="shared" si="31"/>
        <v>1</v>
      </c>
      <c r="Q109" s="5">
        <v>96</v>
      </c>
      <c r="R109" s="7"/>
      <c r="S109" s="7"/>
      <c r="T109" s="12">
        <f t="shared" si="32"/>
        <v>0</v>
      </c>
      <c r="U109" s="6">
        <f t="shared" si="33"/>
        <v>11.25773705291369</v>
      </c>
      <c r="V109" s="12">
        <f t="shared" si="34"/>
        <v>0</v>
      </c>
      <c r="W109" s="12">
        <f t="shared" si="35"/>
        <v>1.5</v>
      </c>
    </row>
    <row r="110" spans="1:23" x14ac:dyDescent="0.25">
      <c r="A110" s="5">
        <v>97</v>
      </c>
      <c r="B110" s="7"/>
      <c r="C110" s="7"/>
      <c r="D110" s="12">
        <f t="shared" ref="D110:D141" si="36">(B110/$D$7)*100</f>
        <v>0</v>
      </c>
      <c r="E110" s="6">
        <f t="shared" ref="E110:E141" si="37">$D$6/(1-(D110/100))</f>
        <v>11.25773705291369</v>
      </c>
      <c r="F110" s="12">
        <f t="shared" ref="F110:F141" si="38">C110/E110</f>
        <v>0</v>
      </c>
      <c r="G110" s="12">
        <f t="shared" ref="G110:G141" si="39">F110+$D$10</f>
        <v>0.5</v>
      </c>
      <c r="I110" s="5">
        <v>97</v>
      </c>
      <c r="J110" s="6"/>
      <c r="K110" s="6"/>
      <c r="L110" s="12">
        <f t="shared" ref="L110:L141" si="40">(J110/$L$7)*100</f>
        <v>0</v>
      </c>
      <c r="M110" s="6">
        <f t="shared" ref="M110:M141" si="41">$L$6/(1-(L110/100))</f>
        <v>11.25773705291369</v>
      </c>
      <c r="N110" s="12">
        <f t="shared" ref="N110:N141" si="42">K110/M110</f>
        <v>0</v>
      </c>
      <c r="O110" s="12">
        <f t="shared" ref="O110:O141" si="43">N110+$L$10</f>
        <v>1</v>
      </c>
      <c r="Q110" s="5">
        <v>97</v>
      </c>
      <c r="R110" s="7"/>
      <c r="S110" s="7"/>
      <c r="T110" s="12">
        <f t="shared" ref="T110:T141" si="44">(R110/$T$7)*100</f>
        <v>0</v>
      </c>
      <c r="U110" s="6">
        <f t="shared" ref="U110:U141" si="45">$T$6/(1-(T110/100))</f>
        <v>11.25773705291369</v>
      </c>
      <c r="V110" s="12">
        <f t="shared" ref="V110:V141" si="46">S110/U110</f>
        <v>0</v>
      </c>
      <c r="W110" s="12">
        <f t="shared" ref="W110:W141" si="47">V110+$T$10</f>
        <v>1.5</v>
      </c>
    </row>
    <row r="111" spans="1:23" x14ac:dyDescent="0.25">
      <c r="A111" s="5">
        <v>98</v>
      </c>
      <c r="B111" s="7"/>
      <c r="C111" s="7"/>
      <c r="D111" s="12">
        <f t="shared" si="36"/>
        <v>0</v>
      </c>
      <c r="E111" s="6">
        <f t="shared" si="37"/>
        <v>11.25773705291369</v>
      </c>
      <c r="F111" s="12">
        <f t="shared" si="38"/>
        <v>0</v>
      </c>
      <c r="G111" s="12">
        <f t="shared" si="39"/>
        <v>0.5</v>
      </c>
      <c r="I111" s="5">
        <v>98</v>
      </c>
      <c r="J111" s="6"/>
      <c r="K111" s="6"/>
      <c r="L111" s="12">
        <f t="shared" si="40"/>
        <v>0</v>
      </c>
      <c r="M111" s="6">
        <f t="shared" si="41"/>
        <v>11.25773705291369</v>
      </c>
      <c r="N111" s="12">
        <f t="shared" si="42"/>
        <v>0</v>
      </c>
      <c r="O111" s="12">
        <f t="shared" si="43"/>
        <v>1</v>
      </c>
      <c r="Q111" s="5">
        <v>98</v>
      </c>
      <c r="R111" s="7"/>
      <c r="S111" s="7"/>
      <c r="T111" s="12">
        <f t="shared" si="44"/>
        <v>0</v>
      </c>
      <c r="U111" s="6">
        <f t="shared" si="45"/>
        <v>11.25773705291369</v>
      </c>
      <c r="V111" s="12">
        <f t="shared" si="46"/>
        <v>0</v>
      </c>
      <c r="W111" s="12">
        <f t="shared" si="47"/>
        <v>1.5</v>
      </c>
    </row>
    <row r="112" spans="1:23" x14ac:dyDescent="0.25">
      <c r="A112" s="5">
        <v>99</v>
      </c>
      <c r="B112" s="7"/>
      <c r="C112" s="7"/>
      <c r="D112" s="12">
        <f t="shared" si="36"/>
        <v>0</v>
      </c>
      <c r="E112" s="6">
        <f t="shared" si="37"/>
        <v>11.25773705291369</v>
      </c>
      <c r="F112" s="12">
        <f t="shared" si="38"/>
        <v>0</v>
      </c>
      <c r="G112" s="12">
        <f t="shared" si="39"/>
        <v>0.5</v>
      </c>
      <c r="I112" s="5">
        <v>99</v>
      </c>
      <c r="J112" s="6"/>
      <c r="K112" s="6"/>
      <c r="L112" s="12">
        <f t="shared" si="40"/>
        <v>0</v>
      </c>
      <c r="M112" s="6">
        <f t="shared" si="41"/>
        <v>11.25773705291369</v>
      </c>
      <c r="N112" s="12">
        <f t="shared" si="42"/>
        <v>0</v>
      </c>
      <c r="O112" s="12">
        <f t="shared" si="43"/>
        <v>1</v>
      </c>
      <c r="Q112" s="5">
        <v>99</v>
      </c>
      <c r="R112" s="7"/>
      <c r="S112" s="7"/>
      <c r="T112" s="12">
        <f t="shared" si="44"/>
        <v>0</v>
      </c>
      <c r="U112" s="6">
        <f t="shared" si="45"/>
        <v>11.25773705291369</v>
      </c>
      <c r="V112" s="12">
        <f t="shared" si="46"/>
        <v>0</v>
      </c>
      <c r="W112" s="12">
        <f t="shared" si="47"/>
        <v>1.5</v>
      </c>
    </row>
    <row r="113" spans="1:23" x14ac:dyDescent="0.25">
      <c r="A113" s="5">
        <v>100</v>
      </c>
      <c r="B113" s="7"/>
      <c r="C113" s="7"/>
      <c r="D113" s="12">
        <f t="shared" si="36"/>
        <v>0</v>
      </c>
      <c r="E113" s="6">
        <f t="shared" si="37"/>
        <v>11.25773705291369</v>
      </c>
      <c r="F113" s="12">
        <f t="shared" si="38"/>
        <v>0</v>
      </c>
      <c r="G113" s="12">
        <f t="shared" si="39"/>
        <v>0.5</v>
      </c>
      <c r="I113" s="5">
        <v>100</v>
      </c>
      <c r="J113" s="6"/>
      <c r="K113" s="6"/>
      <c r="L113" s="12">
        <f t="shared" si="40"/>
        <v>0</v>
      </c>
      <c r="M113" s="6">
        <f t="shared" si="41"/>
        <v>11.25773705291369</v>
      </c>
      <c r="N113" s="12">
        <f t="shared" si="42"/>
        <v>0</v>
      </c>
      <c r="O113" s="12">
        <f t="shared" si="43"/>
        <v>1</v>
      </c>
      <c r="Q113" s="5">
        <v>100</v>
      </c>
      <c r="R113" s="7"/>
      <c r="S113" s="7"/>
      <c r="T113" s="12">
        <f t="shared" si="44"/>
        <v>0</v>
      </c>
      <c r="U113" s="6">
        <f t="shared" si="45"/>
        <v>11.25773705291369</v>
      </c>
      <c r="V113" s="12">
        <f t="shared" si="46"/>
        <v>0</v>
      </c>
      <c r="W113" s="12">
        <f t="shared" si="47"/>
        <v>1.5</v>
      </c>
    </row>
    <row r="114" spans="1:23" x14ac:dyDescent="0.25">
      <c r="A114" s="5">
        <v>101</v>
      </c>
      <c r="B114" s="7"/>
      <c r="C114" s="7"/>
      <c r="D114" s="12">
        <f t="shared" si="36"/>
        <v>0</v>
      </c>
      <c r="E114" s="6">
        <f t="shared" si="37"/>
        <v>11.25773705291369</v>
      </c>
      <c r="F114" s="12">
        <f t="shared" si="38"/>
        <v>0</v>
      </c>
      <c r="G114" s="12">
        <f t="shared" si="39"/>
        <v>0.5</v>
      </c>
      <c r="I114" s="5">
        <v>101</v>
      </c>
      <c r="J114" s="6"/>
      <c r="K114" s="6"/>
      <c r="L114" s="12">
        <f t="shared" si="40"/>
        <v>0</v>
      </c>
      <c r="M114" s="6">
        <f t="shared" si="41"/>
        <v>11.25773705291369</v>
      </c>
      <c r="N114" s="12">
        <f t="shared" si="42"/>
        <v>0</v>
      </c>
      <c r="O114" s="12">
        <f t="shared" si="43"/>
        <v>1</v>
      </c>
      <c r="Q114" s="5">
        <v>101</v>
      </c>
      <c r="R114" s="7"/>
      <c r="S114" s="7"/>
      <c r="T114" s="12">
        <f t="shared" si="44"/>
        <v>0</v>
      </c>
      <c r="U114" s="6">
        <f t="shared" si="45"/>
        <v>11.25773705291369</v>
      </c>
      <c r="V114" s="12">
        <f t="shared" si="46"/>
        <v>0</v>
      </c>
      <c r="W114" s="12">
        <f t="shared" si="47"/>
        <v>1.5</v>
      </c>
    </row>
    <row r="115" spans="1:23" x14ac:dyDescent="0.25">
      <c r="A115" s="5">
        <v>102</v>
      </c>
      <c r="B115" s="7"/>
      <c r="C115" s="7"/>
      <c r="D115" s="12">
        <f t="shared" si="36"/>
        <v>0</v>
      </c>
      <c r="E115" s="6">
        <f t="shared" si="37"/>
        <v>11.25773705291369</v>
      </c>
      <c r="F115" s="12">
        <f t="shared" si="38"/>
        <v>0</v>
      </c>
      <c r="G115" s="12">
        <f t="shared" si="39"/>
        <v>0.5</v>
      </c>
      <c r="I115" s="5">
        <v>102</v>
      </c>
      <c r="J115" s="6"/>
      <c r="K115" s="6"/>
      <c r="L115" s="12">
        <f t="shared" si="40"/>
        <v>0</v>
      </c>
      <c r="M115" s="6">
        <f t="shared" si="41"/>
        <v>11.25773705291369</v>
      </c>
      <c r="N115" s="12">
        <f t="shared" si="42"/>
        <v>0</v>
      </c>
      <c r="O115" s="12">
        <f t="shared" si="43"/>
        <v>1</v>
      </c>
      <c r="Q115" s="5">
        <v>102</v>
      </c>
      <c r="R115" s="7"/>
      <c r="S115" s="7"/>
      <c r="T115" s="12">
        <f t="shared" si="44"/>
        <v>0</v>
      </c>
      <c r="U115" s="6">
        <f t="shared" si="45"/>
        <v>11.25773705291369</v>
      </c>
      <c r="V115" s="12">
        <f t="shared" si="46"/>
        <v>0</v>
      </c>
      <c r="W115" s="12">
        <f t="shared" si="47"/>
        <v>1.5</v>
      </c>
    </row>
    <row r="116" spans="1:23" x14ac:dyDescent="0.25">
      <c r="A116" s="5">
        <v>103</v>
      </c>
      <c r="B116" s="7"/>
      <c r="C116" s="7"/>
      <c r="D116" s="12">
        <f t="shared" si="36"/>
        <v>0</v>
      </c>
      <c r="E116" s="6">
        <f t="shared" si="37"/>
        <v>11.25773705291369</v>
      </c>
      <c r="F116" s="12">
        <f t="shared" si="38"/>
        <v>0</v>
      </c>
      <c r="G116" s="12">
        <f t="shared" si="39"/>
        <v>0.5</v>
      </c>
      <c r="I116" s="5">
        <v>103</v>
      </c>
      <c r="J116" s="6"/>
      <c r="K116" s="6"/>
      <c r="L116" s="12">
        <f t="shared" si="40"/>
        <v>0</v>
      </c>
      <c r="M116" s="6">
        <f t="shared" si="41"/>
        <v>11.25773705291369</v>
      </c>
      <c r="N116" s="12">
        <f t="shared" si="42"/>
        <v>0</v>
      </c>
      <c r="O116" s="12">
        <f t="shared" si="43"/>
        <v>1</v>
      </c>
      <c r="Q116" s="5">
        <v>103</v>
      </c>
      <c r="R116" s="7"/>
      <c r="S116" s="7"/>
      <c r="T116" s="12">
        <f t="shared" si="44"/>
        <v>0</v>
      </c>
      <c r="U116" s="6">
        <f t="shared" si="45"/>
        <v>11.25773705291369</v>
      </c>
      <c r="V116" s="12">
        <f t="shared" si="46"/>
        <v>0</v>
      </c>
      <c r="W116" s="12">
        <f t="shared" si="47"/>
        <v>1.5</v>
      </c>
    </row>
    <row r="117" spans="1:23" x14ac:dyDescent="0.25">
      <c r="A117" s="5">
        <v>104</v>
      </c>
      <c r="B117" s="7"/>
      <c r="C117" s="7"/>
      <c r="D117" s="12">
        <f t="shared" si="36"/>
        <v>0</v>
      </c>
      <c r="E117" s="6">
        <f t="shared" si="37"/>
        <v>11.25773705291369</v>
      </c>
      <c r="F117" s="12">
        <f t="shared" si="38"/>
        <v>0</v>
      </c>
      <c r="G117" s="12">
        <f t="shared" si="39"/>
        <v>0.5</v>
      </c>
      <c r="I117" s="5">
        <v>104</v>
      </c>
      <c r="J117" s="6"/>
      <c r="K117" s="6"/>
      <c r="L117" s="12">
        <f t="shared" si="40"/>
        <v>0</v>
      </c>
      <c r="M117" s="6">
        <f t="shared" si="41"/>
        <v>11.25773705291369</v>
      </c>
      <c r="N117" s="12">
        <f t="shared" si="42"/>
        <v>0</v>
      </c>
      <c r="O117" s="12">
        <f t="shared" si="43"/>
        <v>1</v>
      </c>
      <c r="Q117" s="5">
        <v>104</v>
      </c>
      <c r="R117" s="7"/>
      <c r="S117" s="7"/>
      <c r="T117" s="12">
        <f t="shared" si="44"/>
        <v>0</v>
      </c>
      <c r="U117" s="6">
        <f t="shared" si="45"/>
        <v>11.25773705291369</v>
      </c>
      <c r="V117" s="12">
        <f t="shared" si="46"/>
        <v>0</v>
      </c>
      <c r="W117" s="12">
        <f t="shared" si="47"/>
        <v>1.5</v>
      </c>
    </row>
    <row r="118" spans="1:23" x14ac:dyDescent="0.25">
      <c r="A118" s="5">
        <v>105</v>
      </c>
      <c r="B118" s="7"/>
      <c r="C118" s="7"/>
      <c r="D118" s="12">
        <f t="shared" si="36"/>
        <v>0</v>
      </c>
      <c r="E118" s="6">
        <f t="shared" si="37"/>
        <v>11.25773705291369</v>
      </c>
      <c r="F118" s="12">
        <f t="shared" si="38"/>
        <v>0</v>
      </c>
      <c r="G118" s="12">
        <f t="shared" si="39"/>
        <v>0.5</v>
      </c>
      <c r="I118" s="5">
        <v>105</v>
      </c>
      <c r="J118" s="6"/>
      <c r="K118" s="6"/>
      <c r="L118" s="12">
        <f t="shared" si="40"/>
        <v>0</v>
      </c>
      <c r="M118" s="6">
        <f t="shared" si="41"/>
        <v>11.25773705291369</v>
      </c>
      <c r="N118" s="12">
        <f t="shared" si="42"/>
        <v>0</v>
      </c>
      <c r="O118" s="12">
        <f t="shared" si="43"/>
        <v>1</v>
      </c>
      <c r="Q118" s="5">
        <v>105</v>
      </c>
      <c r="R118" s="7"/>
      <c r="S118" s="7"/>
      <c r="T118" s="12">
        <f t="shared" si="44"/>
        <v>0</v>
      </c>
      <c r="U118" s="6">
        <f t="shared" si="45"/>
        <v>11.25773705291369</v>
      </c>
      <c r="V118" s="12">
        <f t="shared" si="46"/>
        <v>0</v>
      </c>
      <c r="W118" s="12">
        <f t="shared" si="47"/>
        <v>1.5</v>
      </c>
    </row>
    <row r="119" spans="1:23" x14ac:dyDescent="0.25">
      <c r="A119" s="5">
        <v>106</v>
      </c>
      <c r="B119" s="7"/>
      <c r="C119" s="7"/>
      <c r="D119" s="12">
        <f t="shared" si="36"/>
        <v>0</v>
      </c>
      <c r="E119" s="6">
        <f t="shared" si="37"/>
        <v>11.25773705291369</v>
      </c>
      <c r="F119" s="12">
        <f t="shared" si="38"/>
        <v>0</v>
      </c>
      <c r="G119" s="12">
        <f t="shared" si="39"/>
        <v>0.5</v>
      </c>
      <c r="I119" s="5">
        <v>106</v>
      </c>
      <c r="J119" s="6"/>
      <c r="K119" s="6"/>
      <c r="L119" s="12">
        <f t="shared" si="40"/>
        <v>0</v>
      </c>
      <c r="M119" s="6">
        <f t="shared" si="41"/>
        <v>11.25773705291369</v>
      </c>
      <c r="N119" s="12">
        <f t="shared" si="42"/>
        <v>0</v>
      </c>
      <c r="O119" s="12">
        <f t="shared" si="43"/>
        <v>1</v>
      </c>
      <c r="Q119" s="5">
        <v>106</v>
      </c>
      <c r="R119" s="7"/>
      <c r="S119" s="7"/>
      <c r="T119" s="12">
        <f t="shared" si="44"/>
        <v>0</v>
      </c>
      <c r="U119" s="6">
        <f t="shared" si="45"/>
        <v>11.25773705291369</v>
      </c>
      <c r="V119" s="12">
        <f t="shared" si="46"/>
        <v>0</v>
      </c>
      <c r="W119" s="12">
        <f t="shared" si="47"/>
        <v>1.5</v>
      </c>
    </row>
    <row r="120" spans="1:23" x14ac:dyDescent="0.25">
      <c r="A120" s="5">
        <v>107</v>
      </c>
      <c r="B120" s="7"/>
      <c r="C120" s="7"/>
      <c r="D120" s="12">
        <f t="shared" si="36"/>
        <v>0</v>
      </c>
      <c r="E120" s="6">
        <f t="shared" si="37"/>
        <v>11.25773705291369</v>
      </c>
      <c r="F120" s="12">
        <f t="shared" si="38"/>
        <v>0</v>
      </c>
      <c r="G120" s="12">
        <f t="shared" si="39"/>
        <v>0.5</v>
      </c>
      <c r="I120" s="5">
        <v>107</v>
      </c>
      <c r="J120" s="6"/>
      <c r="K120" s="6"/>
      <c r="L120" s="12">
        <f t="shared" si="40"/>
        <v>0</v>
      </c>
      <c r="M120" s="6">
        <f t="shared" si="41"/>
        <v>11.25773705291369</v>
      </c>
      <c r="N120" s="12">
        <f t="shared" si="42"/>
        <v>0</v>
      </c>
      <c r="O120" s="12">
        <f t="shared" si="43"/>
        <v>1</v>
      </c>
      <c r="Q120" s="5">
        <v>107</v>
      </c>
      <c r="R120" s="7"/>
      <c r="S120" s="7"/>
      <c r="T120" s="12">
        <f t="shared" si="44"/>
        <v>0</v>
      </c>
      <c r="U120" s="6">
        <f t="shared" si="45"/>
        <v>11.25773705291369</v>
      </c>
      <c r="V120" s="12">
        <f t="shared" si="46"/>
        <v>0</v>
      </c>
      <c r="W120" s="12">
        <f t="shared" si="47"/>
        <v>1.5</v>
      </c>
    </row>
    <row r="121" spans="1:23" x14ac:dyDescent="0.25">
      <c r="A121" s="5">
        <v>108</v>
      </c>
      <c r="B121" s="7"/>
      <c r="C121" s="7"/>
      <c r="D121" s="12">
        <f t="shared" si="36"/>
        <v>0</v>
      </c>
      <c r="E121" s="6">
        <f t="shared" si="37"/>
        <v>11.25773705291369</v>
      </c>
      <c r="F121" s="12">
        <f t="shared" si="38"/>
        <v>0</v>
      </c>
      <c r="G121" s="12">
        <f t="shared" si="39"/>
        <v>0.5</v>
      </c>
      <c r="I121" s="5">
        <v>108</v>
      </c>
      <c r="J121" s="6"/>
      <c r="K121" s="6"/>
      <c r="L121" s="12">
        <f t="shared" si="40"/>
        <v>0</v>
      </c>
      <c r="M121" s="6">
        <f t="shared" si="41"/>
        <v>11.25773705291369</v>
      </c>
      <c r="N121" s="12">
        <f t="shared" si="42"/>
        <v>0</v>
      </c>
      <c r="O121" s="12">
        <f t="shared" si="43"/>
        <v>1</v>
      </c>
      <c r="Q121" s="5">
        <v>108</v>
      </c>
      <c r="R121" s="7"/>
      <c r="S121" s="7"/>
      <c r="T121" s="12">
        <f t="shared" si="44"/>
        <v>0</v>
      </c>
      <c r="U121" s="6">
        <f t="shared" si="45"/>
        <v>11.25773705291369</v>
      </c>
      <c r="V121" s="12">
        <f t="shared" si="46"/>
        <v>0</v>
      </c>
      <c r="W121" s="12">
        <f t="shared" si="47"/>
        <v>1.5</v>
      </c>
    </row>
    <row r="122" spans="1:23" x14ac:dyDescent="0.25">
      <c r="A122" s="5">
        <v>109</v>
      </c>
      <c r="B122" s="7"/>
      <c r="C122" s="7"/>
      <c r="D122" s="12">
        <f t="shared" si="36"/>
        <v>0</v>
      </c>
      <c r="E122" s="6">
        <f t="shared" si="37"/>
        <v>11.25773705291369</v>
      </c>
      <c r="F122" s="12">
        <f t="shared" si="38"/>
        <v>0</v>
      </c>
      <c r="G122" s="12">
        <f t="shared" si="39"/>
        <v>0.5</v>
      </c>
      <c r="I122" s="5">
        <v>109</v>
      </c>
      <c r="J122" s="6"/>
      <c r="K122" s="6"/>
      <c r="L122" s="12">
        <f t="shared" si="40"/>
        <v>0</v>
      </c>
      <c r="M122" s="6">
        <f t="shared" si="41"/>
        <v>11.25773705291369</v>
      </c>
      <c r="N122" s="12">
        <f t="shared" si="42"/>
        <v>0</v>
      </c>
      <c r="O122" s="12">
        <f t="shared" si="43"/>
        <v>1</v>
      </c>
      <c r="Q122" s="5">
        <v>109</v>
      </c>
      <c r="R122" s="7"/>
      <c r="S122" s="7"/>
      <c r="T122" s="12">
        <f t="shared" si="44"/>
        <v>0</v>
      </c>
      <c r="U122" s="6">
        <f t="shared" si="45"/>
        <v>11.25773705291369</v>
      </c>
      <c r="V122" s="12">
        <f t="shared" si="46"/>
        <v>0</v>
      </c>
      <c r="W122" s="12">
        <f t="shared" si="47"/>
        <v>1.5</v>
      </c>
    </row>
    <row r="123" spans="1:23" x14ac:dyDescent="0.25">
      <c r="A123" s="5">
        <v>110</v>
      </c>
      <c r="B123" s="7"/>
      <c r="C123" s="7"/>
      <c r="D123" s="12">
        <f t="shared" si="36"/>
        <v>0</v>
      </c>
      <c r="E123" s="6">
        <f t="shared" si="37"/>
        <v>11.25773705291369</v>
      </c>
      <c r="F123" s="12">
        <f t="shared" si="38"/>
        <v>0</v>
      </c>
      <c r="G123" s="12">
        <f t="shared" si="39"/>
        <v>0.5</v>
      </c>
      <c r="I123" s="5">
        <v>110</v>
      </c>
      <c r="J123" s="6"/>
      <c r="K123" s="6"/>
      <c r="L123" s="12">
        <f t="shared" si="40"/>
        <v>0</v>
      </c>
      <c r="M123" s="6">
        <f t="shared" si="41"/>
        <v>11.25773705291369</v>
      </c>
      <c r="N123" s="12">
        <f t="shared" si="42"/>
        <v>0</v>
      </c>
      <c r="O123" s="12">
        <f t="shared" si="43"/>
        <v>1</v>
      </c>
      <c r="Q123" s="5">
        <v>110</v>
      </c>
      <c r="R123" s="7"/>
      <c r="S123" s="7"/>
      <c r="T123" s="12">
        <f t="shared" si="44"/>
        <v>0</v>
      </c>
      <c r="U123" s="6">
        <f t="shared" si="45"/>
        <v>11.25773705291369</v>
      </c>
      <c r="V123" s="12">
        <f t="shared" si="46"/>
        <v>0</v>
      </c>
      <c r="W123" s="12">
        <f t="shared" si="47"/>
        <v>1.5</v>
      </c>
    </row>
    <row r="124" spans="1:23" x14ac:dyDescent="0.25">
      <c r="A124" s="5">
        <v>111</v>
      </c>
      <c r="B124" s="7"/>
      <c r="C124" s="7"/>
      <c r="D124" s="12">
        <f t="shared" si="36"/>
        <v>0</v>
      </c>
      <c r="E124" s="6">
        <f t="shared" si="37"/>
        <v>11.25773705291369</v>
      </c>
      <c r="F124" s="12">
        <f t="shared" si="38"/>
        <v>0</v>
      </c>
      <c r="G124" s="12">
        <f t="shared" si="39"/>
        <v>0.5</v>
      </c>
      <c r="I124" s="5">
        <v>111</v>
      </c>
      <c r="J124" s="6"/>
      <c r="K124" s="6"/>
      <c r="L124" s="12">
        <f t="shared" si="40"/>
        <v>0</v>
      </c>
      <c r="M124" s="6">
        <f t="shared" si="41"/>
        <v>11.25773705291369</v>
      </c>
      <c r="N124" s="12">
        <f t="shared" si="42"/>
        <v>0</v>
      </c>
      <c r="O124" s="12">
        <f t="shared" si="43"/>
        <v>1</v>
      </c>
      <c r="Q124" s="5">
        <v>111</v>
      </c>
      <c r="R124" s="7"/>
      <c r="S124" s="7"/>
      <c r="T124" s="12">
        <f t="shared" si="44"/>
        <v>0</v>
      </c>
      <c r="U124" s="6">
        <f t="shared" si="45"/>
        <v>11.25773705291369</v>
      </c>
      <c r="V124" s="12">
        <f t="shared" si="46"/>
        <v>0</v>
      </c>
      <c r="W124" s="12">
        <f t="shared" si="47"/>
        <v>1.5</v>
      </c>
    </row>
    <row r="125" spans="1:23" x14ac:dyDescent="0.25">
      <c r="A125" s="5">
        <v>112</v>
      </c>
      <c r="B125" s="7"/>
      <c r="C125" s="7"/>
      <c r="D125" s="12">
        <f t="shared" si="36"/>
        <v>0</v>
      </c>
      <c r="E125" s="6">
        <f t="shared" si="37"/>
        <v>11.25773705291369</v>
      </c>
      <c r="F125" s="12">
        <f t="shared" si="38"/>
        <v>0</v>
      </c>
      <c r="G125" s="12">
        <f t="shared" si="39"/>
        <v>0.5</v>
      </c>
      <c r="I125" s="5">
        <v>112</v>
      </c>
      <c r="J125" s="6"/>
      <c r="K125" s="6"/>
      <c r="L125" s="12">
        <f t="shared" si="40"/>
        <v>0</v>
      </c>
      <c r="M125" s="6">
        <f t="shared" si="41"/>
        <v>11.25773705291369</v>
      </c>
      <c r="N125" s="12">
        <f t="shared" si="42"/>
        <v>0</v>
      </c>
      <c r="O125" s="12">
        <f t="shared" si="43"/>
        <v>1</v>
      </c>
      <c r="Q125" s="5">
        <v>112</v>
      </c>
      <c r="R125" s="7"/>
      <c r="S125" s="7"/>
      <c r="T125" s="12">
        <f t="shared" si="44"/>
        <v>0</v>
      </c>
      <c r="U125" s="6">
        <f t="shared" si="45"/>
        <v>11.25773705291369</v>
      </c>
      <c r="V125" s="12">
        <f t="shared" si="46"/>
        <v>0</v>
      </c>
      <c r="W125" s="12">
        <f t="shared" si="47"/>
        <v>1.5</v>
      </c>
    </row>
    <row r="126" spans="1:23" x14ac:dyDescent="0.25">
      <c r="A126" s="5">
        <v>113</v>
      </c>
      <c r="B126" s="7"/>
      <c r="C126" s="7"/>
      <c r="D126" s="12">
        <f t="shared" si="36"/>
        <v>0</v>
      </c>
      <c r="E126" s="6">
        <f t="shared" si="37"/>
        <v>11.25773705291369</v>
      </c>
      <c r="F126" s="12">
        <f t="shared" si="38"/>
        <v>0</v>
      </c>
      <c r="G126" s="12">
        <f t="shared" si="39"/>
        <v>0.5</v>
      </c>
      <c r="I126" s="5">
        <v>113</v>
      </c>
      <c r="J126" s="6"/>
      <c r="K126" s="6"/>
      <c r="L126" s="12">
        <f t="shared" si="40"/>
        <v>0</v>
      </c>
      <c r="M126" s="6">
        <f t="shared" si="41"/>
        <v>11.25773705291369</v>
      </c>
      <c r="N126" s="12">
        <f t="shared" si="42"/>
        <v>0</v>
      </c>
      <c r="O126" s="12">
        <f t="shared" si="43"/>
        <v>1</v>
      </c>
      <c r="Q126" s="5">
        <v>113</v>
      </c>
      <c r="R126" s="7"/>
      <c r="S126" s="7"/>
      <c r="T126" s="12">
        <f t="shared" si="44"/>
        <v>0</v>
      </c>
      <c r="U126" s="6">
        <f t="shared" si="45"/>
        <v>11.25773705291369</v>
      </c>
      <c r="V126" s="12">
        <f t="shared" si="46"/>
        <v>0</v>
      </c>
      <c r="W126" s="12">
        <f t="shared" si="47"/>
        <v>1.5</v>
      </c>
    </row>
    <row r="127" spans="1:23" x14ac:dyDescent="0.25">
      <c r="A127" s="5">
        <v>114</v>
      </c>
      <c r="B127" s="7"/>
      <c r="C127" s="7"/>
      <c r="D127" s="12">
        <f t="shared" si="36"/>
        <v>0</v>
      </c>
      <c r="E127" s="6">
        <f t="shared" si="37"/>
        <v>11.25773705291369</v>
      </c>
      <c r="F127" s="12">
        <f t="shared" si="38"/>
        <v>0</v>
      </c>
      <c r="G127" s="12">
        <f t="shared" si="39"/>
        <v>0.5</v>
      </c>
      <c r="I127" s="5">
        <v>114</v>
      </c>
      <c r="J127" s="6"/>
      <c r="K127" s="6"/>
      <c r="L127" s="12">
        <f t="shared" si="40"/>
        <v>0</v>
      </c>
      <c r="M127" s="6">
        <f t="shared" si="41"/>
        <v>11.25773705291369</v>
      </c>
      <c r="N127" s="12">
        <f t="shared" si="42"/>
        <v>0</v>
      </c>
      <c r="O127" s="12">
        <f t="shared" si="43"/>
        <v>1</v>
      </c>
      <c r="Q127" s="5">
        <v>114</v>
      </c>
      <c r="R127" s="7"/>
      <c r="S127" s="7"/>
      <c r="T127" s="12">
        <f t="shared" si="44"/>
        <v>0</v>
      </c>
      <c r="U127" s="6">
        <f t="shared" si="45"/>
        <v>11.25773705291369</v>
      </c>
      <c r="V127" s="12">
        <f t="shared" si="46"/>
        <v>0</v>
      </c>
      <c r="W127" s="12">
        <f t="shared" si="47"/>
        <v>1.5</v>
      </c>
    </row>
    <row r="128" spans="1:23" x14ac:dyDescent="0.25">
      <c r="A128" s="5">
        <v>115</v>
      </c>
      <c r="B128" s="7"/>
      <c r="C128" s="7"/>
      <c r="D128" s="12">
        <f t="shared" si="36"/>
        <v>0</v>
      </c>
      <c r="E128" s="6">
        <f t="shared" si="37"/>
        <v>11.25773705291369</v>
      </c>
      <c r="F128" s="12">
        <f t="shared" si="38"/>
        <v>0</v>
      </c>
      <c r="G128" s="12">
        <f t="shared" si="39"/>
        <v>0.5</v>
      </c>
      <c r="I128" s="5">
        <v>115</v>
      </c>
      <c r="J128" s="6"/>
      <c r="K128" s="6"/>
      <c r="L128" s="12">
        <f t="shared" si="40"/>
        <v>0</v>
      </c>
      <c r="M128" s="6">
        <f t="shared" si="41"/>
        <v>11.25773705291369</v>
      </c>
      <c r="N128" s="12">
        <f t="shared" si="42"/>
        <v>0</v>
      </c>
      <c r="O128" s="12">
        <f t="shared" si="43"/>
        <v>1</v>
      </c>
      <c r="Q128" s="5">
        <v>115</v>
      </c>
      <c r="R128" s="7"/>
      <c r="S128" s="7"/>
      <c r="T128" s="12">
        <f t="shared" si="44"/>
        <v>0</v>
      </c>
      <c r="U128" s="6">
        <f t="shared" si="45"/>
        <v>11.25773705291369</v>
      </c>
      <c r="V128" s="12">
        <f t="shared" si="46"/>
        <v>0</v>
      </c>
      <c r="W128" s="12">
        <f t="shared" si="47"/>
        <v>1.5</v>
      </c>
    </row>
    <row r="129" spans="1:23" x14ac:dyDescent="0.25">
      <c r="A129" s="5">
        <v>116</v>
      </c>
      <c r="B129" s="7"/>
      <c r="C129" s="7"/>
      <c r="D129" s="12">
        <f t="shared" si="36"/>
        <v>0</v>
      </c>
      <c r="E129" s="6">
        <f t="shared" si="37"/>
        <v>11.25773705291369</v>
      </c>
      <c r="F129" s="12">
        <f t="shared" si="38"/>
        <v>0</v>
      </c>
      <c r="G129" s="12">
        <f t="shared" si="39"/>
        <v>0.5</v>
      </c>
      <c r="I129" s="5">
        <v>116</v>
      </c>
      <c r="J129" s="6"/>
      <c r="K129" s="6"/>
      <c r="L129" s="12">
        <f t="shared" si="40"/>
        <v>0</v>
      </c>
      <c r="M129" s="6">
        <f t="shared" si="41"/>
        <v>11.25773705291369</v>
      </c>
      <c r="N129" s="12">
        <f t="shared" si="42"/>
        <v>0</v>
      </c>
      <c r="O129" s="12">
        <f t="shared" si="43"/>
        <v>1</v>
      </c>
      <c r="Q129" s="5">
        <v>116</v>
      </c>
      <c r="R129" s="7"/>
      <c r="S129" s="7"/>
      <c r="T129" s="12">
        <f t="shared" si="44"/>
        <v>0</v>
      </c>
      <c r="U129" s="6">
        <f t="shared" si="45"/>
        <v>11.25773705291369</v>
      </c>
      <c r="V129" s="12">
        <f t="shared" si="46"/>
        <v>0</v>
      </c>
      <c r="W129" s="12">
        <f t="shared" si="47"/>
        <v>1.5</v>
      </c>
    </row>
    <row r="130" spans="1:23" x14ac:dyDescent="0.25">
      <c r="A130" s="5">
        <v>117</v>
      </c>
      <c r="B130" s="7"/>
      <c r="C130" s="7"/>
      <c r="D130" s="12">
        <f t="shared" si="36"/>
        <v>0</v>
      </c>
      <c r="E130" s="6">
        <f t="shared" si="37"/>
        <v>11.25773705291369</v>
      </c>
      <c r="F130" s="12">
        <f t="shared" si="38"/>
        <v>0</v>
      </c>
      <c r="G130" s="12">
        <f t="shared" si="39"/>
        <v>0.5</v>
      </c>
      <c r="I130" s="5">
        <v>117</v>
      </c>
      <c r="J130" s="6"/>
      <c r="K130" s="6"/>
      <c r="L130" s="12">
        <f t="shared" si="40"/>
        <v>0</v>
      </c>
      <c r="M130" s="6">
        <f t="shared" si="41"/>
        <v>11.25773705291369</v>
      </c>
      <c r="N130" s="12">
        <f t="shared" si="42"/>
        <v>0</v>
      </c>
      <c r="O130" s="12">
        <f t="shared" si="43"/>
        <v>1</v>
      </c>
      <c r="Q130" s="5">
        <v>117</v>
      </c>
      <c r="R130" s="7"/>
      <c r="S130" s="7"/>
      <c r="T130" s="12">
        <f t="shared" si="44"/>
        <v>0</v>
      </c>
      <c r="U130" s="6">
        <f t="shared" si="45"/>
        <v>11.25773705291369</v>
      </c>
      <c r="V130" s="12">
        <f t="shared" si="46"/>
        <v>0</v>
      </c>
      <c r="W130" s="12">
        <f t="shared" si="47"/>
        <v>1.5</v>
      </c>
    </row>
    <row r="131" spans="1:23" x14ac:dyDescent="0.25">
      <c r="A131" s="5">
        <v>118</v>
      </c>
      <c r="B131" s="7"/>
      <c r="C131" s="7"/>
      <c r="D131" s="12">
        <f t="shared" si="36"/>
        <v>0</v>
      </c>
      <c r="E131" s="6">
        <f t="shared" si="37"/>
        <v>11.25773705291369</v>
      </c>
      <c r="F131" s="12">
        <f t="shared" si="38"/>
        <v>0</v>
      </c>
      <c r="G131" s="12">
        <f t="shared" si="39"/>
        <v>0.5</v>
      </c>
      <c r="I131" s="5">
        <v>118</v>
      </c>
      <c r="J131" s="6"/>
      <c r="K131" s="6"/>
      <c r="L131" s="12">
        <f t="shared" si="40"/>
        <v>0</v>
      </c>
      <c r="M131" s="6">
        <f t="shared" si="41"/>
        <v>11.25773705291369</v>
      </c>
      <c r="N131" s="12">
        <f t="shared" si="42"/>
        <v>0</v>
      </c>
      <c r="O131" s="12">
        <f t="shared" si="43"/>
        <v>1</v>
      </c>
      <c r="Q131" s="5">
        <v>118</v>
      </c>
      <c r="R131" s="7"/>
      <c r="S131" s="7"/>
      <c r="T131" s="12">
        <f t="shared" si="44"/>
        <v>0</v>
      </c>
      <c r="U131" s="6">
        <f t="shared" si="45"/>
        <v>11.25773705291369</v>
      </c>
      <c r="V131" s="12">
        <f t="shared" si="46"/>
        <v>0</v>
      </c>
      <c r="W131" s="12">
        <f t="shared" si="47"/>
        <v>1.5</v>
      </c>
    </row>
    <row r="132" spans="1:23" x14ac:dyDescent="0.25">
      <c r="A132" s="5">
        <v>119</v>
      </c>
      <c r="B132" s="7"/>
      <c r="C132" s="7"/>
      <c r="D132" s="12">
        <f t="shared" si="36"/>
        <v>0</v>
      </c>
      <c r="E132" s="6">
        <f t="shared" si="37"/>
        <v>11.25773705291369</v>
      </c>
      <c r="F132" s="12">
        <f t="shared" si="38"/>
        <v>0</v>
      </c>
      <c r="G132" s="12">
        <f t="shared" si="39"/>
        <v>0.5</v>
      </c>
      <c r="I132" s="5">
        <v>119</v>
      </c>
      <c r="J132" s="6"/>
      <c r="K132" s="6"/>
      <c r="L132" s="12">
        <f t="shared" si="40"/>
        <v>0</v>
      </c>
      <c r="M132" s="6">
        <f t="shared" si="41"/>
        <v>11.25773705291369</v>
      </c>
      <c r="N132" s="12">
        <f t="shared" si="42"/>
        <v>0</v>
      </c>
      <c r="O132" s="12">
        <f t="shared" si="43"/>
        <v>1</v>
      </c>
      <c r="Q132" s="5">
        <v>119</v>
      </c>
      <c r="R132" s="7"/>
      <c r="S132" s="7"/>
      <c r="T132" s="12">
        <f t="shared" si="44"/>
        <v>0</v>
      </c>
      <c r="U132" s="6">
        <f t="shared" si="45"/>
        <v>11.25773705291369</v>
      </c>
      <c r="V132" s="12">
        <f t="shared" si="46"/>
        <v>0</v>
      </c>
      <c r="W132" s="12">
        <f t="shared" si="47"/>
        <v>1.5</v>
      </c>
    </row>
    <row r="133" spans="1:23" x14ac:dyDescent="0.25">
      <c r="A133" s="5">
        <v>120</v>
      </c>
      <c r="B133" s="7"/>
      <c r="C133" s="7"/>
      <c r="D133" s="12">
        <f t="shared" si="36"/>
        <v>0</v>
      </c>
      <c r="E133" s="6">
        <f t="shared" si="37"/>
        <v>11.25773705291369</v>
      </c>
      <c r="F133" s="12">
        <f t="shared" si="38"/>
        <v>0</v>
      </c>
      <c r="G133" s="12">
        <f t="shared" si="39"/>
        <v>0.5</v>
      </c>
      <c r="I133" s="5">
        <v>120</v>
      </c>
      <c r="J133" s="6"/>
      <c r="K133" s="6"/>
      <c r="L133" s="12">
        <f t="shared" si="40"/>
        <v>0</v>
      </c>
      <c r="M133" s="6">
        <f t="shared" si="41"/>
        <v>11.25773705291369</v>
      </c>
      <c r="N133" s="12">
        <f t="shared" si="42"/>
        <v>0</v>
      </c>
      <c r="O133" s="12">
        <f t="shared" si="43"/>
        <v>1</v>
      </c>
      <c r="Q133" s="5">
        <v>120</v>
      </c>
      <c r="R133" s="7"/>
      <c r="S133" s="7"/>
      <c r="T133" s="12">
        <f t="shared" si="44"/>
        <v>0</v>
      </c>
      <c r="U133" s="6">
        <f t="shared" si="45"/>
        <v>11.25773705291369</v>
      </c>
      <c r="V133" s="12">
        <f t="shared" si="46"/>
        <v>0</v>
      </c>
      <c r="W133" s="12">
        <f t="shared" si="47"/>
        <v>1.5</v>
      </c>
    </row>
    <row r="134" spans="1:23" x14ac:dyDescent="0.25">
      <c r="A134" s="5">
        <v>121</v>
      </c>
      <c r="B134" s="7"/>
      <c r="C134" s="7"/>
      <c r="D134" s="12">
        <f t="shared" si="36"/>
        <v>0</v>
      </c>
      <c r="E134" s="6">
        <f t="shared" si="37"/>
        <v>11.25773705291369</v>
      </c>
      <c r="F134" s="12">
        <f t="shared" si="38"/>
        <v>0</v>
      </c>
      <c r="G134" s="12">
        <f t="shared" si="39"/>
        <v>0.5</v>
      </c>
      <c r="I134" s="5">
        <v>121</v>
      </c>
      <c r="J134" s="6"/>
      <c r="K134" s="6"/>
      <c r="L134" s="12">
        <f t="shared" si="40"/>
        <v>0</v>
      </c>
      <c r="M134" s="6">
        <f t="shared" si="41"/>
        <v>11.25773705291369</v>
      </c>
      <c r="N134" s="12">
        <f t="shared" si="42"/>
        <v>0</v>
      </c>
      <c r="O134" s="12">
        <f t="shared" si="43"/>
        <v>1</v>
      </c>
      <c r="Q134" s="5">
        <v>121</v>
      </c>
      <c r="R134" s="7"/>
      <c r="S134" s="7"/>
      <c r="T134" s="12">
        <f t="shared" si="44"/>
        <v>0</v>
      </c>
      <c r="U134" s="6">
        <f t="shared" si="45"/>
        <v>11.25773705291369</v>
      </c>
      <c r="V134" s="12">
        <f t="shared" si="46"/>
        <v>0</v>
      </c>
      <c r="W134" s="12">
        <f t="shared" si="47"/>
        <v>1.5</v>
      </c>
    </row>
    <row r="135" spans="1:23" x14ac:dyDescent="0.25">
      <c r="A135" s="5">
        <v>122</v>
      </c>
      <c r="B135" s="7"/>
      <c r="C135" s="7"/>
      <c r="D135" s="12">
        <f t="shared" si="36"/>
        <v>0</v>
      </c>
      <c r="E135" s="6">
        <f t="shared" si="37"/>
        <v>11.25773705291369</v>
      </c>
      <c r="F135" s="12">
        <f t="shared" si="38"/>
        <v>0</v>
      </c>
      <c r="G135" s="12">
        <f t="shared" si="39"/>
        <v>0.5</v>
      </c>
      <c r="I135" s="5">
        <v>122</v>
      </c>
      <c r="J135" s="6"/>
      <c r="K135" s="6"/>
      <c r="L135" s="12">
        <f t="shared" si="40"/>
        <v>0</v>
      </c>
      <c r="M135" s="6">
        <f t="shared" si="41"/>
        <v>11.25773705291369</v>
      </c>
      <c r="N135" s="12">
        <f t="shared" si="42"/>
        <v>0</v>
      </c>
      <c r="O135" s="12">
        <f t="shared" si="43"/>
        <v>1</v>
      </c>
      <c r="Q135" s="5">
        <v>122</v>
      </c>
      <c r="R135" s="7"/>
      <c r="S135" s="7"/>
      <c r="T135" s="12">
        <f t="shared" si="44"/>
        <v>0</v>
      </c>
      <c r="U135" s="6">
        <f t="shared" si="45"/>
        <v>11.25773705291369</v>
      </c>
      <c r="V135" s="12">
        <f t="shared" si="46"/>
        <v>0</v>
      </c>
      <c r="W135" s="12">
        <f t="shared" si="47"/>
        <v>1.5</v>
      </c>
    </row>
    <row r="136" spans="1:23" x14ac:dyDescent="0.25">
      <c r="A136" s="5">
        <v>123</v>
      </c>
      <c r="B136" s="7"/>
      <c r="C136" s="7"/>
      <c r="D136" s="12">
        <f t="shared" si="36"/>
        <v>0</v>
      </c>
      <c r="E136" s="6">
        <f t="shared" si="37"/>
        <v>11.25773705291369</v>
      </c>
      <c r="F136" s="12">
        <f t="shared" si="38"/>
        <v>0</v>
      </c>
      <c r="G136" s="12">
        <f t="shared" si="39"/>
        <v>0.5</v>
      </c>
      <c r="I136" s="5">
        <v>123</v>
      </c>
      <c r="J136" s="6"/>
      <c r="K136" s="6"/>
      <c r="L136" s="12">
        <f t="shared" si="40"/>
        <v>0</v>
      </c>
      <c r="M136" s="6">
        <f t="shared" si="41"/>
        <v>11.25773705291369</v>
      </c>
      <c r="N136" s="12">
        <f t="shared" si="42"/>
        <v>0</v>
      </c>
      <c r="O136" s="12">
        <f t="shared" si="43"/>
        <v>1</v>
      </c>
      <c r="Q136" s="5">
        <v>123</v>
      </c>
      <c r="R136" s="7"/>
      <c r="S136" s="7"/>
      <c r="T136" s="12">
        <f t="shared" si="44"/>
        <v>0</v>
      </c>
      <c r="U136" s="6">
        <f t="shared" si="45"/>
        <v>11.25773705291369</v>
      </c>
      <c r="V136" s="12">
        <f t="shared" si="46"/>
        <v>0</v>
      </c>
      <c r="W136" s="12">
        <f t="shared" si="47"/>
        <v>1.5</v>
      </c>
    </row>
    <row r="137" spans="1:23" x14ac:dyDescent="0.25">
      <c r="A137" s="5">
        <v>124</v>
      </c>
      <c r="B137" s="7"/>
      <c r="C137" s="7"/>
      <c r="D137" s="12">
        <f t="shared" si="36"/>
        <v>0</v>
      </c>
      <c r="E137" s="6">
        <f t="shared" si="37"/>
        <v>11.25773705291369</v>
      </c>
      <c r="F137" s="12">
        <f t="shared" si="38"/>
        <v>0</v>
      </c>
      <c r="G137" s="12">
        <f t="shared" si="39"/>
        <v>0.5</v>
      </c>
      <c r="I137" s="5">
        <v>124</v>
      </c>
      <c r="J137" s="6"/>
      <c r="K137" s="6"/>
      <c r="L137" s="12">
        <f t="shared" si="40"/>
        <v>0</v>
      </c>
      <c r="M137" s="6">
        <f t="shared" si="41"/>
        <v>11.25773705291369</v>
      </c>
      <c r="N137" s="12">
        <f t="shared" si="42"/>
        <v>0</v>
      </c>
      <c r="O137" s="12">
        <f t="shared" si="43"/>
        <v>1</v>
      </c>
      <c r="Q137" s="5">
        <v>124</v>
      </c>
      <c r="R137" s="7"/>
      <c r="S137" s="7"/>
      <c r="T137" s="12">
        <f t="shared" si="44"/>
        <v>0</v>
      </c>
      <c r="U137" s="6">
        <f t="shared" si="45"/>
        <v>11.25773705291369</v>
      </c>
      <c r="V137" s="12">
        <f t="shared" si="46"/>
        <v>0</v>
      </c>
      <c r="W137" s="12">
        <f t="shared" si="47"/>
        <v>1.5</v>
      </c>
    </row>
    <row r="138" spans="1:23" x14ac:dyDescent="0.25">
      <c r="A138" s="5">
        <v>125</v>
      </c>
      <c r="B138" s="7"/>
      <c r="C138" s="7"/>
      <c r="D138" s="12">
        <f t="shared" si="36"/>
        <v>0</v>
      </c>
      <c r="E138" s="6">
        <f t="shared" si="37"/>
        <v>11.25773705291369</v>
      </c>
      <c r="F138" s="12">
        <f t="shared" si="38"/>
        <v>0</v>
      </c>
      <c r="G138" s="12">
        <f t="shared" si="39"/>
        <v>0.5</v>
      </c>
      <c r="I138" s="5">
        <v>125</v>
      </c>
      <c r="J138" s="6"/>
      <c r="K138" s="6"/>
      <c r="L138" s="12">
        <f t="shared" si="40"/>
        <v>0</v>
      </c>
      <c r="M138" s="6">
        <f t="shared" si="41"/>
        <v>11.25773705291369</v>
      </c>
      <c r="N138" s="12">
        <f t="shared" si="42"/>
        <v>0</v>
      </c>
      <c r="O138" s="12">
        <f t="shared" si="43"/>
        <v>1</v>
      </c>
      <c r="Q138" s="5">
        <v>125</v>
      </c>
      <c r="R138" s="7"/>
      <c r="S138" s="7"/>
      <c r="T138" s="12">
        <f t="shared" si="44"/>
        <v>0</v>
      </c>
      <c r="U138" s="6">
        <f t="shared" si="45"/>
        <v>11.25773705291369</v>
      </c>
      <c r="V138" s="12">
        <f t="shared" si="46"/>
        <v>0</v>
      </c>
      <c r="W138" s="12">
        <f t="shared" si="47"/>
        <v>1.5</v>
      </c>
    </row>
    <row r="139" spans="1:23" x14ac:dyDescent="0.25">
      <c r="A139" s="5">
        <v>126</v>
      </c>
      <c r="B139" s="7"/>
      <c r="C139" s="7"/>
      <c r="D139" s="12">
        <f t="shared" si="36"/>
        <v>0</v>
      </c>
      <c r="E139" s="6">
        <f t="shared" si="37"/>
        <v>11.25773705291369</v>
      </c>
      <c r="F139" s="12">
        <f t="shared" si="38"/>
        <v>0</v>
      </c>
      <c r="G139" s="12">
        <f t="shared" si="39"/>
        <v>0.5</v>
      </c>
      <c r="I139" s="5">
        <v>126</v>
      </c>
      <c r="J139" s="6"/>
      <c r="K139" s="6"/>
      <c r="L139" s="12">
        <f t="shared" si="40"/>
        <v>0</v>
      </c>
      <c r="M139" s="6">
        <f t="shared" si="41"/>
        <v>11.25773705291369</v>
      </c>
      <c r="N139" s="12">
        <f t="shared" si="42"/>
        <v>0</v>
      </c>
      <c r="O139" s="12">
        <f t="shared" si="43"/>
        <v>1</v>
      </c>
      <c r="Q139" s="5">
        <v>126</v>
      </c>
      <c r="R139" s="7"/>
      <c r="S139" s="7"/>
      <c r="T139" s="12">
        <f t="shared" si="44"/>
        <v>0</v>
      </c>
      <c r="U139" s="6">
        <f t="shared" si="45"/>
        <v>11.25773705291369</v>
      </c>
      <c r="V139" s="12">
        <f t="shared" si="46"/>
        <v>0</v>
      </c>
      <c r="W139" s="12">
        <f t="shared" si="47"/>
        <v>1.5</v>
      </c>
    </row>
    <row r="140" spans="1:23" x14ac:dyDescent="0.25">
      <c r="A140" s="5">
        <v>127</v>
      </c>
      <c r="B140" s="7"/>
      <c r="C140" s="7"/>
      <c r="D140" s="12">
        <f t="shared" si="36"/>
        <v>0</v>
      </c>
      <c r="E140" s="6">
        <f t="shared" si="37"/>
        <v>11.25773705291369</v>
      </c>
      <c r="F140" s="12">
        <f t="shared" si="38"/>
        <v>0</v>
      </c>
      <c r="G140" s="12">
        <f t="shared" si="39"/>
        <v>0.5</v>
      </c>
      <c r="I140" s="5">
        <v>127</v>
      </c>
      <c r="J140" s="6"/>
      <c r="K140" s="6"/>
      <c r="L140" s="12">
        <f t="shared" si="40"/>
        <v>0</v>
      </c>
      <c r="M140" s="6">
        <f t="shared" si="41"/>
        <v>11.25773705291369</v>
      </c>
      <c r="N140" s="12">
        <f t="shared" si="42"/>
        <v>0</v>
      </c>
      <c r="O140" s="12">
        <f t="shared" si="43"/>
        <v>1</v>
      </c>
      <c r="Q140" s="5">
        <v>127</v>
      </c>
      <c r="R140" s="7"/>
      <c r="S140" s="7"/>
      <c r="T140" s="12">
        <f t="shared" si="44"/>
        <v>0</v>
      </c>
      <c r="U140" s="6">
        <f t="shared" si="45"/>
        <v>11.25773705291369</v>
      </c>
      <c r="V140" s="12">
        <f t="shared" si="46"/>
        <v>0</v>
      </c>
      <c r="W140" s="12">
        <f t="shared" si="47"/>
        <v>1.5</v>
      </c>
    </row>
    <row r="141" spans="1:23" x14ac:dyDescent="0.25">
      <c r="A141" s="5">
        <v>128</v>
      </c>
      <c r="B141" s="7"/>
      <c r="C141" s="7"/>
      <c r="D141" s="12">
        <f t="shared" si="36"/>
        <v>0</v>
      </c>
      <c r="E141" s="6">
        <f t="shared" si="37"/>
        <v>11.25773705291369</v>
      </c>
      <c r="F141" s="12">
        <f t="shared" si="38"/>
        <v>0</v>
      </c>
      <c r="G141" s="12">
        <f t="shared" si="39"/>
        <v>0.5</v>
      </c>
      <c r="I141" s="5">
        <v>128</v>
      </c>
      <c r="J141" s="6"/>
      <c r="K141" s="6"/>
      <c r="L141" s="12">
        <f t="shared" si="40"/>
        <v>0</v>
      </c>
      <c r="M141" s="6">
        <f t="shared" si="41"/>
        <v>11.25773705291369</v>
      </c>
      <c r="N141" s="12">
        <f t="shared" si="42"/>
        <v>0</v>
      </c>
      <c r="O141" s="12">
        <f t="shared" si="43"/>
        <v>1</v>
      </c>
      <c r="Q141" s="5">
        <v>128</v>
      </c>
      <c r="R141" s="7"/>
      <c r="S141" s="7"/>
      <c r="T141" s="12">
        <f t="shared" si="44"/>
        <v>0</v>
      </c>
      <c r="U141" s="6">
        <f t="shared" si="45"/>
        <v>11.25773705291369</v>
      </c>
      <c r="V141" s="12">
        <f t="shared" si="46"/>
        <v>0</v>
      </c>
      <c r="W141" s="12">
        <f t="shared" si="47"/>
        <v>1.5</v>
      </c>
    </row>
    <row r="142" spans="1:23" x14ac:dyDescent="0.25">
      <c r="A142" s="5">
        <v>129</v>
      </c>
      <c r="B142" s="7"/>
      <c r="C142" s="7"/>
      <c r="D142" s="12">
        <f t="shared" ref="D142:D149" si="48">(B142/$D$7)*100</f>
        <v>0</v>
      </c>
      <c r="E142" s="6">
        <f t="shared" ref="E142:E149" si="49">$D$6/(1-(D142/100))</f>
        <v>11.25773705291369</v>
      </c>
      <c r="F142" s="12">
        <f t="shared" ref="F142:F149" si="50">C142/E142</f>
        <v>0</v>
      </c>
      <c r="G142" s="12">
        <f t="shared" ref="G142:G149" si="51">F142+$D$10</f>
        <v>0.5</v>
      </c>
      <c r="I142" s="5">
        <v>129</v>
      </c>
      <c r="J142" s="6"/>
      <c r="K142" s="6"/>
      <c r="L142" s="12">
        <f t="shared" ref="L142:L165" si="52">(J142/$L$7)*100</f>
        <v>0</v>
      </c>
      <c r="M142" s="6">
        <f t="shared" ref="M142:M165" si="53">$L$6/(1-(L142/100))</f>
        <v>11.25773705291369</v>
      </c>
      <c r="N142" s="12">
        <f t="shared" ref="N142:N165" si="54">K142/M142</f>
        <v>0</v>
      </c>
      <c r="O142" s="12">
        <f t="shared" ref="O142:O165" si="55">N142+$L$10</f>
        <v>1</v>
      </c>
      <c r="Q142" s="5">
        <v>129</v>
      </c>
      <c r="R142" s="7"/>
      <c r="S142" s="7"/>
      <c r="T142" s="12">
        <f t="shared" ref="T142:T151" si="56">(R142/$T$7)*100</f>
        <v>0</v>
      </c>
      <c r="U142" s="6">
        <f t="shared" ref="U142:U151" si="57">$T$6/(1-(T142/100))</f>
        <v>11.25773705291369</v>
      </c>
      <c r="V142" s="12">
        <f t="shared" ref="V142:V151" si="58">S142/U142</f>
        <v>0</v>
      </c>
      <c r="W142" s="12">
        <f t="shared" ref="W142:W151" si="59">V142+$T$10</f>
        <v>1.5</v>
      </c>
    </row>
    <row r="143" spans="1:23" x14ac:dyDescent="0.25">
      <c r="A143" s="5">
        <v>130</v>
      </c>
      <c r="B143" s="7"/>
      <c r="C143" s="7"/>
      <c r="D143" s="12">
        <f t="shared" si="48"/>
        <v>0</v>
      </c>
      <c r="E143" s="6">
        <f t="shared" si="49"/>
        <v>11.25773705291369</v>
      </c>
      <c r="F143" s="12">
        <f t="shared" si="50"/>
        <v>0</v>
      </c>
      <c r="G143" s="12">
        <f t="shared" si="51"/>
        <v>0.5</v>
      </c>
      <c r="I143" s="5">
        <v>130</v>
      </c>
      <c r="J143" s="6"/>
      <c r="K143" s="6"/>
      <c r="L143" s="12">
        <f t="shared" si="52"/>
        <v>0</v>
      </c>
      <c r="M143" s="6">
        <f t="shared" si="53"/>
        <v>11.25773705291369</v>
      </c>
      <c r="N143" s="12">
        <f t="shared" si="54"/>
        <v>0</v>
      </c>
      <c r="O143" s="12">
        <f t="shared" si="55"/>
        <v>1</v>
      </c>
      <c r="Q143" s="5">
        <v>130</v>
      </c>
      <c r="R143" s="7"/>
      <c r="S143" s="7"/>
      <c r="T143" s="12">
        <f t="shared" si="56"/>
        <v>0</v>
      </c>
      <c r="U143" s="6">
        <f t="shared" si="57"/>
        <v>11.25773705291369</v>
      </c>
      <c r="V143" s="12">
        <f t="shared" si="58"/>
        <v>0</v>
      </c>
      <c r="W143" s="12">
        <f t="shared" si="59"/>
        <v>1.5</v>
      </c>
    </row>
    <row r="144" spans="1:23" x14ac:dyDescent="0.25">
      <c r="A144" s="5">
        <v>131</v>
      </c>
      <c r="B144" s="7"/>
      <c r="C144" s="7"/>
      <c r="D144" s="12">
        <f t="shared" si="48"/>
        <v>0</v>
      </c>
      <c r="E144" s="6">
        <f t="shared" si="49"/>
        <v>11.25773705291369</v>
      </c>
      <c r="F144" s="12">
        <f t="shared" si="50"/>
        <v>0</v>
      </c>
      <c r="G144" s="12">
        <f t="shared" si="51"/>
        <v>0.5</v>
      </c>
      <c r="I144" s="5">
        <v>131</v>
      </c>
      <c r="J144" s="6"/>
      <c r="K144" s="6"/>
      <c r="L144" s="12">
        <f t="shared" si="52"/>
        <v>0</v>
      </c>
      <c r="M144" s="6">
        <f t="shared" si="53"/>
        <v>11.25773705291369</v>
      </c>
      <c r="N144" s="12">
        <f t="shared" si="54"/>
        <v>0</v>
      </c>
      <c r="O144" s="12">
        <f t="shared" si="55"/>
        <v>1</v>
      </c>
      <c r="Q144" s="5">
        <v>131</v>
      </c>
      <c r="R144" s="7"/>
      <c r="S144" s="7"/>
      <c r="T144" s="12">
        <f t="shared" si="56"/>
        <v>0</v>
      </c>
      <c r="U144" s="6">
        <f t="shared" si="57"/>
        <v>11.25773705291369</v>
      </c>
      <c r="V144" s="12">
        <f t="shared" si="58"/>
        <v>0</v>
      </c>
      <c r="W144" s="12">
        <f t="shared" si="59"/>
        <v>1.5</v>
      </c>
    </row>
    <row r="145" spans="1:23" x14ac:dyDescent="0.25">
      <c r="A145" s="5">
        <v>132</v>
      </c>
      <c r="B145" s="7"/>
      <c r="C145" s="7"/>
      <c r="D145" s="12">
        <f t="shared" si="48"/>
        <v>0</v>
      </c>
      <c r="E145" s="6">
        <f t="shared" si="49"/>
        <v>11.25773705291369</v>
      </c>
      <c r="F145" s="12">
        <f t="shared" si="50"/>
        <v>0</v>
      </c>
      <c r="G145" s="12">
        <f t="shared" si="51"/>
        <v>0.5</v>
      </c>
      <c r="I145" s="5">
        <v>132</v>
      </c>
      <c r="J145" s="6"/>
      <c r="K145" s="6"/>
      <c r="L145" s="12">
        <f t="shared" si="52"/>
        <v>0</v>
      </c>
      <c r="M145" s="6">
        <f t="shared" si="53"/>
        <v>11.25773705291369</v>
      </c>
      <c r="N145" s="12">
        <f t="shared" si="54"/>
        <v>0</v>
      </c>
      <c r="O145" s="12">
        <f t="shared" si="55"/>
        <v>1</v>
      </c>
      <c r="Q145" s="5">
        <v>132</v>
      </c>
      <c r="R145" s="7"/>
      <c r="S145" s="7"/>
      <c r="T145" s="12">
        <f t="shared" si="56"/>
        <v>0</v>
      </c>
      <c r="U145" s="6">
        <f t="shared" si="57"/>
        <v>11.25773705291369</v>
      </c>
      <c r="V145" s="12">
        <f t="shared" si="58"/>
        <v>0</v>
      </c>
      <c r="W145" s="12">
        <f t="shared" si="59"/>
        <v>1.5</v>
      </c>
    </row>
    <row r="146" spans="1:23" x14ac:dyDescent="0.25">
      <c r="A146" s="5">
        <v>133</v>
      </c>
      <c r="B146" s="7"/>
      <c r="C146" s="7"/>
      <c r="D146" s="12">
        <f t="shared" si="48"/>
        <v>0</v>
      </c>
      <c r="E146" s="6">
        <f t="shared" si="49"/>
        <v>11.25773705291369</v>
      </c>
      <c r="F146" s="12">
        <f t="shared" si="50"/>
        <v>0</v>
      </c>
      <c r="G146" s="12">
        <f t="shared" si="51"/>
        <v>0.5</v>
      </c>
      <c r="I146" s="5">
        <v>133</v>
      </c>
      <c r="J146" s="6"/>
      <c r="K146" s="6"/>
      <c r="L146" s="12">
        <f t="shared" si="52"/>
        <v>0</v>
      </c>
      <c r="M146" s="6">
        <f t="shared" si="53"/>
        <v>11.25773705291369</v>
      </c>
      <c r="N146" s="12">
        <f t="shared" si="54"/>
        <v>0</v>
      </c>
      <c r="O146" s="12">
        <f t="shared" si="55"/>
        <v>1</v>
      </c>
      <c r="Q146" s="5">
        <v>133</v>
      </c>
      <c r="R146" s="7"/>
      <c r="S146" s="7"/>
      <c r="T146" s="12">
        <f t="shared" si="56"/>
        <v>0</v>
      </c>
      <c r="U146" s="6">
        <f t="shared" si="57"/>
        <v>11.25773705291369</v>
      </c>
      <c r="V146" s="12">
        <f t="shared" si="58"/>
        <v>0</v>
      </c>
      <c r="W146" s="12">
        <f t="shared" si="59"/>
        <v>1.5</v>
      </c>
    </row>
    <row r="147" spans="1:23" x14ac:dyDescent="0.25">
      <c r="A147" s="5">
        <v>134</v>
      </c>
      <c r="B147" s="7"/>
      <c r="C147" s="7"/>
      <c r="D147" s="12">
        <f t="shared" si="48"/>
        <v>0</v>
      </c>
      <c r="E147" s="6">
        <f t="shared" si="49"/>
        <v>11.25773705291369</v>
      </c>
      <c r="F147" s="12">
        <f t="shared" si="50"/>
        <v>0</v>
      </c>
      <c r="G147" s="12">
        <f t="shared" si="51"/>
        <v>0.5</v>
      </c>
      <c r="I147" s="5">
        <v>134</v>
      </c>
      <c r="J147" s="6"/>
      <c r="K147" s="6"/>
      <c r="L147" s="12">
        <f t="shared" si="52"/>
        <v>0</v>
      </c>
      <c r="M147" s="6">
        <f t="shared" si="53"/>
        <v>11.25773705291369</v>
      </c>
      <c r="N147" s="12">
        <f t="shared" si="54"/>
        <v>0</v>
      </c>
      <c r="O147" s="12">
        <f t="shared" si="55"/>
        <v>1</v>
      </c>
      <c r="Q147" s="5">
        <v>134</v>
      </c>
      <c r="R147" s="7"/>
      <c r="S147" s="7"/>
      <c r="T147" s="12">
        <f t="shared" si="56"/>
        <v>0</v>
      </c>
      <c r="U147" s="6">
        <f t="shared" si="57"/>
        <v>11.25773705291369</v>
      </c>
      <c r="V147" s="12">
        <f t="shared" si="58"/>
        <v>0</v>
      </c>
      <c r="W147" s="12">
        <f t="shared" si="59"/>
        <v>1.5</v>
      </c>
    </row>
    <row r="148" spans="1:23" x14ac:dyDescent="0.25">
      <c r="A148" s="5">
        <v>135</v>
      </c>
      <c r="B148" s="7"/>
      <c r="C148" s="7"/>
      <c r="D148" s="12">
        <f t="shared" si="48"/>
        <v>0</v>
      </c>
      <c r="E148" s="6">
        <f t="shared" si="49"/>
        <v>11.25773705291369</v>
      </c>
      <c r="F148" s="12">
        <f t="shared" si="50"/>
        <v>0</v>
      </c>
      <c r="G148" s="12">
        <f t="shared" si="51"/>
        <v>0.5</v>
      </c>
      <c r="I148" s="5">
        <v>135</v>
      </c>
      <c r="J148" s="6"/>
      <c r="K148" s="6"/>
      <c r="L148" s="12">
        <f t="shared" si="52"/>
        <v>0</v>
      </c>
      <c r="M148" s="6">
        <f t="shared" si="53"/>
        <v>11.25773705291369</v>
      </c>
      <c r="N148" s="12">
        <f t="shared" si="54"/>
        <v>0</v>
      </c>
      <c r="O148" s="12">
        <f t="shared" si="55"/>
        <v>1</v>
      </c>
      <c r="Q148" s="5">
        <v>135</v>
      </c>
      <c r="R148" s="7"/>
      <c r="S148" s="7"/>
      <c r="T148" s="12">
        <f t="shared" si="56"/>
        <v>0</v>
      </c>
      <c r="U148" s="6">
        <f t="shared" si="57"/>
        <v>11.25773705291369</v>
      </c>
      <c r="V148" s="12">
        <f t="shared" si="58"/>
        <v>0</v>
      </c>
      <c r="W148" s="12">
        <f t="shared" si="59"/>
        <v>1.5</v>
      </c>
    </row>
    <row r="149" spans="1:23" x14ac:dyDescent="0.25">
      <c r="A149" s="5">
        <v>136</v>
      </c>
      <c r="B149" s="7"/>
      <c r="C149" s="7"/>
      <c r="D149" s="12">
        <f t="shared" si="48"/>
        <v>0</v>
      </c>
      <c r="E149" s="6">
        <f t="shared" si="49"/>
        <v>11.25773705291369</v>
      </c>
      <c r="F149" s="12">
        <f t="shared" si="50"/>
        <v>0</v>
      </c>
      <c r="G149" s="12">
        <f t="shared" si="51"/>
        <v>0.5</v>
      </c>
      <c r="I149" s="5">
        <v>136</v>
      </c>
      <c r="J149" s="6"/>
      <c r="K149" s="6"/>
      <c r="L149" s="12">
        <f t="shared" si="52"/>
        <v>0</v>
      </c>
      <c r="M149" s="6">
        <f t="shared" si="53"/>
        <v>11.25773705291369</v>
      </c>
      <c r="N149" s="12">
        <f t="shared" si="54"/>
        <v>0</v>
      </c>
      <c r="O149" s="12">
        <f t="shared" si="55"/>
        <v>1</v>
      </c>
      <c r="Q149" s="5">
        <v>136</v>
      </c>
      <c r="R149" s="7"/>
      <c r="S149" s="7"/>
      <c r="T149" s="12">
        <f t="shared" si="56"/>
        <v>0</v>
      </c>
      <c r="U149" s="6">
        <f t="shared" si="57"/>
        <v>11.25773705291369</v>
      </c>
      <c r="V149" s="12">
        <f t="shared" si="58"/>
        <v>0</v>
      </c>
      <c r="W149" s="12">
        <f t="shared" si="59"/>
        <v>1.5</v>
      </c>
    </row>
    <row r="150" spans="1:23" x14ac:dyDescent="0.25">
      <c r="A150" s="5">
        <v>137</v>
      </c>
      <c r="B150" s="7"/>
      <c r="C150" s="7"/>
      <c r="D150" s="12"/>
      <c r="E150" s="6"/>
      <c r="F150" s="12"/>
      <c r="G150" s="12"/>
      <c r="I150" s="5">
        <v>137</v>
      </c>
      <c r="J150" s="6"/>
      <c r="K150" s="6"/>
      <c r="L150" s="12">
        <f t="shared" si="52"/>
        <v>0</v>
      </c>
      <c r="M150" s="6">
        <f t="shared" si="53"/>
        <v>11.25773705291369</v>
      </c>
      <c r="N150" s="12">
        <f t="shared" si="54"/>
        <v>0</v>
      </c>
      <c r="O150" s="12">
        <f t="shared" si="55"/>
        <v>1</v>
      </c>
      <c r="Q150" s="5">
        <v>137</v>
      </c>
      <c r="R150" s="7"/>
      <c r="S150" s="7"/>
      <c r="T150" s="12">
        <f t="shared" si="56"/>
        <v>0</v>
      </c>
      <c r="U150" s="6">
        <f t="shared" si="57"/>
        <v>11.25773705291369</v>
      </c>
      <c r="V150" s="12">
        <f t="shared" si="58"/>
        <v>0</v>
      </c>
      <c r="W150" s="12">
        <f t="shared" si="59"/>
        <v>1.5</v>
      </c>
    </row>
    <row r="151" spans="1:23" x14ac:dyDescent="0.25">
      <c r="A151" s="5">
        <v>138</v>
      </c>
      <c r="B151" s="7"/>
      <c r="C151" s="7"/>
      <c r="D151" s="12"/>
      <c r="E151" s="6"/>
      <c r="F151" s="12"/>
      <c r="G151" s="12"/>
      <c r="I151" s="5">
        <v>138</v>
      </c>
      <c r="J151" s="6"/>
      <c r="K151" s="6"/>
      <c r="L151" s="12">
        <f t="shared" si="52"/>
        <v>0</v>
      </c>
      <c r="M151" s="6">
        <f t="shared" si="53"/>
        <v>11.25773705291369</v>
      </c>
      <c r="N151" s="12">
        <f t="shared" si="54"/>
        <v>0</v>
      </c>
      <c r="O151" s="12">
        <f t="shared" si="55"/>
        <v>1</v>
      </c>
      <c r="Q151" s="5">
        <v>138</v>
      </c>
      <c r="R151" s="7"/>
      <c r="S151" s="7"/>
      <c r="T151" s="12">
        <f t="shared" si="56"/>
        <v>0</v>
      </c>
      <c r="U151" s="6">
        <f t="shared" si="57"/>
        <v>11.25773705291369</v>
      </c>
      <c r="V151" s="12">
        <f t="shared" si="58"/>
        <v>0</v>
      </c>
      <c r="W151" s="12">
        <f t="shared" si="59"/>
        <v>1.5</v>
      </c>
    </row>
    <row r="152" spans="1:23" x14ac:dyDescent="0.25">
      <c r="A152" s="5">
        <v>139</v>
      </c>
      <c r="B152" s="7"/>
      <c r="C152" s="7"/>
      <c r="D152" s="12"/>
      <c r="E152" s="6"/>
      <c r="F152" s="12"/>
      <c r="G152" s="12"/>
      <c r="I152" s="5">
        <v>139</v>
      </c>
      <c r="J152" s="6"/>
      <c r="K152" s="6"/>
      <c r="L152" s="12">
        <f t="shared" si="52"/>
        <v>0</v>
      </c>
      <c r="M152" s="6">
        <f t="shared" si="53"/>
        <v>11.25773705291369</v>
      </c>
      <c r="N152" s="12">
        <f t="shared" si="54"/>
        <v>0</v>
      </c>
      <c r="O152" s="12">
        <f t="shared" si="55"/>
        <v>1</v>
      </c>
      <c r="Q152" s="5">
        <v>139</v>
      </c>
      <c r="R152" s="13"/>
      <c r="S152" s="13"/>
      <c r="T152" s="12"/>
      <c r="U152" s="6"/>
      <c r="V152" s="12"/>
      <c r="W152" s="12"/>
    </row>
    <row r="153" spans="1:23" x14ac:dyDescent="0.25">
      <c r="A153" s="5">
        <v>140</v>
      </c>
      <c r="B153" s="7"/>
      <c r="C153" s="7"/>
      <c r="D153" s="12"/>
      <c r="E153" s="6"/>
      <c r="F153" s="12"/>
      <c r="G153" s="12"/>
      <c r="I153" s="5">
        <v>140</v>
      </c>
      <c r="J153" s="6"/>
      <c r="K153" s="6"/>
      <c r="L153" s="12">
        <f t="shared" si="52"/>
        <v>0</v>
      </c>
      <c r="M153" s="6">
        <f t="shared" si="53"/>
        <v>11.25773705291369</v>
      </c>
      <c r="N153" s="12">
        <f t="shared" si="54"/>
        <v>0</v>
      </c>
      <c r="O153" s="12">
        <f t="shared" si="55"/>
        <v>1</v>
      </c>
      <c r="Q153" s="5">
        <v>140</v>
      </c>
      <c r="R153" s="13"/>
      <c r="S153" s="13"/>
      <c r="T153" s="12"/>
      <c r="U153" s="6"/>
      <c r="V153" s="12"/>
      <c r="W153" s="12"/>
    </row>
    <row r="154" spans="1:23" x14ac:dyDescent="0.25">
      <c r="A154" s="5">
        <v>141</v>
      </c>
      <c r="B154" s="7"/>
      <c r="C154" s="7"/>
      <c r="D154" s="12"/>
      <c r="E154" s="6"/>
      <c r="F154" s="12"/>
      <c r="G154" s="12"/>
      <c r="I154" s="5">
        <v>141</v>
      </c>
      <c r="J154" s="6"/>
      <c r="K154" s="6"/>
      <c r="L154" s="12">
        <f t="shared" si="52"/>
        <v>0</v>
      </c>
      <c r="M154" s="6">
        <f t="shared" si="53"/>
        <v>11.25773705291369</v>
      </c>
      <c r="N154" s="12">
        <f t="shared" si="54"/>
        <v>0</v>
      </c>
      <c r="O154" s="12">
        <f t="shared" si="55"/>
        <v>1</v>
      </c>
      <c r="Q154" s="5">
        <v>141</v>
      </c>
      <c r="R154" s="13"/>
      <c r="S154" s="13"/>
      <c r="T154" s="12"/>
      <c r="U154" s="6"/>
      <c r="V154" s="12"/>
      <c r="W154" s="12"/>
    </row>
    <row r="155" spans="1:23" x14ac:dyDescent="0.25">
      <c r="A155" s="5">
        <v>142</v>
      </c>
      <c r="B155" s="7"/>
      <c r="C155" s="7"/>
      <c r="D155" s="12"/>
      <c r="E155" s="6"/>
      <c r="F155" s="12"/>
      <c r="G155" s="12"/>
      <c r="I155" s="5">
        <v>142</v>
      </c>
      <c r="J155" s="6"/>
      <c r="K155" s="6"/>
      <c r="L155" s="12">
        <f t="shared" si="52"/>
        <v>0</v>
      </c>
      <c r="M155" s="6">
        <f t="shared" si="53"/>
        <v>11.25773705291369</v>
      </c>
      <c r="N155" s="12">
        <f t="shared" si="54"/>
        <v>0</v>
      </c>
      <c r="O155" s="12">
        <f t="shared" si="55"/>
        <v>1</v>
      </c>
      <c r="Q155" s="5">
        <v>142</v>
      </c>
      <c r="R155" s="13"/>
      <c r="S155" s="13"/>
      <c r="T155" s="12"/>
      <c r="U155" s="6"/>
      <c r="V155" s="12"/>
      <c r="W155" s="12"/>
    </row>
    <row r="156" spans="1:23" x14ac:dyDescent="0.25">
      <c r="A156" s="5">
        <v>143</v>
      </c>
      <c r="B156" s="7"/>
      <c r="C156" s="7"/>
      <c r="D156" s="12"/>
      <c r="E156" s="6"/>
      <c r="F156" s="12"/>
      <c r="G156" s="12"/>
      <c r="I156" s="5">
        <v>143</v>
      </c>
      <c r="J156" s="6"/>
      <c r="K156" s="6"/>
      <c r="L156" s="12">
        <f t="shared" si="52"/>
        <v>0</v>
      </c>
      <c r="M156" s="6">
        <f t="shared" si="53"/>
        <v>11.25773705291369</v>
      </c>
      <c r="N156" s="12">
        <f t="shared" si="54"/>
        <v>0</v>
      </c>
      <c r="O156" s="12">
        <f t="shared" si="55"/>
        <v>1</v>
      </c>
      <c r="Q156" s="5">
        <v>143</v>
      </c>
      <c r="R156" s="13"/>
      <c r="S156" s="13"/>
      <c r="T156" s="12"/>
      <c r="U156" s="6"/>
      <c r="V156" s="12"/>
      <c r="W156" s="12"/>
    </row>
    <row r="157" spans="1:23" x14ac:dyDescent="0.25">
      <c r="A157" s="5">
        <v>144</v>
      </c>
      <c r="B157" s="7"/>
      <c r="C157" s="7"/>
      <c r="D157" s="12"/>
      <c r="E157" s="6"/>
      <c r="F157" s="12"/>
      <c r="G157" s="12"/>
      <c r="I157" s="5">
        <v>144</v>
      </c>
      <c r="J157" s="6"/>
      <c r="K157" s="6"/>
      <c r="L157" s="12">
        <f t="shared" si="52"/>
        <v>0</v>
      </c>
      <c r="M157" s="6">
        <f t="shared" si="53"/>
        <v>11.25773705291369</v>
      </c>
      <c r="N157" s="12">
        <f t="shared" si="54"/>
        <v>0</v>
      </c>
      <c r="O157" s="12">
        <f t="shared" si="55"/>
        <v>1</v>
      </c>
      <c r="Q157" s="5">
        <v>144</v>
      </c>
      <c r="R157" s="13"/>
      <c r="S157" s="13"/>
      <c r="T157" s="12"/>
      <c r="U157" s="6"/>
      <c r="V157" s="12"/>
      <c r="W157" s="12"/>
    </row>
    <row r="158" spans="1:23" x14ac:dyDescent="0.25">
      <c r="A158" s="5">
        <v>145</v>
      </c>
      <c r="B158" s="7"/>
      <c r="C158" s="7"/>
      <c r="D158" s="12"/>
      <c r="E158" s="6"/>
      <c r="F158" s="12"/>
      <c r="G158" s="12"/>
      <c r="I158" s="5">
        <v>145</v>
      </c>
      <c r="J158" s="6"/>
      <c r="K158" s="6"/>
      <c r="L158" s="12">
        <f t="shared" si="52"/>
        <v>0</v>
      </c>
      <c r="M158" s="6">
        <f t="shared" si="53"/>
        <v>11.25773705291369</v>
      </c>
      <c r="N158" s="12">
        <f t="shared" si="54"/>
        <v>0</v>
      </c>
      <c r="O158" s="12">
        <f t="shared" si="55"/>
        <v>1</v>
      </c>
      <c r="Q158" s="5">
        <v>145</v>
      </c>
      <c r="R158" s="13"/>
      <c r="S158" s="13"/>
      <c r="T158" s="12"/>
      <c r="U158" s="6"/>
      <c r="V158" s="12"/>
      <c r="W158" s="12"/>
    </row>
    <row r="159" spans="1:23" x14ac:dyDescent="0.25">
      <c r="A159" s="5">
        <v>146</v>
      </c>
      <c r="B159" s="7"/>
      <c r="C159" s="7"/>
      <c r="D159" s="12"/>
      <c r="E159" s="6"/>
      <c r="F159" s="12"/>
      <c r="G159" s="12"/>
      <c r="I159" s="5">
        <v>146</v>
      </c>
      <c r="J159" s="6"/>
      <c r="K159" s="6"/>
      <c r="L159" s="12">
        <f t="shared" si="52"/>
        <v>0</v>
      </c>
      <c r="M159" s="6">
        <f t="shared" si="53"/>
        <v>11.25773705291369</v>
      </c>
      <c r="N159" s="12">
        <f t="shared" si="54"/>
        <v>0</v>
      </c>
      <c r="O159" s="12">
        <f t="shared" si="55"/>
        <v>1</v>
      </c>
      <c r="Q159" s="5">
        <v>146</v>
      </c>
      <c r="R159" s="13"/>
      <c r="S159" s="13"/>
      <c r="T159" s="12"/>
      <c r="U159" s="6"/>
      <c r="V159" s="12"/>
      <c r="W159" s="12"/>
    </row>
    <row r="160" spans="1:23" x14ac:dyDescent="0.25">
      <c r="A160" s="5">
        <v>147</v>
      </c>
      <c r="B160" s="7"/>
      <c r="C160" s="7"/>
      <c r="D160" s="12"/>
      <c r="E160" s="6"/>
      <c r="F160" s="12"/>
      <c r="G160" s="12"/>
      <c r="I160" s="5">
        <v>147</v>
      </c>
      <c r="J160" s="6"/>
      <c r="K160" s="6"/>
      <c r="L160" s="12">
        <f t="shared" si="52"/>
        <v>0</v>
      </c>
      <c r="M160" s="6">
        <f t="shared" si="53"/>
        <v>11.25773705291369</v>
      </c>
      <c r="N160" s="12">
        <f t="shared" si="54"/>
        <v>0</v>
      </c>
      <c r="O160" s="12">
        <f t="shared" si="55"/>
        <v>1</v>
      </c>
      <c r="Q160" s="5">
        <v>147</v>
      </c>
      <c r="R160" s="13"/>
      <c r="S160" s="13"/>
      <c r="T160" s="12"/>
      <c r="U160" s="6"/>
      <c r="V160" s="12"/>
      <c r="W160" s="12"/>
    </row>
    <row r="161" spans="1:23" x14ac:dyDescent="0.25">
      <c r="A161" s="5">
        <v>148</v>
      </c>
      <c r="B161" s="7"/>
      <c r="C161" s="7"/>
      <c r="D161" s="12"/>
      <c r="E161" s="6"/>
      <c r="F161" s="12"/>
      <c r="G161" s="12"/>
      <c r="I161" s="5">
        <v>148</v>
      </c>
      <c r="J161" s="6"/>
      <c r="K161" s="6"/>
      <c r="L161" s="12">
        <f t="shared" si="52"/>
        <v>0</v>
      </c>
      <c r="M161" s="6">
        <f t="shared" si="53"/>
        <v>11.25773705291369</v>
      </c>
      <c r="N161" s="12">
        <f t="shared" si="54"/>
        <v>0</v>
      </c>
      <c r="O161" s="12">
        <f t="shared" si="55"/>
        <v>1</v>
      </c>
      <c r="Q161" s="5">
        <v>148</v>
      </c>
      <c r="R161" s="13"/>
      <c r="S161" s="13"/>
      <c r="T161" s="12"/>
      <c r="U161" s="6"/>
      <c r="V161" s="12"/>
      <c r="W161" s="12"/>
    </row>
    <row r="162" spans="1:23" x14ac:dyDescent="0.25">
      <c r="A162" s="5">
        <v>149</v>
      </c>
      <c r="B162" s="7"/>
      <c r="C162" s="7"/>
      <c r="D162" s="12"/>
      <c r="E162" s="6"/>
      <c r="F162" s="12"/>
      <c r="G162" s="12"/>
      <c r="I162" s="5">
        <v>149</v>
      </c>
      <c r="J162" s="6"/>
      <c r="K162" s="6"/>
      <c r="L162" s="12">
        <f t="shared" si="52"/>
        <v>0</v>
      </c>
      <c r="M162" s="6">
        <f t="shared" si="53"/>
        <v>11.25773705291369</v>
      </c>
      <c r="N162" s="12">
        <f t="shared" si="54"/>
        <v>0</v>
      </c>
      <c r="O162" s="12">
        <f t="shared" si="55"/>
        <v>1</v>
      </c>
      <c r="Q162" s="5">
        <v>149</v>
      </c>
      <c r="R162" s="13"/>
      <c r="S162" s="13"/>
      <c r="T162" s="12"/>
      <c r="U162" s="6"/>
      <c r="V162" s="12"/>
      <c r="W162" s="12"/>
    </row>
    <row r="163" spans="1:23" x14ac:dyDescent="0.25">
      <c r="A163" s="5">
        <v>150</v>
      </c>
      <c r="B163" s="7"/>
      <c r="C163" s="7"/>
      <c r="D163" s="12"/>
      <c r="E163" s="6"/>
      <c r="F163" s="12"/>
      <c r="G163" s="12"/>
      <c r="I163" s="5">
        <v>150</v>
      </c>
      <c r="J163" s="6"/>
      <c r="K163" s="6"/>
      <c r="L163" s="12">
        <f t="shared" si="52"/>
        <v>0</v>
      </c>
      <c r="M163" s="6">
        <f t="shared" si="53"/>
        <v>11.25773705291369</v>
      </c>
      <c r="N163" s="12">
        <f t="shared" si="54"/>
        <v>0</v>
      </c>
      <c r="O163" s="12">
        <f t="shared" si="55"/>
        <v>1</v>
      </c>
      <c r="Q163" s="5">
        <v>150</v>
      </c>
      <c r="R163" s="13"/>
      <c r="S163" s="13"/>
      <c r="T163" s="12"/>
      <c r="U163" s="6"/>
      <c r="V163" s="12"/>
      <c r="W163" s="12"/>
    </row>
    <row r="164" spans="1:23" x14ac:dyDescent="0.25">
      <c r="A164" s="5">
        <v>151</v>
      </c>
      <c r="B164" s="7"/>
      <c r="C164" s="7"/>
      <c r="D164" s="12"/>
      <c r="E164" s="6"/>
      <c r="F164" s="12"/>
      <c r="G164" s="12"/>
      <c r="I164" s="5">
        <v>151</v>
      </c>
      <c r="J164" s="6"/>
      <c r="K164" s="6"/>
      <c r="L164" s="12">
        <f t="shared" si="52"/>
        <v>0</v>
      </c>
      <c r="M164" s="6">
        <f t="shared" si="53"/>
        <v>11.25773705291369</v>
      </c>
      <c r="N164" s="12">
        <f t="shared" si="54"/>
        <v>0</v>
      </c>
      <c r="O164" s="12">
        <f t="shared" si="55"/>
        <v>1</v>
      </c>
      <c r="Q164" s="5">
        <v>151</v>
      </c>
      <c r="R164" s="13"/>
      <c r="S164" s="13"/>
      <c r="T164" s="12"/>
      <c r="U164" s="6"/>
      <c r="V164" s="12"/>
      <c r="W164" s="12"/>
    </row>
    <row r="165" spans="1:23" x14ac:dyDescent="0.25">
      <c r="A165" s="5">
        <v>152</v>
      </c>
      <c r="B165" s="7"/>
      <c r="C165" s="7"/>
      <c r="D165" s="12"/>
      <c r="E165" s="6"/>
      <c r="F165" s="12"/>
      <c r="G165" s="12"/>
      <c r="I165" s="5">
        <v>152</v>
      </c>
      <c r="J165" s="6"/>
      <c r="K165" s="6"/>
      <c r="L165" s="12">
        <f t="shared" si="52"/>
        <v>0</v>
      </c>
      <c r="M165" s="6">
        <f t="shared" si="53"/>
        <v>11.25773705291369</v>
      </c>
      <c r="N165" s="12">
        <f t="shared" si="54"/>
        <v>0</v>
      </c>
      <c r="O165" s="12">
        <f t="shared" si="55"/>
        <v>1</v>
      </c>
      <c r="Q165" s="5">
        <v>152</v>
      </c>
      <c r="R165" s="13"/>
      <c r="S165" s="13"/>
      <c r="T165" s="12"/>
      <c r="U165" s="6"/>
      <c r="V165" s="12"/>
      <c r="W165" s="12"/>
    </row>
    <row r="166" spans="1:23" x14ac:dyDescent="0.25">
      <c r="A166" s="5">
        <v>153</v>
      </c>
      <c r="B166" s="7"/>
      <c r="C166" s="7"/>
      <c r="D166" s="12"/>
      <c r="E166" s="6"/>
      <c r="F166" s="12"/>
      <c r="G166" s="12"/>
      <c r="I166" s="5">
        <v>153</v>
      </c>
      <c r="J166" s="6"/>
      <c r="K166" s="6"/>
      <c r="L166" s="12"/>
      <c r="M166" s="6"/>
      <c r="N166" s="12"/>
      <c r="O166" s="12"/>
      <c r="Q166" s="5">
        <v>153</v>
      </c>
      <c r="R166" s="13"/>
      <c r="S166" s="13"/>
      <c r="T166" s="12"/>
      <c r="U166" s="6"/>
      <c r="V166" s="12"/>
      <c r="W166" s="12"/>
    </row>
    <row r="167" spans="1:23" x14ac:dyDescent="0.25">
      <c r="A167" s="5">
        <v>154</v>
      </c>
      <c r="B167" s="7"/>
      <c r="C167" s="7"/>
      <c r="D167" s="12"/>
      <c r="E167" s="6"/>
      <c r="F167" s="12"/>
      <c r="G167" s="12"/>
      <c r="I167" s="5">
        <v>154</v>
      </c>
      <c r="J167" s="6"/>
      <c r="K167" s="6"/>
      <c r="L167" s="12"/>
      <c r="M167" s="6"/>
      <c r="N167" s="12"/>
      <c r="O167" s="12"/>
      <c r="Q167" s="5">
        <v>154</v>
      </c>
      <c r="R167" s="13"/>
      <c r="S167" s="13"/>
      <c r="T167" s="12"/>
      <c r="U167" s="6"/>
      <c r="V167" s="12"/>
      <c r="W167" s="12"/>
    </row>
    <row r="168" spans="1:23" x14ac:dyDescent="0.25">
      <c r="A168" s="5">
        <v>155</v>
      </c>
      <c r="B168" s="7"/>
      <c r="C168" s="7"/>
      <c r="D168" s="12"/>
      <c r="E168" s="6"/>
      <c r="F168" s="12"/>
      <c r="G168" s="12"/>
      <c r="I168" s="5">
        <v>155</v>
      </c>
      <c r="J168" s="6"/>
      <c r="K168" s="6"/>
      <c r="L168" s="12"/>
      <c r="M168" s="6"/>
      <c r="N168" s="12"/>
      <c r="O168" s="12"/>
      <c r="Q168" s="5">
        <v>155</v>
      </c>
      <c r="R168" s="13"/>
      <c r="S168" s="13"/>
      <c r="T168" s="12"/>
      <c r="U168" s="6"/>
      <c r="V168" s="12"/>
      <c r="W168" s="12"/>
    </row>
    <row r="169" spans="1:23" x14ac:dyDescent="0.25">
      <c r="A169" s="5">
        <v>156</v>
      </c>
      <c r="B169" s="7"/>
      <c r="C169" s="7"/>
      <c r="D169" s="12"/>
      <c r="E169" s="6"/>
      <c r="F169" s="12"/>
      <c r="G169" s="12"/>
      <c r="I169" s="5">
        <v>156</v>
      </c>
      <c r="J169" s="6"/>
      <c r="K169" s="6"/>
      <c r="L169" s="12"/>
      <c r="M169" s="6"/>
      <c r="N169" s="12"/>
      <c r="O169" s="12"/>
      <c r="Q169" s="5">
        <v>156</v>
      </c>
      <c r="R169" s="13"/>
      <c r="S169" s="13"/>
      <c r="T169" s="12"/>
      <c r="U169" s="6"/>
      <c r="V169" s="12"/>
      <c r="W169" s="12"/>
    </row>
    <row r="170" spans="1:23" x14ac:dyDescent="0.25">
      <c r="A170" s="5">
        <v>157</v>
      </c>
      <c r="I170" s="5">
        <v>157</v>
      </c>
      <c r="Q170" s="5">
        <v>157</v>
      </c>
    </row>
    <row r="171" spans="1:23" x14ac:dyDescent="0.25">
      <c r="A171" s="5">
        <v>158</v>
      </c>
      <c r="I171" s="5">
        <v>158</v>
      </c>
      <c r="Q171" s="5">
        <v>158</v>
      </c>
    </row>
    <row r="172" spans="1:23" x14ac:dyDescent="0.25">
      <c r="A172" s="5">
        <v>159</v>
      </c>
      <c r="I172" s="5">
        <v>159</v>
      </c>
      <c r="Q172" s="5">
        <v>159</v>
      </c>
    </row>
    <row r="173" spans="1:23" x14ac:dyDescent="0.25">
      <c r="A173" s="5">
        <v>160</v>
      </c>
      <c r="I173" s="5">
        <v>160</v>
      </c>
      <c r="Q173" s="5">
        <v>160</v>
      </c>
    </row>
    <row r="174" spans="1:23" x14ac:dyDescent="0.25">
      <c r="A174" s="5">
        <v>161</v>
      </c>
      <c r="I174" s="5">
        <v>161</v>
      </c>
      <c r="Q174" s="5">
        <v>161</v>
      </c>
    </row>
    <row r="175" spans="1:23" x14ac:dyDescent="0.25">
      <c r="A175" s="5">
        <v>162</v>
      </c>
      <c r="I175" s="5">
        <v>162</v>
      </c>
      <c r="Q175" s="5">
        <v>162</v>
      </c>
    </row>
    <row r="176" spans="1:23" x14ac:dyDescent="0.25">
      <c r="A176" s="5">
        <v>163</v>
      </c>
      <c r="I176" s="5">
        <v>163</v>
      </c>
      <c r="Q176" s="5">
        <v>163</v>
      </c>
    </row>
    <row r="177" spans="1:17" x14ac:dyDescent="0.25">
      <c r="A177" s="5">
        <v>164</v>
      </c>
      <c r="I177" s="5">
        <v>164</v>
      </c>
      <c r="Q177" s="5">
        <v>164</v>
      </c>
    </row>
    <row r="178" spans="1:17" x14ac:dyDescent="0.25">
      <c r="A178" s="5">
        <v>165</v>
      </c>
      <c r="I178" s="5">
        <v>165</v>
      </c>
      <c r="Q178" s="5">
        <v>165</v>
      </c>
    </row>
    <row r="179" spans="1:17" x14ac:dyDescent="0.25">
      <c r="A179" s="5">
        <v>166</v>
      </c>
      <c r="I179" s="5">
        <v>166</v>
      </c>
      <c r="Q179" s="5">
        <v>166</v>
      </c>
    </row>
    <row r="180" spans="1:17" x14ac:dyDescent="0.25">
      <c r="A180" s="5">
        <v>167</v>
      </c>
      <c r="I180" s="5">
        <v>167</v>
      </c>
      <c r="Q180" s="5">
        <v>167</v>
      </c>
    </row>
    <row r="181" spans="1:17" x14ac:dyDescent="0.25">
      <c r="A181" s="5">
        <v>168</v>
      </c>
      <c r="I181" s="5">
        <v>168</v>
      </c>
      <c r="Q181" s="5">
        <v>168</v>
      </c>
    </row>
    <row r="182" spans="1:17" x14ac:dyDescent="0.25">
      <c r="A182" s="5">
        <v>169</v>
      </c>
      <c r="I182" s="5">
        <v>169</v>
      </c>
      <c r="Q182" s="5">
        <v>169</v>
      </c>
    </row>
    <row r="183" spans="1:17" x14ac:dyDescent="0.25">
      <c r="A183" s="5">
        <v>170</v>
      </c>
      <c r="I183" s="5">
        <v>170</v>
      </c>
      <c r="Q183" s="5">
        <v>170</v>
      </c>
    </row>
    <row r="184" spans="1:17" x14ac:dyDescent="0.25">
      <c r="A184" s="5">
        <v>171</v>
      </c>
      <c r="I184" s="5">
        <v>171</v>
      </c>
      <c r="Q184" s="5">
        <v>171</v>
      </c>
    </row>
    <row r="185" spans="1:17" x14ac:dyDescent="0.25">
      <c r="A185" s="5">
        <v>172</v>
      </c>
      <c r="I185" s="5">
        <v>172</v>
      </c>
      <c r="Q185" s="5">
        <v>172</v>
      </c>
    </row>
    <row r="186" spans="1:17" x14ac:dyDescent="0.25">
      <c r="A186" s="5">
        <v>173</v>
      </c>
      <c r="I186" s="5">
        <v>173</v>
      </c>
      <c r="Q186" s="5">
        <v>173</v>
      </c>
    </row>
    <row r="187" spans="1:17" x14ac:dyDescent="0.25">
      <c r="A187" s="5">
        <v>174</v>
      </c>
      <c r="I187" s="5">
        <v>174</v>
      </c>
      <c r="Q187" s="5">
        <v>174</v>
      </c>
    </row>
    <row r="188" spans="1:17" x14ac:dyDescent="0.25">
      <c r="A188" s="5">
        <v>175</v>
      </c>
      <c r="I188" s="5">
        <v>175</v>
      </c>
      <c r="Q188" s="5">
        <v>175</v>
      </c>
    </row>
    <row r="189" spans="1:17" x14ac:dyDescent="0.25">
      <c r="A189" s="5">
        <v>176</v>
      </c>
      <c r="I189" s="5">
        <v>176</v>
      </c>
      <c r="Q189" s="5">
        <v>176</v>
      </c>
    </row>
    <row r="190" spans="1:17" x14ac:dyDescent="0.25">
      <c r="A190" s="5">
        <v>177</v>
      </c>
      <c r="I190" s="5">
        <v>177</v>
      </c>
      <c r="Q190" s="5">
        <v>177</v>
      </c>
    </row>
    <row r="191" spans="1:17" x14ac:dyDescent="0.25">
      <c r="A191" s="5">
        <v>178</v>
      </c>
      <c r="I191" s="5">
        <v>178</v>
      </c>
      <c r="Q191" s="5">
        <v>178</v>
      </c>
    </row>
    <row r="192" spans="1:17" x14ac:dyDescent="0.25">
      <c r="A192" s="5">
        <v>179</v>
      </c>
      <c r="I192" s="5">
        <v>179</v>
      </c>
      <c r="Q192" s="5">
        <v>179</v>
      </c>
    </row>
    <row r="193" spans="1:17" x14ac:dyDescent="0.25">
      <c r="A193" s="5">
        <v>180</v>
      </c>
      <c r="I193" s="5">
        <v>180</v>
      </c>
      <c r="Q193" s="5">
        <v>180</v>
      </c>
    </row>
    <row r="194" spans="1:17" x14ac:dyDescent="0.25">
      <c r="A194" s="5">
        <v>181</v>
      </c>
      <c r="I194" s="5">
        <v>181</v>
      </c>
      <c r="Q194" s="5">
        <v>181</v>
      </c>
    </row>
    <row r="195" spans="1:17" x14ac:dyDescent="0.25">
      <c r="A195" s="5">
        <v>182</v>
      </c>
      <c r="I195" s="5">
        <v>182</v>
      </c>
      <c r="Q195" s="5">
        <v>182</v>
      </c>
    </row>
    <row r="196" spans="1:17" x14ac:dyDescent="0.25">
      <c r="A196" s="5">
        <v>183</v>
      </c>
      <c r="I196" s="5">
        <v>183</v>
      </c>
      <c r="Q196" s="5">
        <v>183</v>
      </c>
    </row>
    <row r="197" spans="1:17" x14ac:dyDescent="0.25">
      <c r="A197" s="5">
        <v>184</v>
      </c>
      <c r="I197" s="5">
        <v>184</v>
      </c>
      <c r="Q197" s="5">
        <v>184</v>
      </c>
    </row>
    <row r="198" spans="1:17" x14ac:dyDescent="0.25">
      <c r="A198" s="5">
        <v>185</v>
      </c>
      <c r="I198" s="5">
        <v>185</v>
      </c>
      <c r="Q198" s="5">
        <v>185</v>
      </c>
    </row>
    <row r="199" spans="1:17" x14ac:dyDescent="0.25">
      <c r="A199" s="5">
        <v>186</v>
      </c>
      <c r="I199" s="5">
        <v>186</v>
      </c>
      <c r="Q199" s="5">
        <v>186</v>
      </c>
    </row>
    <row r="200" spans="1:17" x14ac:dyDescent="0.25">
      <c r="A200" s="5">
        <v>187</v>
      </c>
      <c r="I200" s="5">
        <v>187</v>
      </c>
      <c r="Q200" s="5">
        <v>187</v>
      </c>
    </row>
    <row r="201" spans="1:17" x14ac:dyDescent="0.25">
      <c r="A201" s="5">
        <v>188</v>
      </c>
      <c r="I201" s="5">
        <v>188</v>
      </c>
      <c r="Q201" s="5">
        <v>188</v>
      </c>
    </row>
    <row r="202" spans="1:17" x14ac:dyDescent="0.25">
      <c r="A202" s="5">
        <v>189</v>
      </c>
      <c r="I202" s="5">
        <v>189</v>
      </c>
      <c r="Q202" s="5">
        <v>189</v>
      </c>
    </row>
    <row r="203" spans="1:17" x14ac:dyDescent="0.25">
      <c r="A203" s="5">
        <v>190</v>
      </c>
      <c r="I203" s="5">
        <v>190</v>
      </c>
      <c r="Q203" s="5">
        <v>190</v>
      </c>
    </row>
    <row r="204" spans="1:17" x14ac:dyDescent="0.25">
      <c r="A204" s="5">
        <v>191</v>
      </c>
      <c r="I204" s="5">
        <v>191</v>
      </c>
      <c r="Q204" s="5">
        <v>191</v>
      </c>
    </row>
    <row r="205" spans="1:17" x14ac:dyDescent="0.25">
      <c r="A205" s="5">
        <v>192</v>
      </c>
      <c r="I205" s="5">
        <v>192</v>
      </c>
      <c r="Q205" s="5">
        <v>192</v>
      </c>
    </row>
    <row r="206" spans="1:17" x14ac:dyDescent="0.25">
      <c r="A206" s="5">
        <v>193</v>
      </c>
      <c r="I206" s="5">
        <v>193</v>
      </c>
      <c r="Q206" s="5">
        <v>193</v>
      </c>
    </row>
    <row r="207" spans="1:17" x14ac:dyDescent="0.25">
      <c r="A207" s="5">
        <v>194</v>
      </c>
      <c r="I207" s="5">
        <v>194</v>
      </c>
      <c r="Q207" s="5">
        <v>194</v>
      </c>
    </row>
    <row r="208" spans="1:17" x14ac:dyDescent="0.25">
      <c r="A208" s="5">
        <v>195</v>
      </c>
      <c r="I208" s="5">
        <v>195</v>
      </c>
      <c r="Q208" s="5">
        <v>195</v>
      </c>
    </row>
    <row r="209" spans="1:17" x14ac:dyDescent="0.25">
      <c r="A209" s="5">
        <v>196</v>
      </c>
      <c r="I209" s="5">
        <v>196</v>
      </c>
      <c r="Q209" s="5">
        <v>196</v>
      </c>
    </row>
    <row r="210" spans="1:17" x14ac:dyDescent="0.25">
      <c r="A210" s="5">
        <v>197</v>
      </c>
      <c r="I210" s="5">
        <v>197</v>
      </c>
      <c r="Q210" s="5">
        <v>197</v>
      </c>
    </row>
    <row r="211" spans="1:17" x14ac:dyDescent="0.25">
      <c r="A211" s="5">
        <v>198</v>
      </c>
      <c r="I211" s="5">
        <v>198</v>
      </c>
      <c r="Q211" s="5">
        <v>198</v>
      </c>
    </row>
    <row r="212" spans="1:17" x14ac:dyDescent="0.25">
      <c r="A212" s="5">
        <v>199</v>
      </c>
      <c r="I212" s="5">
        <v>199</v>
      </c>
      <c r="Q212" s="5">
        <v>199</v>
      </c>
    </row>
    <row r="213" spans="1:17" x14ac:dyDescent="0.25">
      <c r="A213" s="5">
        <v>200</v>
      </c>
      <c r="I213" s="5">
        <v>200</v>
      </c>
      <c r="Q213" s="5">
        <v>200</v>
      </c>
    </row>
  </sheetData>
  <mergeCells count="23">
    <mergeCell ref="Q11:S11"/>
    <mergeCell ref="I10:K10"/>
    <mergeCell ref="I9:K9"/>
    <mergeCell ref="A9:C9"/>
    <mergeCell ref="Q7:S7"/>
    <mergeCell ref="I11:K11"/>
    <mergeCell ref="A11:C11"/>
    <mergeCell ref="Q10:S10"/>
    <mergeCell ref="A8:C8"/>
    <mergeCell ref="Q9:S9"/>
    <mergeCell ref="I8:K8"/>
    <mergeCell ref="A10:C10"/>
    <mergeCell ref="A1:C1"/>
    <mergeCell ref="A6:C6"/>
    <mergeCell ref="Q8:S8"/>
    <mergeCell ref="A7:C7"/>
    <mergeCell ref="I7:K7"/>
    <mergeCell ref="Q5:S5"/>
    <mergeCell ref="A2:C2"/>
    <mergeCell ref="Q6:S6"/>
    <mergeCell ref="A5:C5"/>
    <mergeCell ref="I5:K5"/>
    <mergeCell ref="I6:K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5"/>
  <sheetViews>
    <sheetView tabSelected="1" zoomScale="115" zoomScaleNormal="115" workbookViewId="0">
      <selection activeCell="C6" sqref="C6"/>
    </sheetView>
  </sheetViews>
  <sheetFormatPr defaultRowHeight="15" x14ac:dyDescent="0.25"/>
  <sheetData>
    <row r="1" spans="1:9" ht="59.4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</row>
    <row r="2" spans="1:9" ht="15.6" customHeight="1" x14ac:dyDescent="0.25">
      <c r="A2" s="1" t="s">
        <v>9</v>
      </c>
      <c r="B2" s="1" t="s">
        <v>9</v>
      </c>
      <c r="C2" s="1" t="s">
        <v>9</v>
      </c>
      <c r="D2" s="1" t="s">
        <v>9</v>
      </c>
      <c r="E2" s="10" t="s">
        <v>10</v>
      </c>
      <c r="F2" s="10" t="s">
        <v>11</v>
      </c>
      <c r="G2" s="10" t="s">
        <v>12</v>
      </c>
      <c r="H2" s="10" t="s">
        <v>13</v>
      </c>
      <c r="I2" s="10" t="s">
        <v>14</v>
      </c>
    </row>
    <row r="3" spans="1:9" x14ac:dyDescent="0.25">
      <c r="A3" s="20">
        <v>1</v>
      </c>
      <c r="B3" s="20">
        <f>Input!D1</f>
        <v>0</v>
      </c>
      <c r="C3" s="17">
        <f>Input!D2</f>
        <v>0</v>
      </c>
      <c r="D3" s="2">
        <v>1</v>
      </c>
      <c r="E3" s="4">
        <f>Input!D10</f>
        <v>0.5</v>
      </c>
      <c r="F3" s="4">
        <f>Input!D11</f>
        <v>0.5</v>
      </c>
      <c r="G3" s="4">
        <f>F3-E3</f>
        <v>0</v>
      </c>
      <c r="H3" s="17">
        <v>0.4</v>
      </c>
      <c r="I3" s="17">
        <v>11.86</v>
      </c>
    </row>
    <row r="4" spans="1:9" x14ac:dyDescent="0.25">
      <c r="A4" s="18"/>
      <c r="B4" s="18"/>
      <c r="C4" s="18"/>
      <c r="D4" s="2">
        <v>2</v>
      </c>
      <c r="E4" s="4">
        <f>Input!L10</f>
        <v>1</v>
      </c>
      <c r="F4" s="4">
        <f>Input!L11</f>
        <v>1</v>
      </c>
      <c r="G4" s="4">
        <f>F4-E4</f>
        <v>0</v>
      </c>
      <c r="H4" s="18"/>
      <c r="I4" s="18"/>
    </row>
    <row r="5" spans="1:9" x14ac:dyDescent="0.25">
      <c r="A5" s="19"/>
      <c r="B5" s="19"/>
      <c r="C5" s="19"/>
      <c r="D5" s="2">
        <v>3</v>
      </c>
      <c r="E5" s="4">
        <f>Input!T10</f>
        <v>1.5</v>
      </c>
      <c r="F5" s="4">
        <f>Input!T11</f>
        <v>1.5</v>
      </c>
      <c r="G5" s="4">
        <f>F5-E5</f>
        <v>0</v>
      </c>
      <c r="H5" s="19"/>
      <c r="I5" s="19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Plot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baps</cp:lastModifiedBy>
  <dcterms:created xsi:type="dcterms:W3CDTF">2021-04-22T06:03:08Z</dcterms:created>
  <dcterms:modified xsi:type="dcterms:W3CDTF">2026-09-03T08:07:15Z</dcterms:modified>
</cp:coreProperties>
</file>