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s\Desktop\SECON FINAL SCRIPT\UCS Python Script\"/>
    </mc:Choice>
  </mc:AlternateContent>
  <xr:revisionPtr revIDLastSave="0" documentId="13_ncr:1_{4BFB4758-64D0-41E2-81BE-E4D0A5BEA06B}" xr6:coauthVersionLast="47" xr6:coauthVersionMax="47" xr10:uidLastSave="{00000000-0000-0000-0000-000000000000}"/>
  <bookViews>
    <workbookView xWindow="6540" yWindow="2730" windowWidth="21600" windowHeight="11295" xr2:uid="{72187C1E-4C36-4CA8-9224-E18044AA9127}"/>
  </bookViews>
  <sheets>
    <sheet name="Trial_0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2" i="1" l="1"/>
  <c r="D42" i="1" s="1"/>
  <c r="C41" i="1"/>
  <c r="D41" i="1" s="1"/>
  <c r="C40" i="1"/>
  <c r="D40" i="1" s="1"/>
  <c r="C39" i="1"/>
  <c r="D39" i="1" s="1"/>
  <c r="C38" i="1"/>
  <c r="D38" i="1" s="1"/>
  <c r="C37" i="1"/>
  <c r="D37" i="1" s="1"/>
  <c r="C36" i="1"/>
  <c r="D36" i="1" s="1"/>
  <c r="C35" i="1"/>
  <c r="D35" i="1" s="1"/>
  <c r="C34" i="1"/>
  <c r="D34" i="1" s="1"/>
  <c r="C33" i="1"/>
  <c r="D33" i="1" s="1"/>
  <c r="C32" i="1"/>
  <c r="D32" i="1" s="1"/>
  <c r="C31" i="1"/>
  <c r="D31" i="1" s="1"/>
  <c r="C30" i="1"/>
  <c r="D30" i="1" s="1"/>
  <c r="C29" i="1"/>
  <c r="D29" i="1" s="1"/>
  <c r="C28" i="1"/>
  <c r="D28" i="1" s="1"/>
  <c r="C27" i="1"/>
  <c r="D27" i="1" s="1"/>
  <c r="C26" i="1"/>
  <c r="D26" i="1" s="1"/>
  <c r="C25" i="1"/>
  <c r="D25" i="1" s="1"/>
  <c r="C24" i="1"/>
  <c r="D24" i="1" s="1"/>
  <c r="C23" i="1"/>
  <c r="D23" i="1" s="1"/>
  <c r="C22" i="1"/>
  <c r="D22" i="1" s="1"/>
  <c r="C21" i="1"/>
  <c r="D21" i="1" s="1"/>
  <c r="C20" i="1"/>
  <c r="D20" i="1" s="1"/>
  <c r="C19" i="1"/>
  <c r="D19" i="1" s="1"/>
  <c r="C18" i="1"/>
  <c r="D18" i="1" s="1"/>
  <c r="C17" i="1"/>
  <c r="D17" i="1" s="1"/>
  <c r="C16" i="1"/>
  <c r="D16" i="1" s="1"/>
  <c r="C15" i="1"/>
  <c r="D15" i="1" s="1"/>
  <c r="C14" i="1"/>
  <c r="D14" i="1" s="1"/>
  <c r="C13" i="1"/>
  <c r="D13" i="1" s="1"/>
  <c r="C12" i="1"/>
  <c r="D12" i="1" s="1"/>
  <c r="C11" i="1"/>
  <c r="D11" i="1" s="1"/>
  <c r="D4" i="1"/>
  <c r="E18" i="1" l="1"/>
  <c r="H18" i="1" s="1"/>
  <c r="E27" i="1"/>
  <c r="H27" i="1" s="1"/>
  <c r="E23" i="1"/>
  <c r="H23" i="1" s="1"/>
  <c r="E13" i="1"/>
  <c r="H13" i="1" s="1"/>
  <c r="E25" i="1"/>
  <c r="H25" i="1" s="1"/>
  <c r="E19" i="1"/>
  <c r="H19" i="1" s="1"/>
  <c r="E35" i="1"/>
  <c r="H35" i="1" s="1"/>
  <c r="E20" i="1"/>
  <c r="H20" i="1" s="1"/>
  <c r="E37" i="1"/>
  <c r="H37" i="1" s="1"/>
  <c r="E14" i="1"/>
  <c r="H14" i="1" s="1"/>
  <c r="E11" i="1"/>
  <c r="H11" i="1" s="1"/>
  <c r="E17" i="1"/>
  <c r="H17" i="1" s="1"/>
  <c r="E16" i="1"/>
  <c r="H16" i="1" s="1"/>
  <c r="E22" i="1"/>
  <c r="H22" i="1" s="1"/>
  <c r="E24" i="1"/>
  <c r="H24" i="1" s="1"/>
  <c r="E26" i="1"/>
  <c r="H26" i="1" s="1"/>
  <c r="E28" i="1"/>
  <c r="H28" i="1" s="1"/>
  <c r="E30" i="1"/>
  <c r="H30" i="1" s="1"/>
  <c r="E32" i="1"/>
  <c r="H32" i="1" s="1"/>
  <c r="E34" i="1"/>
  <c r="H34" i="1" s="1"/>
  <c r="E36" i="1"/>
  <c r="H36" i="1" s="1"/>
  <c r="E38" i="1"/>
  <c r="H38" i="1" s="1"/>
  <c r="E40" i="1"/>
  <c r="H40" i="1" s="1"/>
  <c r="E42" i="1"/>
  <c r="H42" i="1" s="1"/>
  <c r="D7" i="1"/>
  <c r="E15" i="1"/>
  <c r="H15" i="1" s="1"/>
  <c r="E21" i="1"/>
  <c r="H21" i="1" s="1"/>
  <c r="E29" i="1"/>
  <c r="H29" i="1" s="1"/>
  <c r="E31" i="1"/>
  <c r="H31" i="1" s="1"/>
  <c r="E33" i="1"/>
  <c r="H33" i="1" s="1"/>
  <c r="E39" i="1"/>
  <c r="H39" i="1" s="1"/>
  <c r="E41" i="1"/>
  <c r="H41" i="1" s="1"/>
  <c r="E12" i="1"/>
  <c r="H12" i="1" s="1"/>
  <c r="H3" i="1" l="1"/>
  <c r="H6" i="1" s="1"/>
  <c r="H7" i="1" s="1"/>
  <c r="H4" i="1" l="1"/>
</calcChain>
</file>

<file path=xl/sharedStrings.xml><?xml version="1.0" encoding="utf-8"?>
<sst xmlns="http://schemas.openxmlformats.org/spreadsheetml/2006/main" count="67" uniqueCount="30">
  <si>
    <t>BH ID</t>
  </si>
  <si>
    <t>-</t>
  </si>
  <si>
    <t>Unconfined Compressive Strength Results</t>
  </si>
  <si>
    <t>Depth</t>
  </si>
  <si>
    <t>m</t>
  </si>
  <si>
    <t>Diameter of Specimen</t>
  </si>
  <si>
    <t>cm</t>
  </si>
  <si>
    <r>
      <t>Unconfined Comp Strength (q</t>
    </r>
    <r>
      <rPr>
        <b/>
        <vertAlign val="subscript"/>
        <sz val="11"/>
        <color theme="1"/>
        <rFont val="Calibri"/>
        <family val="2"/>
        <scheme val="minor"/>
      </rPr>
      <t>u</t>
    </r>
    <r>
      <rPr>
        <b/>
        <sz val="11"/>
        <color theme="1"/>
        <rFont val="Calibri"/>
        <family val="2"/>
        <scheme val="minor"/>
      </rPr>
      <t>)</t>
    </r>
  </si>
  <si>
    <r>
      <t xml:space="preserve"> (kg/cm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)</t>
    </r>
  </si>
  <si>
    <r>
      <t>Initial Area of Specimen (A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>)</t>
    </r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</si>
  <si>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</si>
  <si>
    <t>Undrained Shear Strength or Cohesion ©</t>
  </si>
  <si>
    <r>
      <t>Initial Height of Specimen (A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>)</t>
    </r>
  </si>
  <si>
    <t>Density</t>
  </si>
  <si>
    <r>
      <t>gm/cm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</si>
  <si>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 (kN/m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)</t>
    </r>
  </si>
  <si>
    <t>Sample Weight Taken</t>
  </si>
  <si>
    <t>gm</t>
  </si>
  <si>
    <t>PR Contant</t>
  </si>
  <si>
    <t>kg/div</t>
  </si>
  <si>
    <t>SR No.</t>
  </si>
  <si>
    <t xml:space="preserve">Dial Reading </t>
  </si>
  <si>
    <t>Dial Reading (cm)</t>
  </si>
  <si>
    <r>
      <t xml:space="preserve">Axial Strain, </t>
    </r>
    <r>
      <rPr>
        <b/>
        <sz val="11"/>
        <color theme="1"/>
        <rFont val="Calibri"/>
        <family val="2"/>
      </rPr>
      <t>ε (%)</t>
    </r>
  </si>
  <si>
    <r>
      <t>Average Cross-Section Area, A (cm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</si>
  <si>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 xml:space="preserve">PR Reading </t>
  </si>
  <si>
    <t>Axial Load, P (kg)</t>
  </si>
  <si>
    <r>
      <t xml:space="preserve">Compressive Stress, </t>
    </r>
    <r>
      <rPr>
        <b/>
        <sz val="11"/>
        <color theme="1"/>
        <rFont val="Calibri"/>
        <family val="2"/>
      </rPr>
      <t>σ</t>
    </r>
    <r>
      <rPr>
        <b/>
        <vertAlign val="subscript"/>
        <sz val="11"/>
        <color theme="1"/>
        <rFont val="Calibri"/>
        <family val="2"/>
      </rPr>
      <t>0</t>
    </r>
    <r>
      <rPr>
        <b/>
        <sz val="11"/>
        <color theme="1"/>
        <rFont val="Calibri"/>
        <family val="2"/>
      </rPr>
      <t xml:space="preserve"> (kg/cm</t>
    </r>
    <r>
      <rPr>
        <b/>
        <vertAlign val="superscript"/>
        <sz val="11"/>
        <color theme="1"/>
        <rFont val="Calibri"/>
        <family val="2"/>
      </rPr>
      <t>2</t>
    </r>
    <r>
      <rPr>
        <b/>
        <sz val="11"/>
        <color theme="1"/>
        <rFont val="Calibri"/>
        <family val="2"/>
      </rPr>
      <t>)</t>
    </r>
  </si>
  <si>
    <t>Remarks</t>
  </si>
  <si>
    <t>Trial_01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</si>
</sst>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</font>
    <font>
      <b/>
      <vertAlign val="superscript"/>
      <sz val="11"/>
      <color theme="1"/>
      <name val="Calibri"/>
      <family val="2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0" borderId="0" xfId="0" applyFont="1"/>
    <xf numFmtId="2" fontId="0" fillId="0" borderId="1" xfId="0" applyNumberFormat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5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2" fontId="0" fillId="4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> Strain (UCS-SOIL)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147732739195382"/>
          <c:y val="0.11709381640016715"/>
          <c:w val="0.81667122757196331"/>
          <c:h val="0.7498690941313892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Trial_01!$F$1:$I$1</c:f>
              <c:strCache>
                <c:ptCount val="1"/>
                <c:pt idx="0">
                  <c:v>Unconfined Compressive Strength Results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Trial_01!$D$11:$D$42</c:f>
              <c:numCache>
                <c:formatCode>0.00</c:formatCode>
                <c:ptCount val="32"/>
                <c:pt idx="0">
                  <c:v>0</c:v>
                </c:pt>
                <c:pt idx="1">
                  <c:v>0.65694389699119693</c:v>
                </c:pt>
                <c:pt idx="2">
                  <c:v>1.3138877939823939</c:v>
                </c:pt>
                <c:pt idx="3">
                  <c:v>1.9708316909735908</c:v>
                </c:pt>
                <c:pt idx="4">
                  <c:v>2.6277755879647877</c:v>
                </c:pt>
                <c:pt idx="5">
                  <c:v>3.2847194849559851</c:v>
                </c:pt>
                <c:pt idx="6">
                  <c:v>3.9416633819471816</c:v>
                </c:pt>
                <c:pt idx="7">
                  <c:v>4.5986072789383785</c:v>
                </c:pt>
                <c:pt idx="8">
                  <c:v>5.2555511759295754</c:v>
                </c:pt>
                <c:pt idx="9">
                  <c:v>5.9124950729207733</c:v>
                </c:pt>
                <c:pt idx="10">
                  <c:v>6.5694389699119702</c:v>
                </c:pt>
                <c:pt idx="11">
                  <c:v>7.226382866903168</c:v>
                </c:pt>
                <c:pt idx="12">
                  <c:v>7.8833267638943632</c:v>
                </c:pt>
                <c:pt idx="13">
                  <c:v>8.540270660885561</c:v>
                </c:pt>
                <c:pt idx="14">
                  <c:v>9.197214557876757</c:v>
                </c:pt>
                <c:pt idx="15">
                  <c:v>9.8541584548679548</c:v>
                </c:pt>
                <c:pt idx="16">
                  <c:v>10.511102351859151</c:v>
                </c:pt>
                <c:pt idx="17">
                  <c:v>11.168046248850349</c:v>
                </c:pt>
                <c:pt idx="18">
                  <c:v>11.824990145841547</c:v>
                </c:pt>
                <c:pt idx="19">
                  <c:v>12.481934042832741</c:v>
                </c:pt>
                <c:pt idx="20">
                  <c:v>13.13887793982394</c:v>
                </c:pt>
                <c:pt idx="21">
                  <c:v>13.795821836815136</c:v>
                </c:pt>
                <c:pt idx="22">
                  <c:v>14.452765733806336</c:v>
                </c:pt>
                <c:pt idx="23">
                  <c:v>15.10970963079753</c:v>
                </c:pt>
                <c:pt idx="24">
                  <c:v>15.766653527788726</c:v>
                </c:pt>
                <c:pt idx="25">
                  <c:v>16.423597424779924</c:v>
                </c:pt>
                <c:pt idx="26">
                  <c:v>17.080541321771122</c:v>
                </c:pt>
                <c:pt idx="27">
                  <c:v>17.73748521876232</c:v>
                </c:pt>
                <c:pt idx="28">
                  <c:v>18.394429115753514</c:v>
                </c:pt>
                <c:pt idx="29">
                  <c:v>19.051373012744712</c:v>
                </c:pt>
                <c:pt idx="30">
                  <c:v>19.70831690973591</c:v>
                </c:pt>
                <c:pt idx="31">
                  <c:v>20.365260806727107</c:v>
                </c:pt>
              </c:numCache>
            </c:numRef>
          </c:xVal>
          <c:yVal>
            <c:numRef>
              <c:f>Trial_01!$H$11:$H$28</c:f>
              <c:numCache>
                <c:formatCode>0.000</c:formatCode>
                <c:ptCount val="18"/>
                <c:pt idx="0">
                  <c:v>0</c:v>
                </c:pt>
                <c:pt idx="1">
                  <c:v>9.0604173308835897E-2</c:v>
                </c:pt>
                <c:pt idx="2">
                  <c:v>0.18175770748759879</c:v>
                </c:pt>
                <c:pt idx="3">
                  <c:v>0.31509056894124876</c:v>
                </c:pt>
                <c:pt idx="4">
                  <c:v>0.41213210685296447</c:v>
                </c:pt>
                <c:pt idx="5">
                  <c:v>0.50355380638648828</c:v>
                </c:pt>
                <c:pt idx="6">
                  <c:v>0.59624745898882026</c:v>
                </c:pt>
                <c:pt idx="7">
                  <c:v>0.67917896195210703</c:v>
                </c:pt>
                <c:pt idx="8">
                  <c:v>0.76007322260423549</c:v>
                </c:pt>
                <c:pt idx="9">
                  <c:v>0.85477689378973709</c:v>
                </c:pt>
                <c:pt idx="10">
                  <c:v>0.92492010870066466</c:v>
                </c:pt>
                <c:pt idx="11">
                  <c:v>1.0243878159434807</c:v>
                </c:pt>
                <c:pt idx="12">
                  <c:v>1.0799401597188962</c:v>
                </c:pt>
                <c:pt idx="13">
                  <c:v>1.1686102849333513</c:v>
                </c:pt>
                <c:pt idx="14">
                  <c:v>1.2108702363257438</c:v>
                </c:pt>
                <c:pt idx="15">
                  <c:v>1.2771418648263726</c:v>
                </c:pt>
                <c:pt idx="16">
                  <c:v>1.3645069962081362</c:v>
                </c:pt>
                <c:pt idx="17">
                  <c:v>1.4064043135828321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6F-45DF-979C-5E29412B2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1760351"/>
        <c:axId val="907822671"/>
      </c:scatterChart>
      <c:valAx>
        <c:axId val="761760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7822671"/>
        <c:crosses val="autoZero"/>
        <c:crossBetween val="midCat"/>
        <c:majorUnit val="1"/>
      </c:valAx>
      <c:valAx>
        <c:axId val="907822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c:rich>
          </c:tx>
          <c:layout>
            <c:manualLayout>
              <c:xMode val="edge"/>
              <c:yMode val="edge"/>
              <c:x val="1.7148981779206859E-2"/>
              <c:y val="0.360360225686111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7603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342901</xdr:colOff>
      <xdr:row>5</xdr:row>
      <xdr:rowOff>33336</xdr:rowOff>
    </xdr:from>
    <xdr:to>
      <xdr:col>21</xdr:col>
      <xdr:colOff>57151</xdr:colOff>
      <xdr:row>24</xdr:row>
      <xdr:rowOff>133349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3D9A57-506A-4760-AD44-C5A3EAC0E2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552450</xdr:colOff>
      <xdr:row>7</xdr:row>
      <xdr:rowOff>180975</xdr:rowOff>
    </xdr:from>
    <xdr:ext cx="805157" cy="37407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D74688A-4826-4FD3-8659-3AFC13012DB7}"/>
            </a:ext>
          </a:extLst>
        </xdr:cNvPr>
        <xdr:cNvSpPr txBox="1"/>
      </xdr:nvSpPr>
      <xdr:spPr>
        <a:xfrm>
          <a:off x="10258425" y="1666875"/>
          <a:ext cx="805157" cy="374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900"/>
            <a:t>RBH-12</a:t>
          </a:r>
        </a:p>
        <a:p>
          <a:r>
            <a:rPr lang="en-IN" sz="900"/>
            <a:t>Depth-1.50m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CC03D-F236-47DB-B3D1-66D2B58F204E}">
  <sheetPr codeName="Sheet1">
    <tabColor rgb="FF92D050"/>
  </sheetPr>
  <dimension ref="A1:L71"/>
  <sheetViews>
    <sheetView tabSelected="1" zoomScale="85" zoomScaleNormal="85" workbookViewId="0">
      <selection activeCell="N3" sqref="N3"/>
    </sheetView>
  </sheetViews>
  <sheetFormatPr defaultRowHeight="15" x14ac:dyDescent="0.25"/>
  <cols>
    <col min="1" max="1" width="8.140625" customWidth="1"/>
    <col min="2" max="2" width="9.7109375" customWidth="1"/>
    <col min="3" max="3" width="10.7109375" customWidth="1"/>
    <col min="4" max="5" width="14.28515625" customWidth="1"/>
    <col min="6" max="6" width="15.140625" customWidth="1"/>
    <col min="7" max="7" width="13.140625" customWidth="1"/>
    <col min="8" max="8" width="13.85546875" customWidth="1"/>
    <col min="9" max="10" width="14" customWidth="1"/>
  </cols>
  <sheetData>
    <row r="1" spans="1:12" x14ac:dyDescent="0.25">
      <c r="A1" s="16" t="s">
        <v>0</v>
      </c>
      <c r="B1" s="16"/>
      <c r="C1" s="16"/>
      <c r="D1" s="1" t="s">
        <v>29</v>
      </c>
      <c r="E1" s="2" t="s">
        <v>1</v>
      </c>
      <c r="F1" s="20" t="s">
        <v>2</v>
      </c>
      <c r="G1" s="20"/>
      <c r="H1" s="20"/>
      <c r="I1" s="20"/>
      <c r="J1" s="3"/>
    </row>
    <row r="2" spans="1:12" x14ac:dyDescent="0.25">
      <c r="A2" s="16" t="s">
        <v>3</v>
      </c>
      <c r="B2" s="16"/>
      <c r="C2" s="16"/>
      <c r="D2" s="4">
        <v>10.5</v>
      </c>
      <c r="E2" s="1" t="s">
        <v>4</v>
      </c>
      <c r="F2" s="22"/>
      <c r="G2" s="22"/>
      <c r="H2" s="15"/>
      <c r="I2" s="1"/>
      <c r="L2" s="12"/>
    </row>
    <row r="3" spans="1:12" ht="18" x14ac:dyDescent="0.25">
      <c r="A3" s="16" t="s">
        <v>5</v>
      </c>
      <c r="B3" s="16"/>
      <c r="C3" s="16"/>
      <c r="D3" s="7">
        <v>3.7919999999999998</v>
      </c>
      <c r="E3" s="1" t="s">
        <v>6</v>
      </c>
      <c r="F3" s="21" t="s">
        <v>7</v>
      </c>
      <c r="G3" s="21"/>
      <c r="H3" s="14">
        <f>MAX(H11:H42)</f>
        <v>1.7326335755373268</v>
      </c>
      <c r="I3" s="6" t="s">
        <v>8</v>
      </c>
      <c r="L3" s="12"/>
    </row>
    <row r="4" spans="1:12" ht="18" x14ac:dyDescent="0.25">
      <c r="A4" s="16" t="s">
        <v>9</v>
      </c>
      <c r="B4" s="16"/>
      <c r="C4" s="16"/>
      <c r="D4" s="7">
        <f>(PI()/4)*D3^2</f>
        <v>11.293447536607045</v>
      </c>
      <c r="E4" s="1" t="s">
        <v>10</v>
      </c>
      <c r="F4" s="24" t="s">
        <v>11</v>
      </c>
      <c r="G4" s="24"/>
      <c r="H4" s="25">
        <f>H3/2</f>
        <v>0.86631678776866339</v>
      </c>
      <c r="I4" s="19" t="s">
        <v>8</v>
      </c>
    </row>
    <row r="5" spans="1:12" ht="18" x14ac:dyDescent="0.25">
      <c r="A5" s="16" t="s">
        <v>12</v>
      </c>
      <c r="B5" s="16"/>
      <c r="C5" s="16"/>
      <c r="D5" s="7">
        <v>7.6109999999999998</v>
      </c>
      <c r="E5" s="1" t="s">
        <v>6</v>
      </c>
      <c r="F5" s="24"/>
      <c r="G5" s="24"/>
      <c r="H5" s="25"/>
      <c r="I5" s="19"/>
    </row>
    <row r="6" spans="1:12" ht="18" x14ac:dyDescent="0.25">
      <c r="A6" s="16" t="s">
        <v>13</v>
      </c>
      <c r="B6" s="16"/>
      <c r="C6" s="16"/>
      <c r="D6" s="1">
        <v>1.84</v>
      </c>
      <c r="E6" s="1" t="s">
        <v>14</v>
      </c>
      <c r="F6" s="23" t="s">
        <v>7</v>
      </c>
      <c r="G6" s="23"/>
      <c r="H6" s="5">
        <f>H3*98.0665</f>
        <v>169.91331053543126</v>
      </c>
      <c r="I6" s="6" t="s">
        <v>15</v>
      </c>
    </row>
    <row r="7" spans="1:12" x14ac:dyDescent="0.25">
      <c r="A7" s="16" t="s">
        <v>16</v>
      </c>
      <c r="B7" s="16"/>
      <c r="C7" s="16"/>
      <c r="D7" s="4">
        <f>D6*(D4*D5)</f>
        <v>158.15614973005387</v>
      </c>
      <c r="E7" s="1" t="s">
        <v>17</v>
      </c>
      <c r="F7" s="17" t="s">
        <v>11</v>
      </c>
      <c r="G7" s="17"/>
      <c r="H7" s="18">
        <f>H6/2</f>
        <v>84.956655267715632</v>
      </c>
      <c r="I7" s="19" t="s">
        <v>15</v>
      </c>
      <c r="J7" s="8"/>
    </row>
    <row r="8" spans="1:12" x14ac:dyDescent="0.25">
      <c r="A8" s="16" t="s">
        <v>18</v>
      </c>
      <c r="B8" s="16"/>
      <c r="C8" s="16"/>
      <c r="D8" s="1">
        <v>0.32500000000000001</v>
      </c>
      <c r="E8" s="1" t="s">
        <v>19</v>
      </c>
      <c r="F8" s="17"/>
      <c r="G8" s="17"/>
      <c r="H8" s="18"/>
      <c r="I8" s="19"/>
      <c r="J8" s="8"/>
    </row>
    <row r="10" spans="1:12" s="12" customFormat="1" ht="50.25" x14ac:dyDescent="0.25">
      <c r="A10" s="9" t="s">
        <v>20</v>
      </c>
      <c r="B10" s="10" t="s">
        <v>21</v>
      </c>
      <c r="C10" s="10" t="s">
        <v>22</v>
      </c>
      <c r="D10" s="10" t="s">
        <v>23</v>
      </c>
      <c r="E10" s="10" t="s">
        <v>24</v>
      </c>
      <c r="F10" s="10" t="s">
        <v>25</v>
      </c>
      <c r="G10" s="10" t="s">
        <v>26</v>
      </c>
      <c r="H10" s="10" t="s">
        <v>27</v>
      </c>
      <c r="I10" s="10" t="s">
        <v>28</v>
      </c>
      <c r="J10" s="11"/>
    </row>
    <row r="11" spans="1:12" x14ac:dyDescent="0.25">
      <c r="A11" s="1">
        <v>1</v>
      </c>
      <c r="B11" s="1">
        <v>0</v>
      </c>
      <c r="C11" s="4">
        <f>B11/1000</f>
        <v>0</v>
      </c>
      <c r="D11" s="4">
        <f>(C11/$D$5)*100</f>
        <v>0</v>
      </c>
      <c r="E11" s="7">
        <f>$D$4/(1-(D11/100))</f>
        <v>11.293447536607045</v>
      </c>
      <c r="F11" s="1">
        <v>0</v>
      </c>
      <c r="G11" s="4">
        <v>0</v>
      </c>
      <c r="H11" s="7">
        <f>G11/E11</f>
        <v>0</v>
      </c>
      <c r="I11" s="4" t="s">
        <v>1</v>
      </c>
      <c r="J11" s="13"/>
    </row>
    <row r="12" spans="1:12" x14ac:dyDescent="0.25">
      <c r="A12" s="1">
        <v>2</v>
      </c>
      <c r="B12" s="1">
        <v>50</v>
      </c>
      <c r="C12" s="4">
        <f t="shared" ref="C12:C42" si="0">B12/1000</f>
        <v>0.05</v>
      </c>
      <c r="D12" s="4">
        <f t="shared" ref="D12:D42" si="1">(C12/$D$5)*100</f>
        <v>0.65694389699119693</v>
      </c>
      <c r="E12" s="7">
        <f t="shared" ref="E12:E42" si="2">$D$4/(1-(D12/100))</f>
        <v>11.368129771341916</v>
      </c>
      <c r="F12" s="1">
        <v>3</v>
      </c>
      <c r="G12" s="4">
        <v>1.03</v>
      </c>
      <c r="H12" s="7">
        <f t="shared" ref="H12:H20" si="3">G12/E12</f>
        <v>9.0604173308835897E-2</v>
      </c>
      <c r="I12" s="4" t="s">
        <v>1</v>
      </c>
      <c r="J12" s="13"/>
    </row>
    <row r="13" spans="1:12" x14ac:dyDescent="0.25">
      <c r="A13" s="1">
        <v>3</v>
      </c>
      <c r="B13" s="1">
        <v>100</v>
      </c>
      <c r="C13" s="4">
        <f t="shared" si="0"/>
        <v>0.1</v>
      </c>
      <c r="D13" s="4">
        <f t="shared" si="1"/>
        <v>1.3138877939823939</v>
      </c>
      <c r="E13" s="7">
        <f t="shared" si="2"/>
        <v>11.443806310892853</v>
      </c>
      <c r="F13" s="1">
        <v>6</v>
      </c>
      <c r="G13" s="4">
        <v>2.08</v>
      </c>
      <c r="H13" s="7">
        <f t="shared" si="3"/>
        <v>0.18175770748759879</v>
      </c>
      <c r="I13" s="4" t="s">
        <v>1</v>
      </c>
      <c r="J13" s="13"/>
    </row>
    <row r="14" spans="1:12" x14ac:dyDescent="0.25">
      <c r="A14" s="1">
        <v>4</v>
      </c>
      <c r="B14" s="1">
        <v>150</v>
      </c>
      <c r="C14" s="4">
        <f t="shared" si="0"/>
        <v>0.15</v>
      </c>
      <c r="D14" s="4">
        <f t="shared" si="1"/>
        <v>1.9708316909735908</v>
      </c>
      <c r="E14" s="7">
        <f t="shared" si="2"/>
        <v>11.520497145304413</v>
      </c>
      <c r="F14" s="1">
        <v>11</v>
      </c>
      <c r="G14" s="4">
        <v>3.63</v>
      </c>
      <c r="H14" s="7">
        <f t="shared" si="3"/>
        <v>0.31509056894124876</v>
      </c>
      <c r="I14" s="4" t="s">
        <v>1</v>
      </c>
      <c r="J14" s="13"/>
    </row>
    <row r="15" spans="1:12" x14ac:dyDescent="0.25">
      <c r="A15" s="1">
        <v>5</v>
      </c>
      <c r="B15" s="1">
        <v>200</v>
      </c>
      <c r="C15" s="4">
        <f t="shared" si="0"/>
        <v>0.2</v>
      </c>
      <c r="D15" s="4">
        <f t="shared" si="1"/>
        <v>2.6277755879647877</v>
      </c>
      <c r="E15" s="7">
        <f t="shared" si="2"/>
        <v>11.598222804090707</v>
      </c>
      <c r="F15" s="1">
        <v>15</v>
      </c>
      <c r="G15" s="4">
        <v>4.78</v>
      </c>
      <c r="H15" s="7">
        <f t="shared" si="3"/>
        <v>0.41213210685296447</v>
      </c>
      <c r="I15" s="4" t="s">
        <v>1</v>
      </c>
      <c r="J15" s="13"/>
    </row>
    <row r="16" spans="1:12" x14ac:dyDescent="0.25">
      <c r="A16" s="1">
        <v>6</v>
      </c>
      <c r="B16" s="1">
        <v>250</v>
      </c>
      <c r="C16" s="4">
        <f t="shared" si="0"/>
        <v>0.25</v>
      </c>
      <c r="D16" s="4">
        <f t="shared" si="1"/>
        <v>3.2847194849559851</v>
      </c>
      <c r="E16" s="7">
        <f t="shared" si="2"/>
        <v>11.677004374557292</v>
      </c>
      <c r="F16" s="1">
        <v>18</v>
      </c>
      <c r="G16" s="4">
        <v>5.88</v>
      </c>
      <c r="H16" s="7">
        <f t="shared" si="3"/>
        <v>0.50355380638648828</v>
      </c>
      <c r="I16" s="4" t="s">
        <v>1</v>
      </c>
      <c r="J16" s="13"/>
    </row>
    <row r="17" spans="1:10" x14ac:dyDescent="0.25">
      <c r="A17" s="1">
        <v>7</v>
      </c>
      <c r="B17" s="1">
        <v>300</v>
      </c>
      <c r="C17" s="4">
        <f t="shared" si="0"/>
        <v>0.3</v>
      </c>
      <c r="D17" s="4">
        <f t="shared" si="1"/>
        <v>3.9416633819471816</v>
      </c>
      <c r="E17" s="7">
        <f t="shared" si="2"/>
        <v>11.756863520874877</v>
      </c>
      <c r="F17" s="1">
        <v>22</v>
      </c>
      <c r="G17" s="4">
        <v>7.01</v>
      </c>
      <c r="H17" s="7">
        <f t="shared" si="3"/>
        <v>0.59624745898882026</v>
      </c>
      <c r="I17" s="4" t="s">
        <v>1</v>
      </c>
      <c r="J17" s="13"/>
    </row>
    <row r="18" spans="1:10" x14ac:dyDescent="0.25">
      <c r="A18" s="1">
        <v>8</v>
      </c>
      <c r="B18" s="1">
        <v>350</v>
      </c>
      <c r="C18" s="4">
        <f t="shared" si="0"/>
        <v>0.35</v>
      </c>
      <c r="D18" s="4">
        <f t="shared" si="1"/>
        <v>4.5986072789383785</v>
      </c>
      <c r="E18" s="7">
        <f t="shared" si="2"/>
        <v>11.837822503941085</v>
      </c>
      <c r="F18" s="1">
        <v>25</v>
      </c>
      <c r="G18" s="4">
        <v>8.0399999999999991</v>
      </c>
      <c r="H18" s="7">
        <f t="shared" si="3"/>
        <v>0.67917896195210703</v>
      </c>
      <c r="I18" s="4" t="s">
        <v>1</v>
      </c>
      <c r="J18" s="13"/>
    </row>
    <row r="19" spans="1:10" x14ac:dyDescent="0.25">
      <c r="A19" s="1">
        <v>9</v>
      </c>
      <c r="B19" s="1">
        <v>400</v>
      </c>
      <c r="C19" s="4">
        <f t="shared" si="0"/>
        <v>0.4</v>
      </c>
      <c r="D19" s="4">
        <f t="shared" si="1"/>
        <v>5.2555511759295754</v>
      </c>
      <c r="E19" s="7">
        <f t="shared" si="2"/>
        <v>11.919904202068537</v>
      </c>
      <c r="F19" s="1">
        <v>28</v>
      </c>
      <c r="G19" s="4">
        <v>9.06</v>
      </c>
      <c r="H19" s="7">
        <f t="shared" si="3"/>
        <v>0.76007322260423549</v>
      </c>
      <c r="I19" s="4" t="s">
        <v>1</v>
      </c>
      <c r="J19" s="13"/>
    </row>
    <row r="20" spans="1:10" x14ac:dyDescent="0.25">
      <c r="A20" s="1">
        <v>10</v>
      </c>
      <c r="B20" s="1">
        <v>450</v>
      </c>
      <c r="C20" s="4">
        <f t="shared" si="0"/>
        <v>0.45</v>
      </c>
      <c r="D20" s="4">
        <f t="shared" si="1"/>
        <v>5.9124950729207733</v>
      </c>
      <c r="E20" s="7">
        <f t="shared" si="2"/>
        <v>12.003132132539621</v>
      </c>
      <c r="F20" s="1">
        <v>32</v>
      </c>
      <c r="G20" s="4">
        <v>10.26</v>
      </c>
      <c r="H20" s="7">
        <f t="shared" si="3"/>
        <v>0.85477689378973709</v>
      </c>
      <c r="I20" s="4" t="s">
        <v>1</v>
      </c>
      <c r="J20" s="13"/>
    </row>
    <row r="21" spans="1:10" x14ac:dyDescent="0.25">
      <c r="A21" s="1">
        <v>11</v>
      </c>
      <c r="B21" s="1">
        <v>500</v>
      </c>
      <c r="C21" s="4">
        <f t="shared" si="0"/>
        <v>0.5</v>
      </c>
      <c r="D21" s="4">
        <f t="shared" si="1"/>
        <v>6.5694389699119702</v>
      </c>
      <c r="E21" s="7">
        <f t="shared" si="2"/>
        <v>12.087530474070626</v>
      </c>
      <c r="F21" s="1">
        <v>34</v>
      </c>
      <c r="G21" s="4">
        <v>11.18</v>
      </c>
      <c r="H21" s="7">
        <f t="shared" ref="H21" si="4">G21/E21</f>
        <v>0.92492010870066466</v>
      </c>
      <c r="I21" s="4" t="s">
        <v>1</v>
      </c>
      <c r="J21" s="13"/>
    </row>
    <row r="22" spans="1:10" x14ac:dyDescent="0.25">
      <c r="A22" s="1">
        <v>12</v>
      </c>
      <c r="B22" s="1">
        <v>550</v>
      </c>
      <c r="C22" s="4">
        <f t="shared" si="0"/>
        <v>0.55000000000000004</v>
      </c>
      <c r="D22" s="4">
        <f t="shared" si="1"/>
        <v>7.226382866903168</v>
      </c>
      <c r="E22" s="7">
        <f t="shared" si="2"/>
        <v>12.173124090230312</v>
      </c>
      <c r="F22" s="1">
        <v>38</v>
      </c>
      <c r="G22" s="4">
        <v>12.47</v>
      </c>
      <c r="H22" s="7">
        <f t="shared" ref="H22:H26" si="5">G22/E22</f>
        <v>1.0243878159434807</v>
      </c>
      <c r="I22" s="4" t="s">
        <v>1</v>
      </c>
      <c r="J22" s="13"/>
    </row>
    <row r="23" spans="1:10" x14ac:dyDescent="0.25">
      <c r="A23" s="1">
        <v>13</v>
      </c>
      <c r="B23" s="1">
        <v>600</v>
      </c>
      <c r="C23" s="4">
        <f t="shared" si="0"/>
        <v>0.6</v>
      </c>
      <c r="D23" s="4">
        <f t="shared" si="1"/>
        <v>7.8833267638943632</v>
      </c>
      <c r="E23" s="7">
        <f t="shared" si="2"/>
        <v>12.259938553860536</v>
      </c>
      <c r="F23" s="1">
        <v>41</v>
      </c>
      <c r="G23" s="4">
        <v>13.24</v>
      </c>
      <c r="H23" s="7">
        <f t="shared" si="5"/>
        <v>1.0799401597188962</v>
      </c>
      <c r="I23" s="4" t="s">
        <v>1</v>
      </c>
      <c r="J23" s="13"/>
    </row>
    <row r="24" spans="1:10" x14ac:dyDescent="0.25">
      <c r="A24" s="1">
        <v>14</v>
      </c>
      <c r="B24" s="1">
        <v>650</v>
      </c>
      <c r="C24" s="4">
        <f t="shared" si="0"/>
        <v>0.65</v>
      </c>
      <c r="D24" s="4">
        <f t="shared" si="1"/>
        <v>8.540270660885561</v>
      </c>
      <c r="E24" s="7">
        <f t="shared" si="2"/>
        <v>12.348000172549378</v>
      </c>
      <c r="F24" s="1">
        <v>44</v>
      </c>
      <c r="G24" s="4">
        <v>14.43</v>
      </c>
      <c r="H24" s="7">
        <f t="shared" si="5"/>
        <v>1.1686102849333513</v>
      </c>
      <c r="I24" s="4" t="s">
        <v>1</v>
      </c>
      <c r="J24" s="13"/>
    </row>
    <row r="25" spans="1:10" x14ac:dyDescent="0.25">
      <c r="A25" s="1">
        <v>15</v>
      </c>
      <c r="B25" s="1">
        <v>700</v>
      </c>
      <c r="C25" s="4">
        <f t="shared" si="0"/>
        <v>0.7</v>
      </c>
      <c r="D25" s="4">
        <f t="shared" si="1"/>
        <v>9.197214557876757</v>
      </c>
      <c r="E25" s="7">
        <f t="shared" si="2"/>
        <v>12.437336015209986</v>
      </c>
      <c r="F25" s="1">
        <v>46</v>
      </c>
      <c r="G25" s="4">
        <v>15.06</v>
      </c>
      <c r="H25" s="7">
        <f t="shared" si="5"/>
        <v>1.2108702363257438</v>
      </c>
      <c r="I25" s="4" t="s">
        <v>1</v>
      </c>
      <c r="J25" s="13"/>
    </row>
    <row r="26" spans="1:10" x14ac:dyDescent="0.25">
      <c r="A26" s="1">
        <v>16</v>
      </c>
      <c r="B26" s="1">
        <v>750</v>
      </c>
      <c r="C26" s="4">
        <f t="shared" si="0"/>
        <v>0.75</v>
      </c>
      <c r="D26" s="4">
        <f t="shared" si="1"/>
        <v>9.8541584548679548</v>
      </c>
      <c r="E26" s="7">
        <f t="shared" si="2"/>
        <v>12.527973939821633</v>
      </c>
      <c r="F26" s="1">
        <v>49</v>
      </c>
      <c r="G26" s="4">
        <v>16</v>
      </c>
      <c r="H26" s="7">
        <f t="shared" si="5"/>
        <v>1.2771418648263726</v>
      </c>
      <c r="I26" s="4" t="s">
        <v>1</v>
      </c>
      <c r="J26" s="13"/>
    </row>
    <row r="27" spans="1:10" x14ac:dyDescent="0.25">
      <c r="A27" s="1">
        <v>17</v>
      </c>
      <c r="B27" s="1">
        <v>800</v>
      </c>
      <c r="C27" s="4">
        <f t="shared" si="0"/>
        <v>0.8</v>
      </c>
      <c r="D27" s="4">
        <f t="shared" si="1"/>
        <v>10.511102351859151</v>
      </c>
      <c r="E27" s="7">
        <f t="shared" si="2"/>
        <v>12.619942622392632</v>
      </c>
      <c r="F27" s="1">
        <v>53</v>
      </c>
      <c r="G27" s="4">
        <v>17.22</v>
      </c>
      <c r="H27" s="7">
        <f t="shared" ref="H27:H42" si="6">G27/E27</f>
        <v>1.3645069962081362</v>
      </c>
      <c r="I27" s="4" t="s">
        <v>1</v>
      </c>
      <c r="J27" s="13"/>
    </row>
    <row r="28" spans="1:10" x14ac:dyDescent="0.25">
      <c r="A28" s="1">
        <v>18</v>
      </c>
      <c r="B28" s="1">
        <v>850</v>
      </c>
      <c r="C28" s="4">
        <f t="shared" si="0"/>
        <v>0.85</v>
      </c>
      <c r="D28" s="4">
        <f t="shared" si="1"/>
        <v>11.168046248850349</v>
      </c>
      <c r="E28" s="7">
        <f t="shared" si="2"/>
        <v>12.713271587208434</v>
      </c>
      <c r="F28" s="1">
        <v>55</v>
      </c>
      <c r="G28" s="4">
        <v>17.88</v>
      </c>
      <c r="H28" s="7">
        <f t="shared" si="6"/>
        <v>1.4064043135828321</v>
      </c>
      <c r="I28" s="4" t="s">
        <v>1</v>
      </c>
      <c r="J28" s="13"/>
    </row>
    <row r="29" spans="1:10" x14ac:dyDescent="0.25">
      <c r="A29" s="1">
        <v>19</v>
      </c>
      <c r="B29" s="1">
        <v>900</v>
      </c>
      <c r="C29" s="4">
        <f t="shared" si="0"/>
        <v>0.9</v>
      </c>
      <c r="D29" s="4">
        <f t="shared" si="1"/>
        <v>11.824990145841547</v>
      </c>
      <c r="E29" s="7">
        <f t="shared" si="2"/>
        <v>12.807991238431862</v>
      </c>
      <c r="F29" s="1">
        <v>57</v>
      </c>
      <c r="G29" s="4">
        <v>18.66</v>
      </c>
      <c r="H29" s="7">
        <f t="shared" si="6"/>
        <v>1.4569029329133603</v>
      </c>
      <c r="I29" s="4" t="s">
        <v>1</v>
      </c>
      <c r="J29" s="13"/>
    </row>
    <row r="30" spans="1:10" x14ac:dyDescent="0.25">
      <c r="A30" s="1">
        <v>20</v>
      </c>
      <c r="B30" s="1">
        <v>950</v>
      </c>
      <c r="C30" s="4">
        <f t="shared" si="0"/>
        <v>0.95</v>
      </c>
      <c r="D30" s="4">
        <f t="shared" si="1"/>
        <v>12.481934042832741</v>
      </c>
      <c r="E30" s="7">
        <f t="shared" si="2"/>
        <v>12.904132893126592</v>
      </c>
      <c r="F30" s="1">
        <v>60</v>
      </c>
      <c r="G30" s="4">
        <v>19.420000000000002</v>
      </c>
      <c r="H30" s="7">
        <f t="shared" si="6"/>
        <v>1.5049442036003904</v>
      </c>
      <c r="I30" s="4" t="s">
        <v>1</v>
      </c>
      <c r="J30" s="13"/>
    </row>
    <row r="31" spans="1:10" x14ac:dyDescent="0.25">
      <c r="A31" s="1">
        <v>21</v>
      </c>
      <c r="B31" s="1">
        <v>1000</v>
      </c>
      <c r="C31" s="4">
        <f t="shared" si="0"/>
        <v>1</v>
      </c>
      <c r="D31" s="4">
        <f t="shared" si="1"/>
        <v>13.13887793982394</v>
      </c>
      <c r="E31" s="7">
        <f t="shared" si="2"/>
        <v>13.001728815779188</v>
      </c>
      <c r="F31" s="2">
        <v>63</v>
      </c>
      <c r="G31" s="4">
        <v>20.39</v>
      </c>
      <c r="H31" s="7">
        <f t="shared" si="6"/>
        <v>1.5682529830382435</v>
      </c>
      <c r="I31" s="4" t="s">
        <v>1</v>
      </c>
    </row>
    <row r="32" spans="1:10" x14ac:dyDescent="0.25">
      <c r="A32" s="1">
        <v>22</v>
      </c>
      <c r="B32" s="1">
        <v>1050</v>
      </c>
      <c r="C32" s="4">
        <f t="shared" si="0"/>
        <v>1.05</v>
      </c>
      <c r="D32" s="4">
        <f t="shared" si="1"/>
        <v>13.795821836815136</v>
      </c>
      <c r="E32" s="7">
        <f t="shared" si="2"/>
        <v>13.100812254399669</v>
      </c>
      <c r="F32" s="2">
        <v>65</v>
      </c>
      <c r="G32" s="4">
        <v>21.2</v>
      </c>
      <c r="H32" s="7">
        <f t="shared" si="6"/>
        <v>1.6182202743101188</v>
      </c>
      <c r="I32" s="4" t="s">
        <v>1</v>
      </c>
    </row>
    <row r="33" spans="1:9" x14ac:dyDescent="0.25">
      <c r="A33" s="1">
        <v>23</v>
      </c>
      <c r="B33" s="1">
        <v>1100</v>
      </c>
      <c r="C33" s="4">
        <f t="shared" si="0"/>
        <v>1.1000000000000001</v>
      </c>
      <c r="D33" s="4">
        <f t="shared" si="1"/>
        <v>14.452765733806336</v>
      </c>
      <c r="E33" s="7">
        <f t="shared" si="2"/>
        <v>13.201417478285398</v>
      </c>
      <c r="F33" s="2">
        <v>68</v>
      </c>
      <c r="G33" s="4">
        <v>22.06</v>
      </c>
      <c r="H33" s="7">
        <f t="shared" si="6"/>
        <v>1.6710326778382554</v>
      </c>
      <c r="I33" s="4" t="s">
        <v>1</v>
      </c>
    </row>
    <row r="34" spans="1:9" x14ac:dyDescent="0.25">
      <c r="A34" s="1">
        <v>24</v>
      </c>
      <c r="B34" s="1">
        <v>1150</v>
      </c>
      <c r="C34" s="4">
        <f t="shared" si="0"/>
        <v>1.1499999999999999</v>
      </c>
      <c r="D34" s="4">
        <f t="shared" si="1"/>
        <v>15.10970963079753</v>
      </c>
      <c r="E34" s="7">
        <f t="shared" si="2"/>
        <v>13.303579817538496</v>
      </c>
      <c r="F34" s="2">
        <v>69</v>
      </c>
      <c r="G34" s="4">
        <v>22.57</v>
      </c>
      <c r="H34" s="7">
        <f t="shared" si="6"/>
        <v>1.6965358429499791</v>
      </c>
      <c r="I34" s="4" t="s">
        <v>1</v>
      </c>
    </row>
    <row r="35" spans="1:9" x14ac:dyDescent="0.25">
      <c r="A35" s="1">
        <v>25</v>
      </c>
      <c r="B35" s="1">
        <v>1200</v>
      </c>
      <c r="C35" s="4">
        <f t="shared" si="0"/>
        <v>1.2</v>
      </c>
      <c r="D35" s="4">
        <f t="shared" si="1"/>
        <v>15.766653527788726</v>
      </c>
      <c r="E35" s="7">
        <f t="shared" si="2"/>
        <v>13.407335704432416</v>
      </c>
      <c r="F35" s="2">
        <v>71</v>
      </c>
      <c r="G35" s="4">
        <v>23.23</v>
      </c>
      <c r="H35" s="7">
        <f t="shared" si="6"/>
        <v>1.7326335755373268</v>
      </c>
      <c r="I35" s="4" t="s">
        <v>1</v>
      </c>
    </row>
    <row r="36" spans="1:9" x14ac:dyDescent="0.25">
      <c r="A36" s="1">
        <v>26</v>
      </c>
      <c r="B36" s="1">
        <v>1250</v>
      </c>
      <c r="C36" s="4">
        <f t="shared" si="0"/>
        <v>1.25</v>
      </c>
      <c r="D36" s="4">
        <f t="shared" si="1"/>
        <v>16.423597424779924</v>
      </c>
      <c r="E36" s="7">
        <f t="shared" si="2"/>
        <v>13.512722716729479</v>
      </c>
      <c r="F36" s="2">
        <v>69</v>
      </c>
      <c r="G36" s="4">
        <v>22.47</v>
      </c>
      <c r="H36" s="7">
        <f t="shared" si="6"/>
        <v>1.6628773098541367</v>
      </c>
      <c r="I36" s="4" t="s">
        <v>1</v>
      </c>
    </row>
    <row r="37" spans="1:9" x14ac:dyDescent="0.25">
      <c r="A37" s="1">
        <v>27</v>
      </c>
      <c r="B37" s="1">
        <v>1300</v>
      </c>
      <c r="C37" s="4">
        <f t="shared" si="0"/>
        <v>1.3</v>
      </c>
      <c r="D37" s="4">
        <f t="shared" si="1"/>
        <v>17.080541321771122</v>
      </c>
      <c r="E37" s="7">
        <f t="shared" si="2"/>
        <v>13.619779623057555</v>
      </c>
      <c r="F37" s="2">
        <v>68</v>
      </c>
      <c r="G37" s="4">
        <v>22.05</v>
      </c>
      <c r="H37" s="7">
        <f t="shared" si="6"/>
        <v>1.6189689268298098</v>
      </c>
      <c r="I37" s="4" t="s">
        <v>1</v>
      </c>
    </row>
    <row r="38" spans="1:9" x14ac:dyDescent="0.25">
      <c r="A38" s="1">
        <v>28</v>
      </c>
      <c r="B38" s="1">
        <v>1350</v>
      </c>
      <c r="C38" s="4">
        <f t="shared" si="0"/>
        <v>1.35</v>
      </c>
      <c r="D38" s="4">
        <f t="shared" si="1"/>
        <v>17.73748521876232</v>
      </c>
      <c r="E38" s="7">
        <f t="shared" si="2"/>
        <v>13.728546430460984</v>
      </c>
      <c r="F38" s="2">
        <v>65</v>
      </c>
      <c r="G38" s="4">
        <v>21.09</v>
      </c>
      <c r="H38" s="7">
        <f t="shared" si="6"/>
        <v>1.5362150761427573</v>
      </c>
      <c r="I38" s="4" t="s">
        <v>1</v>
      </c>
    </row>
    <row r="39" spans="1:9" x14ac:dyDescent="0.25">
      <c r="A39" s="1">
        <v>29</v>
      </c>
      <c r="B39" s="1">
        <v>1400</v>
      </c>
      <c r="C39" s="4">
        <f t="shared" si="0"/>
        <v>1.4</v>
      </c>
      <c r="D39" s="4">
        <f t="shared" si="1"/>
        <v>18.394429115753514</v>
      </c>
      <c r="E39" s="7">
        <f t="shared" si="2"/>
        <v>13.839064434248304</v>
      </c>
      <c r="F39" s="2">
        <v>63</v>
      </c>
      <c r="G39" s="4">
        <v>20.46</v>
      </c>
      <c r="H39" s="7">
        <f t="shared" si="6"/>
        <v>1.478423638910626</v>
      </c>
      <c r="I39" s="4" t="s">
        <v>1</v>
      </c>
    </row>
    <row r="40" spans="1:9" x14ac:dyDescent="0.25">
      <c r="A40" s="1">
        <v>30</v>
      </c>
      <c r="B40" s="1">
        <v>1450</v>
      </c>
      <c r="C40" s="4">
        <f t="shared" si="0"/>
        <v>1.45</v>
      </c>
      <c r="D40" s="4">
        <f t="shared" si="1"/>
        <v>19.051373012744712</v>
      </c>
      <c r="E40" s="7">
        <f t="shared" si="2"/>
        <v>13.9513762702672</v>
      </c>
      <c r="F40" s="2">
        <v>62</v>
      </c>
      <c r="G40" s="4">
        <v>20.05</v>
      </c>
      <c r="H40" s="7">
        <f t="shared" si="6"/>
        <v>1.4371342017869608</v>
      </c>
      <c r="I40" s="4" t="s">
        <v>1</v>
      </c>
    </row>
    <row r="41" spans="1:9" x14ac:dyDescent="0.25">
      <c r="A41" s="1">
        <v>31</v>
      </c>
      <c r="B41" s="1">
        <v>1500</v>
      </c>
      <c r="C41" s="4">
        <f t="shared" si="0"/>
        <v>1.5</v>
      </c>
      <c r="D41" s="4">
        <f t="shared" si="1"/>
        <v>19.70831690973591</v>
      </c>
      <c r="E41" s="7">
        <f t="shared" si="2"/>
        <v>14.065525969745742</v>
      </c>
      <c r="F41" s="2">
        <v>59</v>
      </c>
      <c r="G41" s="4">
        <v>19.07</v>
      </c>
      <c r="H41" s="7">
        <f t="shared" si="6"/>
        <v>1.3557971483625024</v>
      </c>
      <c r="I41" s="4" t="s">
        <v>1</v>
      </c>
    </row>
    <row r="42" spans="1:9" x14ac:dyDescent="0.25">
      <c r="A42" s="1">
        <v>32</v>
      </c>
      <c r="B42" s="1">
        <v>1550</v>
      </c>
      <c r="C42" s="4">
        <f t="shared" si="0"/>
        <v>1.55</v>
      </c>
      <c r="D42" s="4">
        <f t="shared" si="1"/>
        <v>20.365260806727107</v>
      </c>
      <c r="E42" s="7">
        <f t="shared" si="2"/>
        <v>14.181559016848082</v>
      </c>
      <c r="F42" s="2">
        <v>56</v>
      </c>
      <c r="G42" s="4">
        <v>18.350000000000001</v>
      </c>
      <c r="H42" s="7">
        <f t="shared" si="6"/>
        <v>1.2939339023445657</v>
      </c>
      <c r="I42" s="4" t="s">
        <v>1</v>
      </c>
    </row>
    <row r="43" spans="1:9" x14ac:dyDescent="0.25">
      <c r="A43" s="12"/>
      <c r="B43" s="12"/>
      <c r="C43" s="13"/>
      <c r="G43" s="13"/>
    </row>
    <row r="44" spans="1:9" x14ac:dyDescent="0.25">
      <c r="A44" s="12"/>
      <c r="B44" s="12"/>
      <c r="C44" s="13"/>
      <c r="G44" s="13"/>
    </row>
    <row r="45" spans="1:9" x14ac:dyDescent="0.25">
      <c r="A45" s="12"/>
      <c r="B45" s="12"/>
      <c r="C45" s="13"/>
      <c r="G45" s="13"/>
    </row>
    <row r="46" spans="1:9" x14ac:dyDescent="0.25">
      <c r="A46" s="12"/>
      <c r="B46" s="12"/>
      <c r="C46" s="13"/>
      <c r="G46" s="13"/>
    </row>
    <row r="47" spans="1:9" x14ac:dyDescent="0.25">
      <c r="A47" s="12"/>
      <c r="B47" s="12"/>
      <c r="C47" s="13"/>
      <c r="G47" s="13"/>
    </row>
    <row r="48" spans="1:9" x14ac:dyDescent="0.25">
      <c r="A48" s="12"/>
      <c r="B48" s="12"/>
      <c r="C48" s="13"/>
      <c r="G48" s="13"/>
    </row>
    <row r="49" spans="1:7" x14ac:dyDescent="0.25">
      <c r="A49" s="12"/>
      <c r="B49" s="12"/>
      <c r="C49" s="13"/>
      <c r="G49" s="13"/>
    </row>
    <row r="50" spans="1:7" x14ac:dyDescent="0.25">
      <c r="A50" s="12"/>
      <c r="B50" s="12"/>
      <c r="C50" s="13"/>
      <c r="G50" s="13"/>
    </row>
    <row r="51" spans="1:7" x14ac:dyDescent="0.25">
      <c r="A51" s="12"/>
      <c r="B51" s="12"/>
      <c r="C51" s="13"/>
      <c r="G51" s="13"/>
    </row>
    <row r="52" spans="1:7" x14ac:dyDescent="0.25">
      <c r="A52" s="12"/>
      <c r="B52" s="12"/>
      <c r="C52" s="13"/>
      <c r="G52" s="13"/>
    </row>
    <row r="53" spans="1:7" x14ac:dyDescent="0.25">
      <c r="A53" s="12"/>
      <c r="B53" s="12"/>
      <c r="C53" s="13"/>
      <c r="G53" s="13"/>
    </row>
    <row r="54" spans="1:7" x14ac:dyDescent="0.25">
      <c r="A54" s="12"/>
      <c r="B54" s="12"/>
      <c r="C54" s="13"/>
      <c r="G54" s="13"/>
    </row>
    <row r="55" spans="1:7" x14ac:dyDescent="0.25">
      <c r="A55" s="12"/>
      <c r="B55" s="12"/>
      <c r="C55" s="13"/>
      <c r="G55" s="13"/>
    </row>
    <row r="56" spans="1:7" x14ac:dyDescent="0.25">
      <c r="A56" s="12"/>
      <c r="B56" s="12"/>
      <c r="C56" s="13"/>
      <c r="G56" s="13"/>
    </row>
    <row r="57" spans="1:7" x14ac:dyDescent="0.25">
      <c r="A57" s="12"/>
      <c r="B57" s="12"/>
      <c r="C57" s="13"/>
      <c r="G57" s="13"/>
    </row>
    <row r="58" spans="1:7" x14ac:dyDescent="0.25">
      <c r="A58" s="12"/>
      <c r="B58" s="12"/>
      <c r="C58" s="13"/>
      <c r="G58" s="13"/>
    </row>
    <row r="59" spans="1:7" x14ac:dyDescent="0.25">
      <c r="A59" s="12"/>
      <c r="B59" s="12"/>
      <c r="C59" s="13"/>
      <c r="G59" s="13"/>
    </row>
    <row r="60" spans="1:7" x14ac:dyDescent="0.25">
      <c r="A60" s="12"/>
      <c r="B60" s="12"/>
      <c r="C60" s="13"/>
      <c r="G60" s="13"/>
    </row>
    <row r="61" spans="1:7" x14ac:dyDescent="0.25">
      <c r="A61" s="12"/>
      <c r="B61" s="12"/>
      <c r="C61" s="13"/>
      <c r="G61" s="13"/>
    </row>
    <row r="62" spans="1:7" x14ac:dyDescent="0.25">
      <c r="A62" s="12"/>
      <c r="B62" s="12"/>
      <c r="C62" s="13"/>
      <c r="G62" s="13"/>
    </row>
    <row r="63" spans="1:7" x14ac:dyDescent="0.25">
      <c r="A63" s="12"/>
      <c r="B63" s="12"/>
      <c r="C63" s="13"/>
      <c r="G63" s="13"/>
    </row>
    <row r="64" spans="1:7" x14ac:dyDescent="0.25">
      <c r="A64" s="12"/>
      <c r="B64" s="12"/>
      <c r="C64" s="13"/>
      <c r="G64" s="13"/>
    </row>
    <row r="65" spans="1:7" x14ac:dyDescent="0.25">
      <c r="A65" s="12"/>
      <c r="B65" s="12"/>
      <c r="C65" s="13"/>
      <c r="G65" s="13"/>
    </row>
    <row r="66" spans="1:7" x14ac:dyDescent="0.25">
      <c r="A66" s="12"/>
      <c r="B66" s="12"/>
      <c r="C66" s="13"/>
      <c r="G66" s="13"/>
    </row>
    <row r="67" spans="1:7" x14ac:dyDescent="0.25">
      <c r="A67" s="12"/>
      <c r="B67" s="12"/>
      <c r="C67" s="13"/>
      <c r="G67" s="13"/>
    </row>
    <row r="68" spans="1:7" x14ac:dyDescent="0.25">
      <c r="A68" s="12"/>
      <c r="B68" s="12"/>
      <c r="C68" s="13"/>
      <c r="G68" s="13"/>
    </row>
    <row r="69" spans="1:7" x14ac:dyDescent="0.25">
      <c r="A69" s="12"/>
      <c r="B69" s="12"/>
      <c r="C69" s="13"/>
      <c r="G69" s="13"/>
    </row>
    <row r="70" spans="1:7" x14ac:dyDescent="0.25">
      <c r="A70" s="12"/>
      <c r="B70" s="12"/>
      <c r="C70" s="13"/>
      <c r="G70" s="13"/>
    </row>
    <row r="71" spans="1:7" x14ac:dyDescent="0.25">
      <c r="A71" s="12"/>
      <c r="B71" s="12"/>
      <c r="C71" s="13"/>
      <c r="G71" s="13"/>
    </row>
  </sheetData>
  <mergeCells count="18">
    <mergeCell ref="A6:C6"/>
    <mergeCell ref="F6:G6"/>
    <mergeCell ref="A4:C4"/>
    <mergeCell ref="F4:G5"/>
    <mergeCell ref="H4:H5"/>
    <mergeCell ref="I4:I5"/>
    <mergeCell ref="A5:C5"/>
    <mergeCell ref="A1:C1"/>
    <mergeCell ref="F1:I1"/>
    <mergeCell ref="A2:C2"/>
    <mergeCell ref="A3:C3"/>
    <mergeCell ref="F3:G3"/>
    <mergeCell ref="F2:G2"/>
    <mergeCell ref="A7:C7"/>
    <mergeCell ref="F7:G8"/>
    <mergeCell ref="H7:H8"/>
    <mergeCell ref="I7:I8"/>
    <mergeCell ref="A8:C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Trial_01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2026-08-07T11:31:35Z</dcterms:created>
  <dcterms:modified xsi:type="dcterms:W3CDTF">2026-09-03T09:33:14Z</dcterms:modified>
</cp:coreProperties>
</file>