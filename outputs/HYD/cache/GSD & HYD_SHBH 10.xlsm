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10. SH-220_CH_297.219 km (SBH-09 &amp; SBH-10)\GSD &amp; HYD_SHBH 10\"/>
    </mc:Choice>
  </mc:AlternateContent>
  <xr:revisionPtr revIDLastSave="0" documentId="13_ncr:1_{DC2C82E2-48EE-48E1-8334-6D9223954811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<sst xmlns="http://schemas.openxmlformats.org/spreadsheetml/2006/main" count="78" uniqueCount="57">
  <si>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</si>
  <si>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</si>
  <si>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</si>
  <si>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</si>
  <si>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</si>
  <si>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</si>
  <si>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</si>
  <si>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</si>
  <si>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</si>
  <si>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</si>
  <si>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</si>
  <si>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</si>
  <si>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</si>
  <si>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</si>
  <si>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</si>
  <si>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</si>
  <si>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</si>
  <si>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</si>
  <si>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</si>
  <si>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</si>
  <si>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</si>
  <si>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</si>
  <si>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</si>
  <si>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</si>
  <si>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</si>
  <si>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</si>
  <si>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</si>
  <si>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</si>
  <si>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</si>
  <si>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</si>
  <si>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</si>
  <si>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</si>
  <si>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</si>
  <si>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</si>
  <si>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</si>
  <si>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</si>
  <si>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</si>
  <si>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</si>
  <si>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</si>
  <si>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</si>
  <si>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</si>
  <si>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</si>
  <si>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</si>
  <si>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</si>
  <si>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</si>
  <si>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</si>
  <si>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</si>
  <si>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</si>
  <si>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</si>
  <si>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SHBH-10</t>
  </si>
  <si>
    <t>A122</t>
  </si>
  <si>
    <t>A031</t>
  </si>
  <si>
    <t>A120</t>
  </si>
  <si>
    <t>A045</t>
  </si>
  <si>
    <t>A057</t>
  </si>
  <si>
    <t>A114</t>
  </si>
  <si>
    <t>A164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</si>
</sst>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99.52</c:v>
                </c:pt>
                <c:pt idx="2">
                  <c:v>99.37</c:v>
                </c:pt>
                <c:pt idx="3">
                  <c:v>99.01</c:v>
                </c:pt>
                <c:pt idx="4">
                  <c:v>98.51</c:v>
                </c:pt>
                <c:pt idx="5">
                  <c:v>98.08</c:v>
                </c:pt>
                <c:pt idx="6">
                  <c:v>90.23</c:v>
                </c:pt>
                <c:pt idx="7">
                  <c:v>79.009999999999991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95.86</c:v>
                </c:pt>
                <c:pt idx="1">
                  <c:v>95.53</c:v>
                </c:pt>
                <c:pt idx="2">
                  <c:v>95.344999999999999</c:v>
                </c:pt>
                <c:pt idx="3">
                  <c:v>94.254999999999995</c:v>
                </c:pt>
                <c:pt idx="4">
                  <c:v>92.944999999999993</c:v>
                </c:pt>
                <c:pt idx="5">
                  <c:v>91.76</c:v>
                </c:pt>
                <c:pt idx="6">
                  <c:v>83.39</c:v>
                </c:pt>
                <c:pt idx="7">
                  <c:v>69.545000000000002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99.84</c:v>
                </c:pt>
                <c:pt idx="1">
                  <c:v>98.83</c:v>
                </c:pt>
                <c:pt idx="2">
                  <c:v>98.34</c:v>
                </c:pt>
                <c:pt idx="3">
                  <c:v>97.65</c:v>
                </c:pt>
                <c:pt idx="4">
                  <c:v>97.22</c:v>
                </c:pt>
                <c:pt idx="5">
                  <c:v>96.78</c:v>
                </c:pt>
                <c:pt idx="6">
                  <c:v>90.27</c:v>
                </c:pt>
                <c:pt idx="7">
                  <c:v>75.2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100</c:v>
                </c:pt>
                <c:pt idx="1">
                  <c:v>99.31</c:v>
                </c:pt>
                <c:pt idx="2">
                  <c:v>98.784999999999997</c:v>
                </c:pt>
                <c:pt idx="3">
                  <c:v>97.385000000000005</c:v>
                </c:pt>
                <c:pt idx="4">
                  <c:v>95.325000000000003</c:v>
                </c:pt>
                <c:pt idx="5">
                  <c:v>93.39</c:v>
                </c:pt>
                <c:pt idx="6">
                  <c:v>74.83</c:v>
                </c:pt>
                <c:pt idx="7">
                  <c:v>66.715000000000003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99.85</c:v>
                </c:pt>
                <c:pt idx="1">
                  <c:v>98.79</c:v>
                </c:pt>
                <c:pt idx="2">
                  <c:v>98.55</c:v>
                </c:pt>
                <c:pt idx="3">
                  <c:v>98.05</c:v>
                </c:pt>
                <c:pt idx="4">
                  <c:v>97.47</c:v>
                </c:pt>
                <c:pt idx="5">
                  <c:v>97.03</c:v>
                </c:pt>
                <c:pt idx="6">
                  <c:v>91.52</c:v>
                </c:pt>
                <c:pt idx="7">
                  <c:v>74.98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99.92</c:v>
                </c:pt>
                <c:pt idx="1">
                  <c:v>99.28</c:v>
                </c:pt>
                <c:pt idx="2">
                  <c:v>99.064999999999998</c:v>
                </c:pt>
                <c:pt idx="3">
                  <c:v>98.14</c:v>
                </c:pt>
                <c:pt idx="4">
                  <c:v>96.67</c:v>
                </c:pt>
                <c:pt idx="5">
                  <c:v>95.38</c:v>
                </c:pt>
                <c:pt idx="6">
                  <c:v>81.905000000000001</c:v>
                </c:pt>
                <c:pt idx="7">
                  <c:v>68.52000000000001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100</c:v>
                </c:pt>
                <c:pt idx="1">
                  <c:v>99.68</c:v>
                </c:pt>
                <c:pt idx="2">
                  <c:v>99.56</c:v>
                </c:pt>
                <c:pt idx="3">
                  <c:v>99.2</c:v>
                </c:pt>
                <c:pt idx="4">
                  <c:v>98.75</c:v>
                </c:pt>
                <c:pt idx="5">
                  <c:v>98.31</c:v>
                </c:pt>
                <c:pt idx="6">
                  <c:v>93.37</c:v>
                </c:pt>
                <c:pt idx="7">
                  <c:v>77.31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99.52</c:v>
                </c:pt>
                <c:pt idx="2">
                  <c:v>99.37</c:v>
                </c:pt>
                <c:pt idx="3">
                  <c:v>99.01</c:v>
                </c:pt>
                <c:pt idx="4">
                  <c:v>98.51</c:v>
                </c:pt>
                <c:pt idx="5">
                  <c:v>98.08</c:v>
                </c:pt>
                <c:pt idx="6">
                  <c:v>90.23</c:v>
                </c:pt>
                <c:pt idx="7">
                  <c:v>79.009999999999991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95.86</c:v>
                </c:pt>
                <c:pt idx="1">
                  <c:v>95.53</c:v>
                </c:pt>
                <c:pt idx="2">
                  <c:v>95.344999999999999</c:v>
                </c:pt>
                <c:pt idx="3">
                  <c:v>94.254999999999995</c:v>
                </c:pt>
                <c:pt idx="4">
                  <c:v>92.944999999999993</c:v>
                </c:pt>
                <c:pt idx="5">
                  <c:v>91.76</c:v>
                </c:pt>
                <c:pt idx="6">
                  <c:v>83.39</c:v>
                </c:pt>
                <c:pt idx="7">
                  <c:v>69.545000000000002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99.84</c:v>
                </c:pt>
                <c:pt idx="1">
                  <c:v>98.83</c:v>
                </c:pt>
                <c:pt idx="2">
                  <c:v>98.34</c:v>
                </c:pt>
                <c:pt idx="3">
                  <c:v>97.65</c:v>
                </c:pt>
                <c:pt idx="4">
                  <c:v>97.22</c:v>
                </c:pt>
                <c:pt idx="5">
                  <c:v>96.78</c:v>
                </c:pt>
                <c:pt idx="6">
                  <c:v>90.27</c:v>
                </c:pt>
                <c:pt idx="7">
                  <c:v>75.2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100</c:v>
                </c:pt>
                <c:pt idx="1">
                  <c:v>99.31</c:v>
                </c:pt>
                <c:pt idx="2">
                  <c:v>98.784999999999997</c:v>
                </c:pt>
                <c:pt idx="3">
                  <c:v>97.385000000000005</c:v>
                </c:pt>
                <c:pt idx="4">
                  <c:v>95.325000000000003</c:v>
                </c:pt>
                <c:pt idx="5">
                  <c:v>93.39</c:v>
                </c:pt>
                <c:pt idx="6">
                  <c:v>74.83</c:v>
                </c:pt>
                <c:pt idx="7">
                  <c:v>66.715000000000003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99.85</c:v>
                </c:pt>
                <c:pt idx="1">
                  <c:v>98.79</c:v>
                </c:pt>
                <c:pt idx="2">
                  <c:v>98.55</c:v>
                </c:pt>
                <c:pt idx="3">
                  <c:v>98.05</c:v>
                </c:pt>
                <c:pt idx="4">
                  <c:v>97.47</c:v>
                </c:pt>
                <c:pt idx="5">
                  <c:v>97.03</c:v>
                </c:pt>
                <c:pt idx="6">
                  <c:v>91.52</c:v>
                </c:pt>
                <c:pt idx="7">
                  <c:v>74.98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99.92</c:v>
                </c:pt>
                <c:pt idx="1">
                  <c:v>99.28</c:v>
                </c:pt>
                <c:pt idx="2">
                  <c:v>99.064999999999998</c:v>
                </c:pt>
                <c:pt idx="3">
                  <c:v>98.14</c:v>
                </c:pt>
                <c:pt idx="4">
                  <c:v>96.67</c:v>
                </c:pt>
                <c:pt idx="5">
                  <c:v>95.38</c:v>
                </c:pt>
                <c:pt idx="6">
                  <c:v>81.905000000000001</c:v>
                </c:pt>
                <c:pt idx="7">
                  <c:v>68.52000000000001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99.68</c:v>
                </c:pt>
                <c:pt idx="2">
                  <c:v>99.56</c:v>
                </c:pt>
                <c:pt idx="3">
                  <c:v>99.2</c:v>
                </c:pt>
                <c:pt idx="4">
                  <c:v>98.75</c:v>
                </c:pt>
                <c:pt idx="5">
                  <c:v>98.31</c:v>
                </c:pt>
                <c:pt idx="6">
                  <c:v>93.37</c:v>
                </c:pt>
                <c:pt idx="7">
                  <c:v>77.31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15" zoomScaleNormal="85" zoomScaleSheetLayoutView="115" zoomScalePageLayoutView="85" workbookViewId="0">
      <selection activeCell="J4" sqref="J4:R4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6" width="9" style="1" customWidth="1"/>
    <col min="27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49</v>
      </c>
      <c r="C5" s="71"/>
      <c r="D5" s="72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79.009999999999991</v>
      </c>
      <c r="J5" s="24">
        <v>0</v>
      </c>
      <c r="K5" s="24">
        <v>0.48</v>
      </c>
      <c r="L5" s="24">
        <v>0.15</v>
      </c>
      <c r="M5" s="24">
        <v>0.36</v>
      </c>
      <c r="N5" s="24">
        <v>0.5</v>
      </c>
      <c r="O5" s="24">
        <v>0.43</v>
      </c>
      <c r="P5" s="24">
        <v>7.85</v>
      </c>
      <c r="Q5" s="24">
        <v>11.22</v>
      </c>
      <c r="R5" s="10"/>
      <c r="S5" s="11">
        <f t="shared" ref="S5:S11" si="0">((H5-(SUM(J5)))/H5)*100</f>
        <v>100</v>
      </c>
      <c r="T5" s="11">
        <f t="shared" ref="T5:T11" si="1">((H5-(SUM(J5:K5)))/H5)*100</f>
        <v>99.52</v>
      </c>
      <c r="U5" s="11">
        <f t="shared" ref="U5:U11" si="2">((H5-(SUM(J5:L5)))/H5)*100</f>
        <v>99.37</v>
      </c>
      <c r="V5" s="11">
        <f t="shared" ref="V5:V11" si="3">((H5-(SUM(J5:M5)))/H5)*100</f>
        <v>99.01</v>
      </c>
      <c r="W5" s="11">
        <f t="shared" ref="W5:W11" si="4">((H5-(SUM(J5:N5)))/H5)*100</f>
        <v>98.51</v>
      </c>
      <c r="X5" s="11">
        <f t="shared" ref="X5:X11" si="5">((H5-(SUM(J5:O5)))/H5)*100</f>
        <v>98.08</v>
      </c>
      <c r="Y5" s="11">
        <f t="shared" ref="Y5:Y11" si="6">((H5-(SUM(J5:P5)))/H5)*100</f>
        <v>90.23</v>
      </c>
      <c r="Z5" s="11">
        <f t="shared" ref="Z5:Z11" si="7">((H5-(SUM(J5:Q5)))/H5)*100</f>
        <v>79.009999999999991</v>
      </c>
      <c r="AA5" s="11">
        <f t="shared" ref="AA5:AA11" si="8">100-S5</f>
        <v>0</v>
      </c>
      <c r="AB5" s="11">
        <f t="shared" ref="AB5:AB11" si="9">S5-Z5</f>
        <v>20.990000000000009</v>
      </c>
      <c r="AC5" s="11">
        <f t="shared" ref="AC5:AC11" si="10">Z5</f>
        <v>79.009999999999991</v>
      </c>
    </row>
    <row r="6" spans="1:29" ht="30" customHeight="1" x14ac:dyDescent="0.25">
      <c r="A6" s="9">
        <v>2</v>
      </c>
      <c r="B6" s="71"/>
      <c r="C6" s="71"/>
      <c r="D6" s="72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1" si="11">H6-SUM(J6:Q6)</f>
        <v>139.09</v>
      </c>
      <c r="J6" s="24">
        <v>8.2799999999999994</v>
      </c>
      <c r="K6" s="24">
        <v>0.66</v>
      </c>
      <c r="L6" s="24">
        <v>0.37</v>
      </c>
      <c r="M6" s="24">
        <v>2.1800000000000002</v>
      </c>
      <c r="N6" s="24">
        <v>2.62</v>
      </c>
      <c r="O6" s="24">
        <v>2.37</v>
      </c>
      <c r="P6" s="24">
        <v>16.739999999999998</v>
      </c>
      <c r="Q6" s="24">
        <v>27.69</v>
      </c>
      <c r="R6" s="10"/>
      <c r="S6" s="11">
        <f t="shared" si="0"/>
        <v>95.86</v>
      </c>
      <c r="T6" s="11">
        <f t="shared" si="1"/>
        <v>95.53</v>
      </c>
      <c r="U6" s="11">
        <f t="shared" si="2"/>
        <v>95.344999999999999</v>
      </c>
      <c r="V6" s="11">
        <f t="shared" si="3"/>
        <v>94.254999999999995</v>
      </c>
      <c r="W6" s="11">
        <f t="shared" si="4"/>
        <v>92.944999999999993</v>
      </c>
      <c r="X6" s="11">
        <f t="shared" si="5"/>
        <v>91.76</v>
      </c>
      <c r="Y6" s="11">
        <f t="shared" si="6"/>
        <v>83.39</v>
      </c>
      <c r="Z6" s="11">
        <f t="shared" si="7"/>
        <v>69.545000000000002</v>
      </c>
      <c r="AA6" s="11">
        <f t="shared" si="8"/>
        <v>4.1400000000000006</v>
      </c>
      <c r="AB6" s="11">
        <f t="shared" si="9"/>
        <v>26.314999999999998</v>
      </c>
      <c r="AC6" s="11">
        <f t="shared" si="10"/>
        <v>69.545000000000002</v>
      </c>
    </row>
    <row r="7" spans="1:29" ht="30" customHeight="1" x14ac:dyDescent="0.25">
      <c r="A7" s="9">
        <v>3</v>
      </c>
      <c r="B7" s="71"/>
      <c r="C7" s="71"/>
      <c r="D7" s="72"/>
      <c r="E7" s="46" t="s">
        <v>22</v>
      </c>
      <c r="F7" s="56">
        <v>3.5</v>
      </c>
      <c r="G7" s="46" t="s">
        <v>52</v>
      </c>
      <c r="H7" s="55">
        <v>100</v>
      </c>
      <c r="I7" s="24">
        <f t="shared" si="11"/>
        <v>75.2</v>
      </c>
      <c r="J7" s="24">
        <v>0.16</v>
      </c>
      <c r="K7" s="24">
        <v>1.01</v>
      </c>
      <c r="L7" s="24">
        <v>0.49</v>
      </c>
      <c r="M7" s="24">
        <v>0.69</v>
      </c>
      <c r="N7" s="24">
        <v>0.43</v>
      </c>
      <c r="O7" s="24">
        <v>0.44</v>
      </c>
      <c r="P7" s="24">
        <v>6.51</v>
      </c>
      <c r="Q7" s="24">
        <v>15.07</v>
      </c>
      <c r="R7" s="10"/>
      <c r="S7" s="11">
        <f t="shared" si="0"/>
        <v>99.84</v>
      </c>
      <c r="T7" s="11">
        <f t="shared" si="1"/>
        <v>98.83</v>
      </c>
      <c r="U7" s="11">
        <f t="shared" si="2"/>
        <v>98.34</v>
      </c>
      <c r="V7" s="11">
        <f t="shared" si="3"/>
        <v>97.65</v>
      </c>
      <c r="W7" s="11">
        <f t="shared" si="4"/>
        <v>97.22</v>
      </c>
      <c r="X7" s="11">
        <f t="shared" si="5"/>
        <v>96.78</v>
      </c>
      <c r="Y7" s="11">
        <f t="shared" si="6"/>
        <v>90.27</v>
      </c>
      <c r="Z7" s="11">
        <f t="shared" si="7"/>
        <v>75.2</v>
      </c>
      <c r="AA7" s="11">
        <f t="shared" si="8"/>
        <v>0.15999999999999659</v>
      </c>
      <c r="AB7" s="11">
        <f t="shared" si="9"/>
        <v>24.64</v>
      </c>
      <c r="AC7" s="11">
        <f t="shared" si="10"/>
        <v>75.2</v>
      </c>
    </row>
    <row r="8" spans="1:29" ht="30" customHeight="1" x14ac:dyDescent="0.25">
      <c r="A8" s="9">
        <v>4</v>
      </c>
      <c r="B8" s="71"/>
      <c r="C8" s="71"/>
      <c r="D8" s="72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133.43</v>
      </c>
      <c r="J8" s="24">
        <v>0</v>
      </c>
      <c r="K8" s="24">
        <v>1.38</v>
      </c>
      <c r="L8" s="24">
        <v>1.05</v>
      </c>
      <c r="M8" s="24">
        <v>2.8</v>
      </c>
      <c r="N8" s="24">
        <v>4.12</v>
      </c>
      <c r="O8" s="24">
        <v>3.87</v>
      </c>
      <c r="P8" s="24">
        <v>37.119999999999997</v>
      </c>
      <c r="Q8" s="24">
        <v>16.23</v>
      </c>
      <c r="R8" s="10"/>
      <c r="S8" s="11">
        <f t="shared" si="0"/>
        <v>100</v>
      </c>
      <c r="T8" s="11">
        <f t="shared" si="1"/>
        <v>99.31</v>
      </c>
      <c r="U8" s="11">
        <f t="shared" si="2"/>
        <v>98.784999999999997</v>
      </c>
      <c r="V8" s="11">
        <f t="shared" si="3"/>
        <v>97.385000000000005</v>
      </c>
      <c r="W8" s="11">
        <f t="shared" si="4"/>
        <v>95.325000000000003</v>
      </c>
      <c r="X8" s="11">
        <f t="shared" si="5"/>
        <v>93.39</v>
      </c>
      <c r="Y8" s="11">
        <f t="shared" si="6"/>
        <v>74.83</v>
      </c>
      <c r="Z8" s="11">
        <f t="shared" si="7"/>
        <v>66.715000000000003</v>
      </c>
      <c r="AA8" s="11">
        <f t="shared" si="8"/>
        <v>0</v>
      </c>
      <c r="AB8" s="11">
        <f t="shared" si="9"/>
        <v>33.284999999999997</v>
      </c>
      <c r="AC8" s="11">
        <f t="shared" si="10"/>
        <v>66.715000000000003</v>
      </c>
    </row>
    <row r="9" spans="1:29" ht="30" customHeight="1" x14ac:dyDescent="0.25">
      <c r="A9" s="9">
        <v>5</v>
      </c>
      <c r="B9" s="71"/>
      <c r="C9" s="71"/>
      <c r="D9" s="72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74.98</v>
      </c>
      <c r="J9" s="24">
        <v>0.15</v>
      </c>
      <c r="K9" s="24">
        <v>1.06</v>
      </c>
      <c r="L9" s="24">
        <v>0.24</v>
      </c>
      <c r="M9" s="24">
        <v>0.5</v>
      </c>
      <c r="N9" s="24">
        <v>0.57999999999999996</v>
      </c>
      <c r="O9" s="24">
        <v>0.44</v>
      </c>
      <c r="P9" s="24">
        <v>5.51</v>
      </c>
      <c r="Q9" s="24">
        <v>16.54</v>
      </c>
      <c r="R9" s="10"/>
      <c r="S9" s="11">
        <f t="shared" si="0"/>
        <v>99.85</v>
      </c>
      <c r="T9" s="11">
        <f t="shared" si="1"/>
        <v>98.79</v>
      </c>
      <c r="U9" s="11">
        <f t="shared" si="2"/>
        <v>98.55</v>
      </c>
      <c r="V9" s="11">
        <f t="shared" si="3"/>
        <v>98.05</v>
      </c>
      <c r="W9" s="11">
        <f t="shared" si="4"/>
        <v>97.47</v>
      </c>
      <c r="X9" s="11">
        <f>((H9-(SUM(J9:O9)))/H9)*100</f>
        <v>97.03</v>
      </c>
      <c r="Y9" s="11">
        <f t="shared" si="6"/>
        <v>91.52</v>
      </c>
      <c r="Z9" s="11">
        <f t="shared" si="7"/>
        <v>74.98</v>
      </c>
      <c r="AA9" s="11">
        <f t="shared" si="8"/>
        <v>0.15000000000000568</v>
      </c>
      <c r="AB9" s="11">
        <f t="shared" si="9"/>
        <v>24.86999999999999</v>
      </c>
      <c r="AC9" s="11">
        <f t="shared" si="10"/>
        <v>74.98</v>
      </c>
    </row>
    <row r="10" spans="1:29" s="34" customFormat="1" ht="30" customHeight="1" x14ac:dyDescent="0.25">
      <c r="A10" s="42"/>
      <c r="B10" s="71"/>
      <c r="C10" s="71"/>
      <c r="D10" s="72"/>
      <c r="E10" s="46" t="s">
        <v>48</v>
      </c>
      <c r="F10" s="43">
        <v>7.5</v>
      </c>
      <c r="G10" s="47" t="s">
        <v>55</v>
      </c>
      <c r="H10" s="55">
        <v>200</v>
      </c>
      <c r="I10" s="24">
        <f t="shared" si="11"/>
        <v>137.04000000000002</v>
      </c>
      <c r="J10" s="43">
        <v>0.16</v>
      </c>
      <c r="K10" s="43">
        <v>1.28</v>
      </c>
      <c r="L10" s="43">
        <v>0.43</v>
      </c>
      <c r="M10" s="43">
        <v>1.85</v>
      </c>
      <c r="N10" s="43">
        <v>2.94</v>
      </c>
      <c r="O10" s="43">
        <v>2.58</v>
      </c>
      <c r="P10" s="43">
        <v>26.95</v>
      </c>
      <c r="Q10" s="43">
        <v>26.77</v>
      </c>
      <c r="R10" s="44"/>
      <c r="S10" s="45">
        <f t="shared" si="0"/>
        <v>99.92</v>
      </c>
      <c r="T10" s="45">
        <f t="shared" si="1"/>
        <v>99.28</v>
      </c>
      <c r="U10" s="45">
        <f t="shared" si="2"/>
        <v>99.064999999999998</v>
      </c>
      <c r="V10" s="45">
        <f t="shared" si="3"/>
        <v>98.14</v>
      </c>
      <c r="W10" s="45">
        <f t="shared" si="4"/>
        <v>96.67</v>
      </c>
      <c r="X10" s="45">
        <f t="shared" si="5"/>
        <v>95.38</v>
      </c>
      <c r="Y10" s="45">
        <f t="shared" si="6"/>
        <v>81.905000000000001</v>
      </c>
      <c r="Z10" s="45">
        <f t="shared" si="7"/>
        <v>68.52000000000001</v>
      </c>
      <c r="AA10" s="45">
        <f t="shared" si="8"/>
        <v>7.9999999999998295E-2</v>
      </c>
      <c r="AB10" s="45">
        <f t="shared" si="9"/>
        <v>31.399999999999991</v>
      </c>
      <c r="AC10" s="45">
        <f t="shared" si="10"/>
        <v>68.52000000000001</v>
      </c>
    </row>
    <row r="11" spans="1:29" ht="30" customHeight="1" x14ac:dyDescent="0.25">
      <c r="A11" s="9">
        <v>7</v>
      </c>
      <c r="B11" s="71"/>
      <c r="C11" s="71"/>
      <c r="D11" s="72"/>
      <c r="E11" s="46" t="s">
        <v>22</v>
      </c>
      <c r="F11" s="24">
        <v>10</v>
      </c>
      <c r="G11" s="46" t="s">
        <v>56</v>
      </c>
      <c r="H11" s="55">
        <v>100</v>
      </c>
      <c r="I11" s="24">
        <f t="shared" si="11"/>
        <v>77.31</v>
      </c>
      <c r="J11" s="24">
        <v>0</v>
      </c>
      <c r="K11" s="24">
        <v>0.32</v>
      </c>
      <c r="L11" s="24">
        <v>0.12</v>
      </c>
      <c r="M11" s="24">
        <v>0.36</v>
      </c>
      <c r="N11" s="24">
        <v>0.45</v>
      </c>
      <c r="O11" s="24">
        <v>0.44</v>
      </c>
      <c r="P11" s="24">
        <v>4.9400000000000004</v>
      </c>
      <c r="Q11" s="24">
        <v>16.059999999999999</v>
      </c>
      <c r="R11" s="10"/>
      <c r="S11" s="11">
        <f t="shared" si="0"/>
        <v>100</v>
      </c>
      <c r="T11" s="11">
        <f t="shared" si="1"/>
        <v>99.68</v>
      </c>
      <c r="U11" s="11">
        <f t="shared" si="2"/>
        <v>99.56</v>
      </c>
      <c r="V11" s="11">
        <f t="shared" si="3"/>
        <v>99.2</v>
      </c>
      <c r="W11" s="11">
        <f t="shared" si="4"/>
        <v>98.75</v>
      </c>
      <c r="X11" s="11">
        <f t="shared" si="5"/>
        <v>98.31</v>
      </c>
      <c r="Y11" s="11">
        <f t="shared" si="6"/>
        <v>93.37</v>
      </c>
      <c r="Z11" s="11">
        <f t="shared" si="7"/>
        <v>77.31</v>
      </c>
      <c r="AA11" s="11">
        <f t="shared" si="8"/>
        <v>0</v>
      </c>
      <c r="AB11" s="11">
        <f t="shared" si="9"/>
        <v>22.689999999999998</v>
      </c>
      <c r="AC11" s="11">
        <f t="shared" si="10"/>
        <v>77.31</v>
      </c>
    </row>
  </sheetData>
  <mergeCells count="21">
    <mergeCell ref="J2:R2"/>
    <mergeCell ref="S2:Z2"/>
    <mergeCell ref="B5:B11"/>
    <mergeCell ref="C5:C11"/>
    <mergeCell ref="D5:D11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J18" sqref="J18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SHBH-10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SHBH-10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SHBH-10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SHBH-10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SHBH-10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SHBH-10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SHBH-10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K16" sqref="K16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SHBH-10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100</v>
      </c>
      <c r="Z3" s="52">
        <f>GSD!T5</f>
        <v>99.52</v>
      </c>
      <c r="AA3" s="52">
        <f>GSD!U5</f>
        <v>99.37</v>
      </c>
      <c r="AB3" s="52">
        <f>GSD!V5</f>
        <v>99.01</v>
      </c>
      <c r="AC3" s="52">
        <f>GSD!W5</f>
        <v>98.51</v>
      </c>
      <c r="AD3" s="52">
        <f>GSD!X5</f>
        <v>98.08</v>
      </c>
      <c r="AE3" s="52">
        <f>GSD!Y5</f>
        <v>90.23</v>
      </c>
      <c r="AF3" s="52">
        <f>GSD!Z5</f>
        <v>79.009999999999991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SHBH-10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95.86</v>
      </c>
      <c r="Z4" s="52">
        <f>GSD!T6</f>
        <v>95.53</v>
      </c>
      <c r="AA4" s="52">
        <f>GSD!U6</f>
        <v>95.344999999999999</v>
      </c>
      <c r="AB4" s="52">
        <f>GSD!V6</f>
        <v>94.254999999999995</v>
      </c>
      <c r="AC4" s="52">
        <f>GSD!W6</f>
        <v>92.944999999999993</v>
      </c>
      <c r="AD4" s="52">
        <f>GSD!X6</f>
        <v>91.76</v>
      </c>
      <c r="AE4" s="52">
        <f>GSD!Y6</f>
        <v>83.39</v>
      </c>
      <c r="AF4" s="52">
        <f>GSD!Z6</f>
        <v>69.545000000000002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9" si="0">B4</f>
        <v>SHBH-10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99.84</v>
      </c>
      <c r="Z5" s="52">
        <f>GSD!T7</f>
        <v>98.83</v>
      </c>
      <c r="AA5" s="52">
        <f>GSD!U7</f>
        <v>98.34</v>
      </c>
      <c r="AB5" s="52">
        <f>GSD!V7</f>
        <v>97.65</v>
      </c>
      <c r="AC5" s="52">
        <f>GSD!W7</f>
        <v>97.22</v>
      </c>
      <c r="AD5" s="52">
        <f>GSD!X7</f>
        <v>96.78</v>
      </c>
      <c r="AE5" s="52">
        <f>GSD!Y7</f>
        <v>90.27</v>
      </c>
      <c r="AF5" s="52">
        <f>GSD!Z7</f>
        <v>75.2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SHBH-10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100</v>
      </c>
      <c r="Z6" s="52">
        <f>GSD!T8</f>
        <v>99.31</v>
      </c>
      <c r="AA6" s="52">
        <f>GSD!U8</f>
        <v>98.784999999999997</v>
      </c>
      <c r="AB6" s="52">
        <f>GSD!V8</f>
        <v>97.385000000000005</v>
      </c>
      <c r="AC6" s="52">
        <f>GSD!W8</f>
        <v>95.325000000000003</v>
      </c>
      <c r="AD6" s="52">
        <f>GSD!X8</f>
        <v>93.39</v>
      </c>
      <c r="AE6" s="52">
        <f>GSD!Y8</f>
        <v>74.83</v>
      </c>
      <c r="AF6" s="52">
        <f>GSD!Z8</f>
        <v>66.715000000000003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SHBH-10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99.85</v>
      </c>
      <c r="Z7" s="52">
        <f>GSD!T9</f>
        <v>98.79</v>
      </c>
      <c r="AA7" s="52">
        <f>GSD!U9</f>
        <v>98.55</v>
      </c>
      <c r="AB7" s="52">
        <f>GSD!V9</f>
        <v>98.05</v>
      </c>
      <c r="AC7" s="52">
        <f>GSD!W9</f>
        <v>97.47</v>
      </c>
      <c r="AD7" s="52">
        <f>GSD!X9</f>
        <v>97.03</v>
      </c>
      <c r="AE7" s="52">
        <f>GSD!Y9</f>
        <v>91.52</v>
      </c>
      <c r="AF7" s="52">
        <f>GSD!Z9</f>
        <v>74.98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SHBH-10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99.92</v>
      </c>
      <c r="Z8" s="52">
        <f>GSD!T10</f>
        <v>99.28</v>
      </c>
      <c r="AA8" s="52">
        <f>GSD!U10</f>
        <v>99.064999999999998</v>
      </c>
      <c r="AB8" s="52">
        <f>GSD!V10</f>
        <v>98.14</v>
      </c>
      <c r="AC8" s="52">
        <f>GSD!W10</f>
        <v>96.67</v>
      </c>
      <c r="AD8" s="52">
        <f>GSD!X10</f>
        <v>95.38</v>
      </c>
      <c r="AE8" s="52">
        <f>GSD!Y10</f>
        <v>81.905000000000001</v>
      </c>
      <c r="AF8" s="52">
        <f>GSD!Z10</f>
        <v>68.52000000000001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SHBH-10</v>
      </c>
      <c r="C9" s="49">
        <f>GSD!F11</f>
        <v>10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100</v>
      </c>
      <c r="Z9" s="52">
        <f>GSD!T11</f>
        <v>99.68</v>
      </c>
      <c r="AA9" s="52">
        <f>GSD!U11</f>
        <v>99.56</v>
      </c>
      <c r="AB9" s="52">
        <f>GSD!V11</f>
        <v>99.2</v>
      </c>
      <c r="AC9" s="52">
        <f>GSD!W11</f>
        <v>98.75</v>
      </c>
      <c r="AD9" s="52">
        <f>GSD!X11</f>
        <v>98.31</v>
      </c>
      <c r="AE9" s="52">
        <f>GSD!Y11</f>
        <v>93.37</v>
      </c>
      <c r="AF9" s="52">
        <f>GSD!Z11</f>
        <v>77.31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/>
      <c r="B10" s="48"/>
      <c r="C10" s="49"/>
      <c r="D10" s="50"/>
      <c r="E10" s="50"/>
      <c r="F10" s="50"/>
      <c r="G10" s="50"/>
      <c r="H10" s="50"/>
      <c r="I10" s="50"/>
      <c r="J10" s="50"/>
      <c r="K10" s="50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4"/>
      <c r="AU10" s="54"/>
      <c r="AV10" s="54"/>
      <c r="AW10" s="54"/>
    </row>
    <row r="11" spans="1:49" s="41" customFormat="1" x14ac:dyDescent="0.25">
      <c r="A11" s="48"/>
      <c r="B11" s="48"/>
      <c r="C11" s="49"/>
      <c r="D11" s="50"/>
      <c r="E11" s="50"/>
      <c r="F11" s="50"/>
      <c r="G11" s="50"/>
      <c r="H11" s="50"/>
      <c r="I11" s="50"/>
      <c r="J11" s="50"/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2026-09-18T09:51:57Z</dcterms:modified>
</cp:coreProperties>
</file>