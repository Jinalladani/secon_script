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2\14. Nala_180.342km (NBH-04)\GSD &amp; HYD_TEST\"/>
    </mc:Choice>
  </mc:AlternateContent>
  <xr:revisionPtr revIDLastSave="0" documentId="13_ncr:1_{2011A9AF-EF02-4E6E-9CB8-1C0DB4864C86}" xr6:coauthVersionLast="47" xr6:coauthVersionMax="47" xr10:uidLastSave="{00000000-0000-0000-0000-000000000000}"/>
  <bookViews>
    <workbookView xWindow="-108" yWindow="-108" windowWidth="23256" windowHeight="13896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6" l="1"/>
  <c r="B10" i="6" s="1"/>
  <c r="C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C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K11" i="8"/>
  <c r="K12" i="8"/>
  <c r="B11" i="8"/>
  <c r="B12" i="8" s="1"/>
  <c r="C11" i="8"/>
  <c r="D11" i="8"/>
  <c r="F11" i="8"/>
  <c r="C12" i="8"/>
  <c r="D12" i="8"/>
  <c r="F12" i="8"/>
  <c r="I11" i="7"/>
  <c r="Q11" i="7"/>
  <c r="R11" i="7"/>
  <c r="S11" i="7"/>
  <c r="T11" i="7"/>
  <c r="U11" i="7"/>
  <c r="V11" i="7"/>
  <c r="X11" i="7" s="1"/>
  <c r="W11" i="7"/>
  <c r="V12" i="7"/>
  <c r="Y12" i="7" s="1"/>
  <c r="U12" i="7"/>
  <c r="T12" i="7"/>
  <c r="S12" i="7"/>
  <c r="R12" i="7"/>
  <c r="Q12" i="7"/>
  <c r="W12" i="7" s="1"/>
  <c r="I12" i="7"/>
  <c r="I10" i="7"/>
  <c r="I9" i="7"/>
  <c r="I8" i="7"/>
  <c r="I7" i="7"/>
  <c r="I6" i="7"/>
  <c r="I5" i="7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3" i="6"/>
  <c r="B3" i="6"/>
  <c r="B4" i="6" s="1"/>
  <c r="B5" i="6" s="1"/>
  <c r="B6" i="6" s="1"/>
  <c r="B7" i="6" s="1"/>
  <c r="B8" i="6" s="1"/>
  <c r="D6" i="8"/>
  <c r="D7" i="8"/>
  <c r="D8" i="8"/>
  <c r="D9" i="8"/>
  <c r="D10" i="8"/>
  <c r="D5" i="8"/>
  <c r="C6" i="8"/>
  <c r="C7" i="8"/>
  <c r="C8" i="8"/>
  <c r="C9" i="8"/>
  <c r="C10" i="8"/>
  <c r="C5" i="8"/>
  <c r="B5" i="8"/>
  <c r="B6" i="8" s="1"/>
  <c r="B7" i="8" s="1"/>
  <c r="B8" i="8" s="1"/>
  <c r="B9" i="8" s="1"/>
  <c r="B10" i="8" s="1"/>
  <c r="Y11" i="7" l="1"/>
  <c r="X12" i="7"/>
  <c r="X5" i="7"/>
  <c r="W5" i="7"/>
  <c r="Y5" i="7"/>
  <c r="W3" i="6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10" i="7" l="1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4" i="6"/>
  <c r="W6" i="7"/>
  <c r="X6" i="7"/>
  <c r="W5" i="6"/>
  <c r="X7" i="7"/>
  <c r="W7" i="7"/>
  <c r="Y6" i="7"/>
  <c r="AB4" i="6"/>
  <c r="AB5" i="6"/>
  <c r="Y7" i="7"/>
  <c r="Y8" i="7"/>
  <c r="AB6" i="6"/>
  <c r="AB7" i="6"/>
  <c r="Y9" i="7"/>
  <c r="Y10" i="7"/>
  <c r="AB8" i="6"/>
</calcChain>
</file>

<file path=xl/sharedStrings.xml><?xml version="1.0" encoding="utf-8"?>
<sst xmlns="http://schemas.openxmlformats.org/spreadsheetml/2006/main" count="72" uniqueCount="50">
  <si>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</si>
  <si>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</si>
  <si>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</si>
  <si>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</si>
  <si>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</si>
  <si>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</si>
  <si>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</si>
  <si>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</si>
  <si>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</si>
  <si>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</si>
  <si>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</si>
  <si>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</si>
  <si>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</si>
  <si>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</si>
  <si>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</si>
  <si>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</si>
  <si>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</si>
  <si>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</si>
  <si>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</si>
  <si>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</si>
  <si>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</si>
  <si>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</si>
  <si>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</si>
  <si>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</si>
  <si>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</si>
  <si>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</si>
  <si>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</si>
  <si>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</si>
  <si>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</si>
  <si>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</si>
  <si>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</si>
  <si>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</si>
  <si>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</si>
  <si>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</si>
  <si>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</si>
  <si>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</si>
  <si>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</si>
  <si>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</si>
  <si>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</si>
  <si>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</si>
  <si>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</si>
  <si>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</si>
  <si>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</si>
  <si>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</si>
  <si>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</si>
  <si>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</si>
  <si>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</si>
  <si>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</si>
  <si>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</si>
  <si>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>NBH-04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</si>
</sst>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9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99.82</c:v>
                </c:pt>
                <c:pt idx="1">
                  <c:v>98.29</c:v>
                </c:pt>
                <c:pt idx="2">
                  <c:v>57.24</c:v>
                </c:pt>
                <c:pt idx="3">
                  <c:v>10.480000000000004</c:v>
                </c:pt>
                <c:pt idx="4">
                  <c:v>8.710000000000008</c:v>
                </c:pt>
                <c:pt idx="5">
                  <c:v>6.0700000000000074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94.6</c:v>
                </c:pt>
                <c:pt idx="1">
                  <c:v>93.3</c:v>
                </c:pt>
                <c:pt idx="2">
                  <c:v>91.844999999999999</c:v>
                </c:pt>
                <c:pt idx="3">
                  <c:v>91.355000000000004</c:v>
                </c:pt>
                <c:pt idx="4">
                  <c:v>91.32</c:v>
                </c:pt>
                <c:pt idx="5">
                  <c:v>91.295000000000002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80.599999999999994</c:v>
                </c:pt>
                <c:pt idx="1">
                  <c:v>73.81</c:v>
                </c:pt>
                <c:pt idx="2">
                  <c:v>46.910000000000004</c:v>
                </c:pt>
                <c:pt idx="3">
                  <c:v>26.450000000000003</c:v>
                </c:pt>
                <c:pt idx="4">
                  <c:v>25.510000000000005</c:v>
                </c:pt>
                <c:pt idx="5">
                  <c:v>23.620000000000005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86.82</c:v>
                </c:pt>
                <c:pt idx="1">
                  <c:v>81.36</c:v>
                </c:pt>
                <c:pt idx="2">
                  <c:v>36.71</c:v>
                </c:pt>
                <c:pt idx="3">
                  <c:v>22.53</c:v>
                </c:pt>
                <c:pt idx="4">
                  <c:v>21.049999999999997</c:v>
                </c:pt>
                <c:pt idx="5">
                  <c:v>17.209999999999994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94.24</c:v>
                </c:pt>
                <c:pt idx="1">
                  <c:v>89.66</c:v>
                </c:pt>
                <c:pt idx="2">
                  <c:v>64.95</c:v>
                </c:pt>
                <c:pt idx="3">
                  <c:v>46.475000000000001</c:v>
                </c:pt>
                <c:pt idx="4">
                  <c:v>45.605000000000004</c:v>
                </c:pt>
                <c:pt idx="5">
                  <c:v>44.03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99.105000000000004</c:v>
                </c:pt>
                <c:pt idx="1">
                  <c:v>91.474999999999994</c:v>
                </c:pt>
                <c:pt idx="2">
                  <c:v>86.284999999999997</c:v>
                </c:pt>
                <c:pt idx="3">
                  <c:v>67.525000000000006</c:v>
                </c:pt>
                <c:pt idx="4">
                  <c:v>66.984999999999999</c:v>
                </c:pt>
                <c:pt idx="5">
                  <c:v>66.534999999999997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99.82</c:v>
                </c:pt>
                <c:pt idx="1">
                  <c:v>98.29</c:v>
                </c:pt>
                <c:pt idx="2">
                  <c:v>57.24</c:v>
                </c:pt>
                <c:pt idx="3">
                  <c:v>10.480000000000004</c:v>
                </c:pt>
                <c:pt idx="4">
                  <c:v>8.710000000000008</c:v>
                </c:pt>
                <c:pt idx="5">
                  <c:v>6.0700000000000074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94.6</c:v>
                </c:pt>
                <c:pt idx="1">
                  <c:v>93.3</c:v>
                </c:pt>
                <c:pt idx="2">
                  <c:v>91.844999999999999</c:v>
                </c:pt>
                <c:pt idx="3">
                  <c:v>91.355000000000004</c:v>
                </c:pt>
                <c:pt idx="4">
                  <c:v>91.32</c:v>
                </c:pt>
                <c:pt idx="5">
                  <c:v>91.295000000000002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80.599999999999994</c:v>
                </c:pt>
                <c:pt idx="1">
                  <c:v>73.81</c:v>
                </c:pt>
                <c:pt idx="2">
                  <c:v>46.910000000000004</c:v>
                </c:pt>
                <c:pt idx="3">
                  <c:v>26.450000000000003</c:v>
                </c:pt>
                <c:pt idx="4">
                  <c:v>25.510000000000005</c:v>
                </c:pt>
                <c:pt idx="5">
                  <c:v>23.620000000000005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86.82</c:v>
                </c:pt>
                <c:pt idx="1">
                  <c:v>81.36</c:v>
                </c:pt>
                <c:pt idx="2">
                  <c:v>36.71</c:v>
                </c:pt>
                <c:pt idx="3">
                  <c:v>22.53</c:v>
                </c:pt>
                <c:pt idx="4">
                  <c:v>21.049999999999997</c:v>
                </c:pt>
                <c:pt idx="5">
                  <c:v>17.209999999999994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94.24</c:v>
                </c:pt>
                <c:pt idx="1">
                  <c:v>89.66</c:v>
                </c:pt>
                <c:pt idx="2">
                  <c:v>64.95</c:v>
                </c:pt>
                <c:pt idx="3">
                  <c:v>46.475000000000001</c:v>
                </c:pt>
                <c:pt idx="4">
                  <c:v>45.605000000000004</c:v>
                </c:pt>
                <c:pt idx="5">
                  <c:v>44.03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99.105000000000004</c:v>
                </c:pt>
                <c:pt idx="1">
                  <c:v>91.474999999999994</c:v>
                </c:pt>
                <c:pt idx="2">
                  <c:v>86.284999999999997</c:v>
                </c:pt>
                <c:pt idx="3">
                  <c:v>67.525000000000006</c:v>
                </c:pt>
                <c:pt idx="4">
                  <c:v>66.984999999999999</c:v>
                </c:pt>
                <c:pt idx="5">
                  <c:v>66.534999999999997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17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2"/>
  <sheetViews>
    <sheetView tabSelected="1" workbookViewId="0">
      <selection activeCell="J3" sqref="J3:O3"/>
    </sheetView>
  </sheetViews>
  <sheetFormatPr defaultColWidth="9" defaultRowHeight="14.4" x14ac:dyDescent="0.3"/>
  <cols>
    <col min="1" max="1" width="6.5546875" style="2" customWidth="1"/>
    <col min="2" max="2" width="4.88671875" style="2" customWidth="1"/>
    <col min="3" max="4" width="5.5546875" style="2" customWidth="1"/>
    <col min="5" max="5" width="7.6640625" style="2" customWidth="1"/>
    <col min="6" max="6" width="7.6640625" style="12" customWidth="1"/>
    <col min="7" max="7" width="9.6640625" style="2" customWidth="1"/>
    <col min="8" max="8" width="11.33203125" style="2" customWidth="1"/>
    <col min="9" max="9" width="13" style="2" customWidth="1"/>
    <col min="10" max="16" width="7.6640625" style="2" customWidth="1"/>
    <col min="17" max="22" width="9" style="2" customWidth="1"/>
    <col min="23" max="16384" width="9" style="2"/>
  </cols>
  <sheetData>
    <row r="1" spans="1:25" ht="25.2" customHeight="1" x14ac:dyDescent="0.3">
      <c r="A1" s="64" t="s">
        <v>3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</row>
    <row r="2" spans="1:25" ht="24.6" customHeight="1" x14ac:dyDescent="0.3">
      <c r="A2" s="65" t="s">
        <v>4</v>
      </c>
      <c r="B2" s="68" t="s">
        <v>5</v>
      </c>
      <c r="C2" s="68" t="s">
        <v>6</v>
      </c>
      <c r="D2" s="68" t="s">
        <v>7</v>
      </c>
      <c r="E2" s="71" t="s">
        <v>8</v>
      </c>
      <c r="F2" s="71" t="s">
        <v>9</v>
      </c>
      <c r="G2" s="71" t="s">
        <v>10</v>
      </c>
      <c r="H2" s="71" t="s">
        <v>11</v>
      </c>
      <c r="I2" s="72" t="s">
        <v>12</v>
      </c>
      <c r="J2" s="54" t="s">
        <v>13</v>
      </c>
      <c r="K2" s="54"/>
      <c r="L2" s="54"/>
      <c r="M2" s="54"/>
      <c r="N2" s="54"/>
      <c r="O2" s="54"/>
      <c r="P2" s="54"/>
      <c r="Q2" s="54" t="s">
        <v>0</v>
      </c>
      <c r="R2" s="54"/>
      <c r="S2" s="54"/>
      <c r="T2" s="54"/>
      <c r="U2" s="54"/>
      <c r="V2" s="54"/>
      <c r="W2" s="74" t="s">
        <v>14</v>
      </c>
      <c r="X2" s="74" t="s">
        <v>15</v>
      </c>
      <c r="Y2" s="74" t="s">
        <v>16</v>
      </c>
    </row>
    <row r="3" spans="1:25" ht="40.5" customHeight="1" x14ac:dyDescent="0.3">
      <c r="A3" s="66"/>
      <c r="B3" s="69"/>
      <c r="C3" s="69"/>
      <c r="D3" s="69"/>
      <c r="E3" s="71"/>
      <c r="F3" s="71"/>
      <c r="G3" s="71"/>
      <c r="H3" s="71"/>
      <c r="I3" s="73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74"/>
      <c r="X3" s="74"/>
      <c r="Y3" s="74"/>
    </row>
    <row r="4" spans="1:25" ht="21.6" customHeight="1" x14ac:dyDescent="0.3">
      <c r="A4" s="67"/>
      <c r="B4" s="70"/>
      <c r="C4" s="70"/>
      <c r="D4" s="70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54" t="s">
        <v>20</v>
      </c>
      <c r="K4" s="54"/>
      <c r="L4" s="54"/>
      <c r="M4" s="54"/>
      <c r="N4" s="54"/>
      <c r="O4" s="54"/>
      <c r="P4" s="54"/>
      <c r="Q4" s="54" t="s">
        <v>20</v>
      </c>
      <c r="R4" s="54"/>
      <c r="S4" s="54"/>
      <c r="T4" s="54"/>
      <c r="U4" s="54"/>
      <c r="V4" s="54"/>
      <c r="W4" s="75" t="s">
        <v>21</v>
      </c>
      <c r="X4" s="76"/>
      <c r="Y4" s="76"/>
    </row>
    <row r="5" spans="1:25" ht="30" customHeight="1" x14ac:dyDescent="0.3">
      <c r="A5" s="10">
        <v>1</v>
      </c>
      <c r="B5" s="61" t="s">
        <v>49</v>
      </c>
      <c r="C5" s="58"/>
      <c r="D5" s="55"/>
      <c r="E5" s="39" t="s">
        <v>47</v>
      </c>
      <c r="F5" s="25">
        <v>0.5</v>
      </c>
      <c r="G5" s="39"/>
      <c r="H5" s="39">
        <v>100</v>
      </c>
      <c r="I5" s="25">
        <f>SUM(J5:O5)</f>
        <v>93.929999999999993</v>
      </c>
      <c r="J5" s="25">
        <v>0.18</v>
      </c>
      <c r="K5" s="25">
        <v>1.53</v>
      </c>
      <c r="L5" s="25">
        <v>41.05</v>
      </c>
      <c r="M5" s="25">
        <v>46.76</v>
      </c>
      <c r="N5" s="25">
        <v>1.77</v>
      </c>
      <c r="O5" s="25">
        <v>2.64</v>
      </c>
      <c r="P5" s="25"/>
      <c r="Q5" s="11">
        <f t="shared" ref="Q5:Q10" si="0">((H5-(SUM(J5)))/H5)*100</f>
        <v>99.82</v>
      </c>
      <c r="R5" s="11">
        <f t="shared" ref="R5:R10" si="1">((H5-(SUM(J5:K5)))/H5)*100</f>
        <v>98.29</v>
      </c>
      <c r="S5" s="11">
        <f t="shared" ref="S5:S10" si="2">((H5-(SUM(J5:L5)))/H5)*100</f>
        <v>57.24</v>
      </c>
      <c r="T5" s="11">
        <f t="shared" ref="T5:T10" si="3">((H5-(SUM(J5:M5)))/H5)*100</f>
        <v>10.480000000000004</v>
      </c>
      <c r="U5" s="11">
        <f t="shared" ref="U5:U10" si="4">((H5-(SUM(J5:N5)))/H5)*100</f>
        <v>8.710000000000008</v>
      </c>
      <c r="V5" s="11">
        <f t="shared" ref="V5:V10" si="5">((H5-(SUM(J5:O5)))/H5)*100</f>
        <v>6.0700000000000074</v>
      </c>
      <c r="W5" s="11">
        <f>100-Q5</f>
        <v>0.18000000000000682</v>
      </c>
      <c r="X5" s="11">
        <f>Q5-V5</f>
        <v>93.749999999999986</v>
      </c>
      <c r="Y5" s="11">
        <f>V5</f>
        <v>6.0700000000000074</v>
      </c>
    </row>
    <row r="6" spans="1:25" ht="30" customHeight="1" x14ac:dyDescent="0.3">
      <c r="A6" s="10">
        <v>2</v>
      </c>
      <c r="B6" s="62"/>
      <c r="C6" s="59"/>
      <c r="D6" s="56"/>
      <c r="E6" s="39" t="s">
        <v>48</v>
      </c>
      <c r="F6" s="25">
        <v>1.5</v>
      </c>
      <c r="G6" s="39"/>
      <c r="H6" s="39">
        <v>200</v>
      </c>
      <c r="I6" s="25">
        <f t="shared" ref="I6:I11" si="6">SUM(J6:O6)</f>
        <v>17.410000000000004</v>
      </c>
      <c r="J6" s="25">
        <v>10.8</v>
      </c>
      <c r="K6" s="25">
        <v>2.6</v>
      </c>
      <c r="L6" s="25">
        <v>2.91</v>
      </c>
      <c r="M6" s="25">
        <v>0.98</v>
      </c>
      <c r="N6" s="25">
        <v>7.0000000000000007E-2</v>
      </c>
      <c r="O6" s="25">
        <v>0.05</v>
      </c>
      <c r="P6" s="25"/>
      <c r="Q6" s="11">
        <f t="shared" si="0"/>
        <v>94.6</v>
      </c>
      <c r="R6" s="11">
        <f t="shared" si="1"/>
        <v>93.3</v>
      </c>
      <c r="S6" s="11">
        <f t="shared" si="2"/>
        <v>91.844999999999999</v>
      </c>
      <c r="T6" s="11">
        <f t="shared" si="3"/>
        <v>91.355000000000004</v>
      </c>
      <c r="U6" s="11">
        <f t="shared" si="4"/>
        <v>91.32</v>
      </c>
      <c r="V6" s="11">
        <f t="shared" si="5"/>
        <v>91.295000000000002</v>
      </c>
      <c r="W6" s="11">
        <f t="shared" ref="W6:W10" si="7">100-Q6</f>
        <v>5.4000000000000057</v>
      </c>
      <c r="X6" s="11">
        <f t="shared" ref="X6:X10" si="8">Q6-V6</f>
        <v>3.3049999999999926</v>
      </c>
      <c r="Y6" s="11">
        <f t="shared" ref="Y6:Y10" si="9">V6</f>
        <v>91.295000000000002</v>
      </c>
    </row>
    <row r="7" spans="1:25" ht="30" customHeight="1" x14ac:dyDescent="0.3">
      <c r="A7" s="10">
        <v>3</v>
      </c>
      <c r="B7" s="62"/>
      <c r="C7" s="59"/>
      <c r="D7" s="56"/>
      <c r="E7" s="39" t="s">
        <v>47</v>
      </c>
      <c r="F7" s="25">
        <v>2</v>
      </c>
      <c r="G7" s="39"/>
      <c r="H7" s="39">
        <v>100</v>
      </c>
      <c r="I7" s="25">
        <f t="shared" si="6"/>
        <v>76.38</v>
      </c>
      <c r="J7" s="25">
        <v>19.399999999999999</v>
      </c>
      <c r="K7" s="25">
        <v>6.79</v>
      </c>
      <c r="L7" s="25">
        <v>26.9</v>
      </c>
      <c r="M7" s="25">
        <v>20.46</v>
      </c>
      <c r="N7" s="25">
        <v>0.94</v>
      </c>
      <c r="O7" s="25">
        <v>1.89</v>
      </c>
      <c r="P7" s="25"/>
      <c r="Q7" s="11">
        <f t="shared" si="0"/>
        <v>80.599999999999994</v>
      </c>
      <c r="R7" s="11">
        <f t="shared" si="1"/>
        <v>73.81</v>
      </c>
      <c r="S7" s="11">
        <f t="shared" si="2"/>
        <v>46.910000000000004</v>
      </c>
      <c r="T7" s="11">
        <f t="shared" si="3"/>
        <v>26.450000000000003</v>
      </c>
      <c r="U7" s="11">
        <f t="shared" si="4"/>
        <v>25.510000000000005</v>
      </c>
      <c r="V7" s="11">
        <f t="shared" si="5"/>
        <v>23.620000000000005</v>
      </c>
      <c r="W7" s="11">
        <f t="shared" si="7"/>
        <v>19.400000000000006</v>
      </c>
      <c r="X7" s="11">
        <f t="shared" si="8"/>
        <v>56.97999999999999</v>
      </c>
      <c r="Y7" s="11">
        <f t="shared" si="9"/>
        <v>23.620000000000005</v>
      </c>
    </row>
    <row r="8" spans="1:25" ht="30" customHeight="1" x14ac:dyDescent="0.3">
      <c r="A8" s="10">
        <v>4</v>
      </c>
      <c r="B8" s="62"/>
      <c r="C8" s="59"/>
      <c r="D8" s="56"/>
      <c r="E8" s="39" t="s">
        <v>47</v>
      </c>
      <c r="F8" s="25">
        <v>3.5</v>
      </c>
      <c r="G8" s="39"/>
      <c r="H8" s="39">
        <v>100</v>
      </c>
      <c r="I8" s="25">
        <f t="shared" si="6"/>
        <v>82.79</v>
      </c>
      <c r="J8" s="25">
        <v>13.18</v>
      </c>
      <c r="K8" s="25">
        <v>5.46</v>
      </c>
      <c r="L8" s="25">
        <v>44.65</v>
      </c>
      <c r="M8" s="25">
        <v>14.18</v>
      </c>
      <c r="N8" s="25">
        <v>1.48</v>
      </c>
      <c r="O8" s="25">
        <v>3.84</v>
      </c>
      <c r="P8" s="25"/>
      <c r="Q8" s="11">
        <f t="shared" si="0"/>
        <v>86.82</v>
      </c>
      <c r="R8" s="11">
        <f t="shared" si="1"/>
        <v>81.36</v>
      </c>
      <c r="S8" s="11">
        <f t="shared" si="2"/>
        <v>36.71</v>
      </c>
      <c r="T8" s="11">
        <f t="shared" si="3"/>
        <v>22.53</v>
      </c>
      <c r="U8" s="11">
        <f t="shared" si="4"/>
        <v>21.049999999999997</v>
      </c>
      <c r="V8" s="11">
        <f t="shared" si="5"/>
        <v>17.209999999999994</v>
      </c>
      <c r="W8" s="11">
        <f t="shared" si="7"/>
        <v>13.180000000000007</v>
      </c>
      <c r="X8" s="11">
        <f t="shared" si="8"/>
        <v>69.61</v>
      </c>
      <c r="Y8" s="11">
        <f t="shared" si="9"/>
        <v>17.209999999999994</v>
      </c>
    </row>
    <row r="9" spans="1:25" ht="30" customHeight="1" x14ac:dyDescent="0.3">
      <c r="A9" s="10">
        <v>5</v>
      </c>
      <c r="B9" s="62"/>
      <c r="C9" s="59"/>
      <c r="D9" s="56"/>
      <c r="E9" s="39" t="s">
        <v>48</v>
      </c>
      <c r="F9" s="25">
        <v>4.5</v>
      </c>
      <c r="G9" s="39"/>
      <c r="H9" s="39">
        <v>200</v>
      </c>
      <c r="I9" s="25">
        <f t="shared" si="6"/>
        <v>111.94</v>
      </c>
      <c r="J9" s="25">
        <v>11.52</v>
      </c>
      <c r="K9" s="25">
        <v>9.16</v>
      </c>
      <c r="L9" s="25">
        <v>49.42</v>
      </c>
      <c r="M9" s="25">
        <v>36.950000000000003</v>
      </c>
      <c r="N9" s="25">
        <v>1.74</v>
      </c>
      <c r="O9" s="25">
        <v>3.15</v>
      </c>
      <c r="P9" s="25"/>
      <c r="Q9" s="11">
        <f t="shared" si="0"/>
        <v>94.24</v>
      </c>
      <c r="R9" s="11">
        <f t="shared" si="1"/>
        <v>89.66</v>
      </c>
      <c r="S9" s="11">
        <f t="shared" si="2"/>
        <v>64.95</v>
      </c>
      <c r="T9" s="11">
        <f t="shared" si="3"/>
        <v>46.475000000000001</v>
      </c>
      <c r="U9" s="11">
        <f t="shared" si="4"/>
        <v>45.605000000000004</v>
      </c>
      <c r="V9" s="11">
        <f t="shared" si="5"/>
        <v>44.03</v>
      </c>
      <c r="W9" s="11">
        <f t="shared" si="7"/>
        <v>5.7600000000000051</v>
      </c>
      <c r="X9" s="11">
        <f t="shared" si="8"/>
        <v>50.209999999999994</v>
      </c>
      <c r="Y9" s="11">
        <f t="shared" si="9"/>
        <v>44.03</v>
      </c>
    </row>
    <row r="10" spans="1:25" ht="30" customHeight="1" x14ac:dyDescent="0.3">
      <c r="A10" s="10">
        <v>6</v>
      </c>
      <c r="B10" s="62"/>
      <c r="C10" s="59"/>
      <c r="D10" s="56"/>
      <c r="E10" s="39" t="s">
        <v>48</v>
      </c>
      <c r="F10" s="25">
        <v>7.5</v>
      </c>
      <c r="G10" s="39"/>
      <c r="H10" s="39">
        <v>200</v>
      </c>
      <c r="I10" s="25">
        <f t="shared" si="6"/>
        <v>66.930000000000007</v>
      </c>
      <c r="J10" s="25">
        <v>1.79</v>
      </c>
      <c r="K10" s="25">
        <v>15.26</v>
      </c>
      <c r="L10" s="25">
        <v>10.38</v>
      </c>
      <c r="M10" s="25">
        <v>37.520000000000003</v>
      </c>
      <c r="N10" s="25">
        <v>1.08</v>
      </c>
      <c r="O10" s="25">
        <v>0.9</v>
      </c>
      <c r="P10" s="25"/>
      <c r="Q10" s="11">
        <f t="shared" si="0"/>
        <v>99.105000000000004</v>
      </c>
      <c r="R10" s="11">
        <f t="shared" si="1"/>
        <v>91.474999999999994</v>
      </c>
      <c r="S10" s="11">
        <f t="shared" si="2"/>
        <v>86.284999999999997</v>
      </c>
      <c r="T10" s="11">
        <f t="shared" si="3"/>
        <v>67.525000000000006</v>
      </c>
      <c r="U10" s="11">
        <f t="shared" si="4"/>
        <v>66.984999999999999</v>
      </c>
      <c r="V10" s="11">
        <f t="shared" si="5"/>
        <v>66.534999999999997</v>
      </c>
      <c r="W10" s="11">
        <f t="shared" si="7"/>
        <v>0.89499999999999602</v>
      </c>
      <c r="X10" s="11">
        <f t="shared" si="8"/>
        <v>32.570000000000007</v>
      </c>
      <c r="Y10" s="11">
        <f t="shared" si="9"/>
        <v>66.534999999999997</v>
      </c>
    </row>
    <row r="11" spans="1:25" ht="30" customHeight="1" x14ac:dyDescent="0.3">
      <c r="A11" s="10">
        <v>7</v>
      </c>
      <c r="B11" s="62"/>
      <c r="C11" s="59"/>
      <c r="D11" s="56"/>
      <c r="E11" s="39" t="s">
        <v>48</v>
      </c>
      <c r="F11" s="25">
        <v>10.5</v>
      </c>
      <c r="G11" s="39"/>
      <c r="H11" s="39">
        <v>200</v>
      </c>
      <c r="I11" s="25">
        <f t="shared" si="6"/>
        <v>61.13</v>
      </c>
      <c r="J11" s="25">
        <v>1.85</v>
      </c>
      <c r="K11" s="25">
        <v>9.26</v>
      </c>
      <c r="L11" s="25">
        <v>13.38</v>
      </c>
      <c r="M11" s="25">
        <v>20.18</v>
      </c>
      <c r="N11" s="25">
        <v>13.26</v>
      </c>
      <c r="O11" s="25">
        <v>3.2</v>
      </c>
      <c r="P11" s="25"/>
      <c r="Q11" s="11">
        <f t="shared" ref="Q11" si="10">((H11-(SUM(J11)))/H11)*100</f>
        <v>99.075000000000003</v>
      </c>
      <c r="R11" s="11">
        <f t="shared" ref="R11" si="11">((H11-(SUM(J11:K11)))/H11)*100</f>
        <v>94.444999999999993</v>
      </c>
      <c r="S11" s="11">
        <f t="shared" ref="S11" si="12">((H11-(SUM(J11:L11)))/H11)*100</f>
        <v>87.754999999999995</v>
      </c>
      <c r="T11" s="11">
        <f t="shared" ref="T11" si="13">((H11-(SUM(J11:M11)))/H11)*100</f>
        <v>77.664999999999992</v>
      </c>
      <c r="U11" s="11">
        <f t="shared" ref="U11" si="14">((H11-(SUM(J11:N11)))/H11)*100</f>
        <v>71.034999999999997</v>
      </c>
      <c r="V11" s="11">
        <f t="shared" ref="V11" si="15">((H11-(SUM(J11:O11)))/H11)*100</f>
        <v>69.435000000000002</v>
      </c>
      <c r="W11" s="11">
        <f t="shared" ref="W11" si="16">100-Q11</f>
        <v>0.92499999999999716</v>
      </c>
      <c r="X11" s="11">
        <f t="shared" ref="X11" si="17">Q11-V11</f>
        <v>29.64</v>
      </c>
      <c r="Y11" s="11">
        <f t="shared" ref="Y11" si="18">V11</f>
        <v>69.435000000000002</v>
      </c>
    </row>
    <row r="12" spans="1:25" ht="30" customHeight="1" x14ac:dyDescent="0.3">
      <c r="A12" s="10">
        <v>8</v>
      </c>
      <c r="B12" s="63"/>
      <c r="C12" s="60"/>
      <c r="D12" s="57"/>
      <c r="E12" s="39" t="s">
        <v>48</v>
      </c>
      <c r="F12" s="25">
        <v>13.5</v>
      </c>
      <c r="G12" s="39"/>
      <c r="H12" s="39">
        <v>200</v>
      </c>
      <c r="I12" s="25">
        <f t="shared" ref="I12" si="19">SUM(J12:O12)</f>
        <v>60.26</v>
      </c>
      <c r="J12" s="25">
        <v>2.0099999999999998</v>
      </c>
      <c r="K12" s="25">
        <v>10.74</v>
      </c>
      <c r="L12" s="25">
        <v>12.4</v>
      </c>
      <c r="M12" s="25">
        <v>33.49</v>
      </c>
      <c r="N12" s="25">
        <v>0.61</v>
      </c>
      <c r="O12" s="25">
        <v>1.01</v>
      </c>
      <c r="P12" s="25"/>
      <c r="Q12" s="11">
        <f t="shared" ref="Q12" si="20">((H12-(SUM(J12)))/H12)*100</f>
        <v>98.995000000000005</v>
      </c>
      <c r="R12" s="11">
        <f t="shared" ref="R12" si="21">((H12-(SUM(J12:K12)))/H12)*100</f>
        <v>93.625</v>
      </c>
      <c r="S12" s="11">
        <f t="shared" ref="S12" si="22">((H12-(SUM(J12:L12)))/H12)*100</f>
        <v>87.424999999999997</v>
      </c>
      <c r="T12" s="11">
        <f t="shared" ref="T12" si="23">((H12-(SUM(J12:M12)))/H12)*100</f>
        <v>70.680000000000007</v>
      </c>
      <c r="U12" s="11">
        <f t="shared" ref="U12" si="24">((H12-(SUM(J12:N12)))/H12)*100</f>
        <v>70.375</v>
      </c>
      <c r="V12" s="11">
        <f t="shared" ref="V12" si="25">((H12-(SUM(J12:O12)))/H12)*100</f>
        <v>69.87</v>
      </c>
      <c r="W12" s="11">
        <f t="shared" ref="W12" si="26">100-Q12</f>
        <v>1.0049999999999955</v>
      </c>
      <c r="X12" s="11">
        <f t="shared" ref="X12" si="27">Q12-V12</f>
        <v>29.125</v>
      </c>
      <c r="Y12" s="11">
        <f t="shared" ref="Y12" si="28">V12</f>
        <v>69.87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D5:D12"/>
    <mergeCell ref="C5:C12"/>
    <mergeCell ref="B5:B12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2"/>
  <sheetViews>
    <sheetView zoomScaleNormal="100" workbookViewId="0">
      <selection activeCell="F19" sqref="F19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48" t="s">
        <v>4</v>
      </c>
      <c r="B1" s="51" t="s">
        <v>5</v>
      </c>
      <c r="C1" s="51" t="s">
        <v>9</v>
      </c>
      <c r="D1" s="48" t="s">
        <v>8</v>
      </c>
      <c r="E1" s="48" t="s">
        <v>22</v>
      </c>
      <c r="F1" s="48" t="s">
        <v>39</v>
      </c>
      <c r="G1" s="48" t="s">
        <v>23</v>
      </c>
      <c r="H1" s="48" t="s">
        <v>24</v>
      </c>
      <c r="I1" s="44" t="s">
        <v>33</v>
      </c>
      <c r="J1" s="48" t="s">
        <v>34</v>
      </c>
      <c r="K1" s="48" t="s">
        <v>25</v>
      </c>
      <c r="L1" s="48" t="s">
        <v>26</v>
      </c>
      <c r="M1" s="46" t="s">
        <v>27</v>
      </c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6" t="s">
        <v>28</v>
      </c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 t="s">
        <v>29</v>
      </c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21"/>
      <c r="BA1" s="21"/>
    </row>
    <row r="2" spans="1:53" x14ac:dyDescent="0.3">
      <c r="A2" s="49"/>
      <c r="B2" s="52"/>
      <c r="C2" s="52"/>
      <c r="D2" s="49"/>
      <c r="E2" s="49"/>
      <c r="F2" s="49"/>
      <c r="G2" s="49"/>
      <c r="H2" s="49"/>
      <c r="I2" s="44"/>
      <c r="J2" s="49"/>
      <c r="K2" s="49"/>
      <c r="L2" s="49"/>
      <c r="M2" s="45">
        <v>0.5</v>
      </c>
      <c r="N2" s="40">
        <v>1</v>
      </c>
      <c r="O2" s="40">
        <v>2</v>
      </c>
      <c r="P2" s="40">
        <v>4</v>
      </c>
      <c r="Q2" s="40">
        <v>8</v>
      </c>
      <c r="R2" s="40">
        <v>15</v>
      </c>
      <c r="S2" s="40">
        <v>30</v>
      </c>
      <c r="T2" s="40">
        <v>60</v>
      </c>
      <c r="U2" s="40">
        <v>120</v>
      </c>
      <c r="V2" s="40">
        <v>240</v>
      </c>
      <c r="W2" s="40">
        <v>480</v>
      </c>
      <c r="X2" s="40">
        <v>960</v>
      </c>
      <c r="Y2" s="40">
        <v>1440</v>
      </c>
      <c r="Z2" s="45">
        <v>0.5</v>
      </c>
      <c r="AA2" s="40">
        <v>1</v>
      </c>
      <c r="AB2" s="40">
        <v>2</v>
      </c>
      <c r="AC2" s="40">
        <v>4</v>
      </c>
      <c r="AD2" s="40">
        <v>8</v>
      </c>
      <c r="AE2" s="40">
        <v>15</v>
      </c>
      <c r="AF2" s="40">
        <v>30</v>
      </c>
      <c r="AG2" s="40">
        <v>60</v>
      </c>
      <c r="AH2" s="40">
        <v>120</v>
      </c>
      <c r="AI2" s="40">
        <v>240</v>
      </c>
      <c r="AJ2" s="40">
        <v>480</v>
      </c>
      <c r="AK2" s="40">
        <v>960</v>
      </c>
      <c r="AL2" s="40">
        <v>1440</v>
      </c>
      <c r="AM2" s="45">
        <v>0.5</v>
      </c>
      <c r="AN2" s="40">
        <v>1</v>
      </c>
      <c r="AO2" s="40">
        <v>2</v>
      </c>
      <c r="AP2" s="40">
        <v>4</v>
      </c>
      <c r="AQ2" s="40">
        <v>8</v>
      </c>
      <c r="AR2" s="40">
        <v>15</v>
      </c>
      <c r="AS2" s="40">
        <v>30</v>
      </c>
      <c r="AT2" s="40">
        <v>60</v>
      </c>
      <c r="AU2" s="40">
        <v>120</v>
      </c>
      <c r="AV2" s="40">
        <v>240</v>
      </c>
      <c r="AW2" s="40">
        <v>480</v>
      </c>
      <c r="AX2" s="40">
        <v>960</v>
      </c>
      <c r="AY2" s="40">
        <v>1440</v>
      </c>
      <c r="AZ2" s="21"/>
      <c r="BA2" s="21"/>
    </row>
    <row r="3" spans="1:53" x14ac:dyDescent="0.3">
      <c r="A3" s="49"/>
      <c r="B3" s="52"/>
      <c r="C3" s="52"/>
      <c r="D3" s="50"/>
      <c r="E3" s="50"/>
      <c r="F3" s="50"/>
      <c r="G3" s="50"/>
      <c r="H3" s="50"/>
      <c r="I3" s="44"/>
      <c r="J3" s="50"/>
      <c r="K3" s="50"/>
      <c r="L3" s="50"/>
      <c r="M3" s="45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5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5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21"/>
      <c r="BA3" s="21"/>
    </row>
    <row r="4" spans="1:53" x14ac:dyDescent="0.3">
      <c r="A4" s="50"/>
      <c r="B4" s="53"/>
      <c r="C4" s="53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41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3"/>
      <c r="Z4" s="41" t="s">
        <v>31</v>
      </c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3"/>
      <c r="AM4" s="44" t="s">
        <v>32</v>
      </c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20"/>
      <c r="BA4" s="20"/>
    </row>
    <row r="5" spans="1:53" x14ac:dyDescent="0.3">
      <c r="A5" s="31">
        <v>1</v>
      </c>
      <c r="B5" s="31" t="str">
        <f>GSD!B5</f>
        <v>NBH-04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3">
      <c r="A6" s="31">
        <v>2</v>
      </c>
      <c r="B6" s="31" t="str">
        <f>B5</f>
        <v>NBH-04</v>
      </c>
      <c r="C6" s="32">
        <f>GSD!F6</f>
        <v>1.5</v>
      </c>
      <c r="D6" s="31" t="str">
        <f>GSD!E6</f>
        <v>UDS</v>
      </c>
      <c r="E6" s="32">
        <v>27</v>
      </c>
      <c r="F6" s="33">
        <f t="shared" ref="F6:F10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2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3">
      <c r="A7" s="31">
        <v>3</v>
      </c>
      <c r="B7" s="31" t="str">
        <f t="shared" ref="B7:B12" si="2">B6</f>
        <v>NBH-04</v>
      </c>
      <c r="C7" s="32">
        <f>GSD!F7</f>
        <v>2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3">
      <c r="A8" s="31">
        <v>4</v>
      </c>
      <c r="B8" s="31" t="str">
        <f t="shared" si="2"/>
        <v>NBH-04</v>
      </c>
      <c r="C8" s="32">
        <f>GSD!F8</f>
        <v>3.5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3">
      <c r="A9" s="31">
        <v>5</v>
      </c>
      <c r="B9" s="31" t="str">
        <f t="shared" si="2"/>
        <v>NBH-04</v>
      </c>
      <c r="C9" s="32">
        <f>GSD!F9</f>
        <v>4.5</v>
      </c>
      <c r="D9" s="31" t="str">
        <f>GSD!E9</f>
        <v>UDS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3">
      <c r="A10" s="31">
        <v>6</v>
      </c>
      <c r="B10" s="31" t="str">
        <f t="shared" si="2"/>
        <v>NBH-04</v>
      </c>
      <c r="C10" s="32">
        <f>GSD!F10</f>
        <v>7.5</v>
      </c>
      <c r="D10" s="31" t="str">
        <f>GSD!E10</f>
        <v>UDS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3">
      <c r="A11" s="31">
        <v>7</v>
      </c>
      <c r="B11" s="31" t="str">
        <f t="shared" si="2"/>
        <v>NBH-04</v>
      </c>
      <c r="C11" s="32">
        <f>GSD!F11</f>
        <v>10.5</v>
      </c>
      <c r="D11" s="31" t="str">
        <f>GSD!E11</f>
        <v>UDS</v>
      </c>
      <c r="E11" s="32">
        <v>27</v>
      </c>
      <c r="F11" s="33">
        <f t="shared" ref="F11:F12" si="3">(0.000000002615*E11^4) - (0.00000030607*E11^3) + (0.000016427499*E11^2) - (0.000618546309*E11) + 0.017919182437</f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</row>
    <row r="12" spans="1:53" x14ac:dyDescent="0.3">
      <c r="A12" s="31">
        <v>8</v>
      </c>
      <c r="B12" s="31" t="str">
        <f t="shared" si="2"/>
        <v>NBH-04</v>
      </c>
      <c r="C12" s="32">
        <f>GSD!F12</f>
        <v>13.5</v>
      </c>
      <c r="D12" s="31" t="str">
        <f>GSD!E12</f>
        <v>UDS</v>
      </c>
      <c r="E12" s="32">
        <v>27</v>
      </c>
      <c r="F12" s="33">
        <f t="shared" si="3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4.4" x14ac:dyDescent="0.3"/>
  <sheetData>
    <row r="1" spans="1:6" ht="28.8" x14ac:dyDescent="0.3">
      <c r="A1" s="17" t="s">
        <v>35</v>
      </c>
      <c r="B1" s="17" t="s">
        <v>36</v>
      </c>
      <c r="C1" s="17" t="s">
        <v>37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20"/>
  <sheetViews>
    <sheetView zoomScaleNormal="100" workbookViewId="0">
      <selection activeCell="E26" sqref="E26"/>
    </sheetView>
  </sheetViews>
  <sheetFormatPr defaultRowHeight="14.4" x14ac:dyDescent="0.3"/>
  <cols>
    <col min="4" max="27" width="9.109375" customWidth="1"/>
    <col min="28" max="28" width="9.109375" style="30"/>
  </cols>
  <sheetData>
    <row r="1" spans="1:45" x14ac:dyDescent="0.3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3">
      <c r="A2" s="28" t="s">
        <v>40</v>
      </c>
      <c r="B2" s="28" t="s">
        <v>5</v>
      </c>
      <c r="C2" s="28" t="s">
        <v>9</v>
      </c>
      <c r="D2" s="77" t="s">
        <v>41</v>
      </c>
      <c r="E2" s="77"/>
      <c r="F2" s="77"/>
      <c r="G2" s="77"/>
      <c r="H2" s="77"/>
      <c r="I2" s="77"/>
      <c r="J2" s="77" t="s">
        <v>42</v>
      </c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8" t="s">
        <v>43</v>
      </c>
      <c r="X2" s="78"/>
      <c r="Y2" s="78"/>
      <c r="Z2" s="78"/>
      <c r="AA2" s="78"/>
      <c r="AB2" s="78"/>
      <c r="AC2" s="77" t="s">
        <v>44</v>
      </c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3">
      <c r="A3" s="18">
        <v>1</v>
      </c>
      <c r="B3" s="18" t="str">
        <f>GSD!B5</f>
        <v>NBH-04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99.82</v>
      </c>
      <c r="X3" s="1">
        <f>GSD!R5</f>
        <v>98.29</v>
      </c>
      <c r="Y3" s="1">
        <f>GSD!S5</f>
        <v>57.24</v>
      </c>
      <c r="Z3" s="1">
        <f>GSD!T5</f>
        <v>10.480000000000004</v>
      </c>
      <c r="AA3" s="1">
        <f>GSD!U5</f>
        <v>8.710000000000008</v>
      </c>
      <c r="AB3" s="38">
        <f>GSD!V5</f>
        <v>6.0700000000000074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3">
      <c r="A4" s="18">
        <v>2</v>
      </c>
      <c r="B4" s="18" t="str">
        <f>B3</f>
        <v>NBH-04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94.6</v>
      </c>
      <c r="X4" s="1">
        <f>GSD!R6</f>
        <v>93.3</v>
      </c>
      <c r="Y4" s="1">
        <f>GSD!S6</f>
        <v>91.844999999999999</v>
      </c>
      <c r="Z4" s="1">
        <f>GSD!T6</f>
        <v>91.355000000000004</v>
      </c>
      <c r="AA4" s="1">
        <f>GSD!U6</f>
        <v>91.32</v>
      </c>
      <c r="AB4" s="38">
        <f>GSD!V6</f>
        <v>91.295000000000002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3">
      <c r="A5" s="18">
        <v>3</v>
      </c>
      <c r="B5" s="18" t="str">
        <f t="shared" ref="B5:B10" si="0">B4</f>
        <v>NBH-04</v>
      </c>
      <c r="C5" s="26">
        <f>GSD!F7</f>
        <v>2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80.599999999999994</v>
      </c>
      <c r="X5" s="1">
        <f>GSD!R7</f>
        <v>73.81</v>
      </c>
      <c r="Y5" s="1">
        <f>GSD!S7</f>
        <v>46.910000000000004</v>
      </c>
      <c r="Z5" s="1">
        <f>GSD!T7</f>
        <v>26.450000000000003</v>
      </c>
      <c r="AA5" s="1">
        <f>GSD!U7</f>
        <v>25.510000000000005</v>
      </c>
      <c r="AB5" s="38">
        <f>GSD!V7</f>
        <v>23.620000000000005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3">
      <c r="A6" s="18">
        <v>4</v>
      </c>
      <c r="B6" s="18" t="str">
        <f t="shared" si="0"/>
        <v>NBH-04</v>
      </c>
      <c r="C6" s="26">
        <f>GSD!F8</f>
        <v>3.5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86.82</v>
      </c>
      <c r="X6" s="1">
        <f>GSD!R8</f>
        <v>81.36</v>
      </c>
      <c r="Y6" s="1">
        <f>GSD!S8</f>
        <v>36.71</v>
      </c>
      <c r="Z6" s="1">
        <f>GSD!T8</f>
        <v>22.53</v>
      </c>
      <c r="AA6" s="1">
        <f>GSD!U8</f>
        <v>21.049999999999997</v>
      </c>
      <c r="AB6" s="38">
        <f>GSD!V8</f>
        <v>17.209999999999994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3">
      <c r="A7" s="18">
        <v>5</v>
      </c>
      <c r="B7" s="18" t="str">
        <f t="shared" si="0"/>
        <v>NBH-04</v>
      </c>
      <c r="C7" s="26">
        <f>GSD!F9</f>
        <v>4.5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>
        <f>GSD!Q9</f>
        <v>94.24</v>
      </c>
      <c r="X7" s="1">
        <f>GSD!R9</f>
        <v>89.66</v>
      </c>
      <c r="Y7" s="1">
        <f>GSD!S9</f>
        <v>64.95</v>
      </c>
      <c r="Z7" s="1">
        <f>GSD!T9</f>
        <v>46.475000000000001</v>
      </c>
      <c r="AA7" s="1">
        <f>GSD!U9</f>
        <v>45.605000000000004</v>
      </c>
      <c r="AB7" s="38">
        <f>GSD!V9</f>
        <v>44.03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3">
      <c r="A8" s="18">
        <v>6</v>
      </c>
      <c r="B8" s="18" t="str">
        <f t="shared" si="0"/>
        <v>NBH-04</v>
      </c>
      <c r="C8" s="26">
        <f>GSD!F10</f>
        <v>7.5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>
        <f>GSD!Q10</f>
        <v>99.105000000000004</v>
      </c>
      <c r="X8" s="1">
        <f>GSD!R10</f>
        <v>91.474999999999994</v>
      </c>
      <c r="Y8" s="1">
        <f>GSD!S10</f>
        <v>86.284999999999997</v>
      </c>
      <c r="Z8" s="1">
        <f>GSD!T10</f>
        <v>67.525000000000006</v>
      </c>
      <c r="AA8" s="1">
        <f>GSD!U10</f>
        <v>66.984999999999999</v>
      </c>
      <c r="AB8" s="38">
        <f>GSD!V10</f>
        <v>66.534999999999997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3">
      <c r="A9" s="18">
        <v>7</v>
      </c>
      <c r="B9" s="18" t="str">
        <f t="shared" si="0"/>
        <v>NBH-04</v>
      </c>
      <c r="C9" s="26">
        <f>GSD!F11</f>
        <v>10.5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>
        <f>GSD!Q11</f>
        <v>99.075000000000003</v>
      </c>
      <c r="X9" s="1">
        <f>GSD!R11</f>
        <v>94.444999999999993</v>
      </c>
      <c r="Y9" s="1">
        <f>GSD!S11</f>
        <v>87.754999999999995</v>
      </c>
      <c r="Z9" s="1">
        <f>GSD!T11</f>
        <v>77.664999999999992</v>
      </c>
      <c r="AA9" s="1">
        <f>GSD!U11</f>
        <v>71.034999999999997</v>
      </c>
      <c r="AB9" s="38">
        <f>GSD!V11</f>
        <v>69.435000000000002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</row>
    <row r="10" spans="1:45" x14ac:dyDescent="0.3">
      <c r="A10" s="18">
        <v>8</v>
      </c>
      <c r="B10" s="18" t="str">
        <f t="shared" si="0"/>
        <v>NBH-04</v>
      </c>
      <c r="C10" s="26">
        <f>GSD!F12</f>
        <v>13.5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>
        <f>GSD!Q12</f>
        <v>98.995000000000005</v>
      </c>
      <c r="X10" s="1">
        <f>GSD!R12</f>
        <v>93.625</v>
      </c>
      <c r="Y10" s="1">
        <f>GSD!S12</f>
        <v>87.424999999999997</v>
      </c>
      <c r="Z10" s="1">
        <f>GSD!T12</f>
        <v>70.680000000000007</v>
      </c>
      <c r="AA10" s="1">
        <f>GSD!U12</f>
        <v>70.375</v>
      </c>
      <c r="AB10" s="38">
        <f>GSD!V12</f>
        <v>69.87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</row>
    <row r="11" spans="1:45" x14ac:dyDescent="0.3">
      <c r="AB11" s="1"/>
      <c r="AC11" s="29"/>
    </row>
    <row r="12" spans="1:45" x14ac:dyDescent="0.3">
      <c r="AB12" s="1"/>
      <c r="AC12" s="29"/>
    </row>
    <row r="13" spans="1:45" x14ac:dyDescent="0.3">
      <c r="AB13" s="1"/>
      <c r="AC13" s="29"/>
    </row>
    <row r="14" spans="1:45" x14ac:dyDescent="0.3">
      <c r="AB14" s="1"/>
      <c r="AC14" s="29"/>
    </row>
    <row r="15" spans="1:45" x14ac:dyDescent="0.3">
      <c r="AB15" s="1"/>
      <c r="AC15" s="29"/>
    </row>
    <row r="16" spans="1:45" x14ac:dyDescent="0.3">
      <c r="AB16" s="1"/>
      <c r="AC16" s="29"/>
    </row>
    <row r="17" spans="28:29" x14ac:dyDescent="0.3">
      <c r="AB17" s="1"/>
      <c r="AC17" s="29"/>
    </row>
    <row r="18" spans="28:29" x14ac:dyDescent="0.3">
      <c r="AB18" s="1"/>
      <c r="AC18" s="29"/>
    </row>
    <row r="19" spans="28:29" x14ac:dyDescent="0.3">
      <c r="AB19" s="1"/>
      <c r="AC19" s="29"/>
    </row>
    <row r="20" spans="28:29" x14ac:dyDescent="0.3">
      <c r="AB20" s="1"/>
      <c r="AC20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shyam marsonia</cp:lastModifiedBy>
  <dcterms:created xsi:type="dcterms:W3CDTF">2026-06-15T06:47:07Z</dcterms:created>
  <dcterms:modified xsi:type="dcterms:W3CDTF">2026-09-26T11:15:18Z</dcterms:modified>
</cp:coreProperties>
</file>