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2_WORKING DOCUMENTS\GUJARAT SECTION\02_TEST RESULTS\LOT-02\3. Sakra Nadi River @ 14.760 km (RBH-07 to RBH-11)\GSD &amp; HYD\RBH-11\"/>
    </mc:Choice>
  </mc:AlternateContent>
  <xr:revisionPtr revIDLastSave="0" documentId="13_ncr:1_{1797CA54-3124-4D37-8F7F-1C7949E07923}" xr6:coauthVersionLast="47" xr6:coauthVersionMax="47" xr10:uidLastSave="{00000000-0000-0000-0000-000000000000}"/>
  <bookViews>
    <workbookView xWindow="33930" yWindow="2265" windowWidth="21600" windowHeight="11295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GSD!$A$1:$Y$17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7" l="1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C21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C20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C19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A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C18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C17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C16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C15" i="6"/>
  <c r="K23" i="8"/>
  <c r="F23" i="8"/>
  <c r="D23" i="8"/>
  <c r="C23" i="8"/>
  <c r="K22" i="8"/>
  <c r="F22" i="8"/>
  <c r="D22" i="8"/>
  <c r="C22" i="8"/>
  <c r="K21" i="8"/>
  <c r="F21" i="8"/>
  <c r="D21" i="8"/>
  <c r="C21" i="8"/>
  <c r="K20" i="8"/>
  <c r="F20" i="8"/>
  <c r="D20" i="8"/>
  <c r="C20" i="8"/>
  <c r="K19" i="8"/>
  <c r="F19" i="8"/>
  <c r="D19" i="8"/>
  <c r="C19" i="8"/>
  <c r="K18" i="8"/>
  <c r="F18" i="8"/>
  <c r="D18" i="8"/>
  <c r="C18" i="8"/>
  <c r="K17" i="8"/>
  <c r="F17" i="8"/>
  <c r="D17" i="8"/>
  <c r="C17" i="8"/>
  <c r="V23" i="7"/>
  <c r="Y23" i="7" s="1"/>
  <c r="U23" i="7"/>
  <c r="AA21" i="6" s="1"/>
  <c r="T23" i="7"/>
  <c r="Z21" i="6" s="1"/>
  <c r="S23" i="7"/>
  <c r="Y21" i="6" s="1"/>
  <c r="R23" i="7"/>
  <c r="X21" i="6" s="1"/>
  <c r="Q23" i="7"/>
  <c r="V22" i="7"/>
  <c r="Y22" i="7" s="1"/>
  <c r="U22" i="7"/>
  <c r="AA20" i="6" s="1"/>
  <c r="T22" i="7"/>
  <c r="Z20" i="6" s="1"/>
  <c r="S22" i="7"/>
  <c r="Y20" i="6" s="1"/>
  <c r="R22" i="7"/>
  <c r="X20" i="6" s="1"/>
  <c r="Q22" i="7"/>
  <c r="V21" i="7"/>
  <c r="Y21" i="7" s="1"/>
  <c r="U21" i="7"/>
  <c r="AA19" i="6" s="1"/>
  <c r="T21" i="7"/>
  <c r="Z19" i="6" s="1"/>
  <c r="S21" i="7"/>
  <c r="Y19" i="6" s="1"/>
  <c r="R21" i="7"/>
  <c r="X19" i="6" s="1"/>
  <c r="Q21" i="7"/>
  <c r="V20" i="7"/>
  <c r="Y20" i="7" s="1"/>
  <c r="U20" i="7"/>
  <c r="T20" i="7"/>
  <c r="Z18" i="6" s="1"/>
  <c r="S20" i="7"/>
  <c r="Y18" i="6" s="1"/>
  <c r="R20" i="7"/>
  <c r="X18" i="6" s="1"/>
  <c r="Q20" i="7"/>
  <c r="W18" i="6" s="1"/>
  <c r="Y19" i="7"/>
  <c r="V19" i="7"/>
  <c r="AB17" i="6" s="1"/>
  <c r="U19" i="7"/>
  <c r="AA17" i="6" s="1"/>
  <c r="T19" i="7"/>
  <c r="Z17" i="6" s="1"/>
  <c r="S19" i="7"/>
  <c r="Y17" i="6" s="1"/>
  <c r="R19" i="7"/>
  <c r="X17" i="6" s="1"/>
  <c r="Q19" i="7"/>
  <c r="X19" i="7" s="1"/>
  <c r="V18" i="7"/>
  <c r="Y18" i="7" s="1"/>
  <c r="U18" i="7"/>
  <c r="AA16" i="6" s="1"/>
  <c r="T18" i="7"/>
  <c r="Z16" i="6" s="1"/>
  <c r="S18" i="7"/>
  <c r="Y16" i="6" s="1"/>
  <c r="R18" i="7"/>
  <c r="X16" i="6" s="1"/>
  <c r="Q18" i="7"/>
  <c r="X18" i="7" s="1"/>
  <c r="V17" i="7"/>
  <c r="Y17" i="7" s="1"/>
  <c r="U17" i="7"/>
  <c r="AA15" i="6" s="1"/>
  <c r="T17" i="7"/>
  <c r="Z15" i="6" s="1"/>
  <c r="S17" i="7"/>
  <c r="Y15" i="6" s="1"/>
  <c r="R17" i="7"/>
  <c r="X15" i="6" s="1"/>
  <c r="Q17" i="7"/>
  <c r="W15" i="6" s="1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4" i="6"/>
  <c r="K4" i="6"/>
  <c r="L4" i="6"/>
  <c r="M4" i="6"/>
  <c r="N4" i="6"/>
  <c r="O4" i="6"/>
  <c r="P4" i="6"/>
  <c r="Q4" i="6"/>
  <c r="R4" i="6"/>
  <c r="S4" i="6"/>
  <c r="T4" i="6"/>
  <c r="U4" i="6"/>
  <c r="V4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J7" i="6"/>
  <c r="K7" i="6"/>
  <c r="L7" i="6"/>
  <c r="M7" i="6"/>
  <c r="N7" i="6"/>
  <c r="O7" i="6"/>
  <c r="P7" i="6"/>
  <c r="Q7" i="6"/>
  <c r="R7" i="6"/>
  <c r="S7" i="6"/>
  <c r="T7" i="6"/>
  <c r="U7" i="6"/>
  <c r="V7" i="6"/>
  <c r="J8" i="6"/>
  <c r="K8" i="6"/>
  <c r="L8" i="6"/>
  <c r="M8" i="6"/>
  <c r="N8" i="6"/>
  <c r="O8" i="6"/>
  <c r="P8" i="6"/>
  <c r="Q8" i="6"/>
  <c r="R8" i="6"/>
  <c r="S8" i="6"/>
  <c r="T8" i="6"/>
  <c r="U8" i="6"/>
  <c r="V8" i="6"/>
  <c r="J9" i="6"/>
  <c r="K9" i="6"/>
  <c r="L9" i="6"/>
  <c r="M9" i="6"/>
  <c r="N9" i="6"/>
  <c r="O9" i="6"/>
  <c r="P9" i="6"/>
  <c r="Q9" i="6"/>
  <c r="R9" i="6"/>
  <c r="S9" i="6"/>
  <c r="T9" i="6"/>
  <c r="U9" i="6"/>
  <c r="V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4" i="6"/>
  <c r="C5" i="6"/>
  <c r="C6" i="6"/>
  <c r="C7" i="6"/>
  <c r="C8" i="6"/>
  <c r="C9" i="6"/>
  <c r="C10" i="6"/>
  <c r="C11" i="6"/>
  <c r="C12" i="6"/>
  <c r="C13" i="6"/>
  <c r="C14" i="6"/>
  <c r="C3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D6" i="8"/>
  <c r="D7" i="8"/>
  <c r="D8" i="8"/>
  <c r="D9" i="8"/>
  <c r="D10" i="8"/>
  <c r="D11" i="8"/>
  <c r="D12" i="8"/>
  <c r="D13" i="8"/>
  <c r="D14" i="8"/>
  <c r="D15" i="8"/>
  <c r="D16" i="8"/>
  <c r="D5" i="8"/>
  <c r="C6" i="8"/>
  <c r="C7" i="8"/>
  <c r="C8" i="8"/>
  <c r="C9" i="8"/>
  <c r="C10" i="8"/>
  <c r="C11" i="8"/>
  <c r="C12" i="8"/>
  <c r="C13" i="8"/>
  <c r="C14" i="8"/>
  <c r="C15" i="8"/>
  <c r="C16" i="8"/>
  <c r="C5" i="8"/>
  <c r="B5" i="8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AB16" i="6" l="1"/>
  <c r="X22" i="7"/>
  <c r="X23" i="7"/>
  <c r="W16" i="6"/>
  <c r="W20" i="6"/>
  <c r="AB19" i="6"/>
  <c r="X20" i="7"/>
  <c r="X21" i="7"/>
  <c r="W17" i="6"/>
  <c r="W19" i="6"/>
  <c r="AB21" i="6"/>
  <c r="W23" i="7"/>
  <c r="W21" i="6"/>
  <c r="AB18" i="6"/>
  <c r="AB20" i="6"/>
  <c r="W18" i="7"/>
  <c r="W20" i="7"/>
  <c r="W22" i="7"/>
  <c r="W19" i="7"/>
  <c r="W21" i="7"/>
  <c r="X17" i="7"/>
  <c r="W17" i="7"/>
  <c r="X5" i="7"/>
  <c r="W5" i="7"/>
  <c r="Y5" i="7"/>
  <c r="W3" i="6"/>
  <c r="K16" i="8"/>
  <c r="F16" i="8"/>
  <c r="K15" i="8"/>
  <c r="F15" i="8"/>
  <c r="K14" i="8"/>
  <c r="F14" i="8"/>
  <c r="K13" i="8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16" i="7" l="1"/>
  <c r="U16" i="7"/>
  <c r="AA14" i="6" s="1"/>
  <c r="T16" i="7"/>
  <c r="Z14" i="6" s="1"/>
  <c r="S16" i="7"/>
  <c r="Y14" i="6" s="1"/>
  <c r="R16" i="7"/>
  <c r="X14" i="6" s="1"/>
  <c r="Q16" i="7"/>
  <c r="V15" i="7"/>
  <c r="U15" i="7"/>
  <c r="AA13" i="6" s="1"/>
  <c r="T15" i="7"/>
  <c r="Z13" i="6" s="1"/>
  <c r="S15" i="7"/>
  <c r="Y13" i="6" s="1"/>
  <c r="R15" i="7"/>
  <c r="X13" i="6" s="1"/>
  <c r="Q15" i="7"/>
  <c r="V14" i="7"/>
  <c r="U14" i="7"/>
  <c r="AA12" i="6" s="1"/>
  <c r="T14" i="7"/>
  <c r="Z12" i="6" s="1"/>
  <c r="S14" i="7"/>
  <c r="Y12" i="6" s="1"/>
  <c r="R14" i="7"/>
  <c r="X12" i="6" s="1"/>
  <c r="Q14" i="7"/>
  <c r="V13" i="7"/>
  <c r="U13" i="7"/>
  <c r="AA11" i="6" s="1"/>
  <c r="T13" i="7"/>
  <c r="Z11" i="6" s="1"/>
  <c r="S13" i="7"/>
  <c r="Y11" i="6" s="1"/>
  <c r="R13" i="7"/>
  <c r="X11" i="6" s="1"/>
  <c r="Q13" i="7"/>
  <c r="V12" i="7"/>
  <c r="U12" i="7"/>
  <c r="AA10" i="6" s="1"/>
  <c r="T12" i="7"/>
  <c r="Z10" i="6" s="1"/>
  <c r="S12" i="7"/>
  <c r="Y10" i="6" s="1"/>
  <c r="R12" i="7"/>
  <c r="X10" i="6" s="1"/>
  <c r="Q12" i="7"/>
  <c r="V11" i="7"/>
  <c r="U11" i="7"/>
  <c r="AA9" i="6" s="1"/>
  <c r="T11" i="7"/>
  <c r="Z9" i="6" s="1"/>
  <c r="S11" i="7"/>
  <c r="Y9" i="6" s="1"/>
  <c r="R11" i="7"/>
  <c r="X9" i="6" s="1"/>
  <c r="Q11" i="7"/>
  <c r="V10" i="7"/>
  <c r="U10" i="7"/>
  <c r="AA8" i="6" s="1"/>
  <c r="T10" i="7"/>
  <c r="Z8" i="6" s="1"/>
  <c r="S10" i="7"/>
  <c r="Y8" i="6" s="1"/>
  <c r="R10" i="7"/>
  <c r="X8" i="6" s="1"/>
  <c r="Q10" i="7"/>
  <c r="V9" i="7"/>
  <c r="U9" i="7"/>
  <c r="AA7" i="6" s="1"/>
  <c r="T9" i="7"/>
  <c r="Z7" i="6" s="1"/>
  <c r="S9" i="7"/>
  <c r="Y7" i="6" s="1"/>
  <c r="R9" i="7"/>
  <c r="X7" i="6" s="1"/>
  <c r="Q9" i="7"/>
  <c r="V8" i="7"/>
  <c r="U8" i="7"/>
  <c r="AA6" i="6" s="1"/>
  <c r="T8" i="7"/>
  <c r="Z6" i="6" s="1"/>
  <c r="S8" i="7"/>
  <c r="Y6" i="6" s="1"/>
  <c r="R8" i="7"/>
  <c r="X6" i="6" s="1"/>
  <c r="Q8" i="7"/>
  <c r="V7" i="7"/>
  <c r="U7" i="7"/>
  <c r="AA5" i="6" s="1"/>
  <c r="T7" i="7"/>
  <c r="Z5" i="6" s="1"/>
  <c r="S7" i="7"/>
  <c r="Y5" i="6" s="1"/>
  <c r="R7" i="7"/>
  <c r="X5" i="6" s="1"/>
  <c r="Q7" i="7"/>
  <c r="V6" i="7"/>
  <c r="U6" i="7"/>
  <c r="AA4" i="6" s="1"/>
  <c r="T6" i="7"/>
  <c r="Z4" i="6" s="1"/>
  <c r="S6" i="7"/>
  <c r="Y4" i="6" s="1"/>
  <c r="R6" i="7"/>
  <c r="X4" i="6" s="1"/>
  <c r="Q6" i="7"/>
  <c r="W6" i="6" l="1"/>
  <c r="W8" i="7"/>
  <c r="X8" i="7"/>
  <c r="W7" i="6"/>
  <c r="X9" i="7"/>
  <c r="W9" i="7"/>
  <c r="W8" i="6"/>
  <c r="W10" i="7"/>
  <c r="X10" i="7"/>
  <c r="W9" i="6"/>
  <c r="X11" i="7"/>
  <c r="W11" i="7"/>
  <c r="W11" i="6"/>
  <c r="X13" i="7"/>
  <c r="W13" i="7"/>
  <c r="W14" i="6"/>
  <c r="W16" i="7"/>
  <c r="X16" i="7"/>
  <c r="W10" i="6"/>
  <c r="W12" i="7"/>
  <c r="X12" i="7"/>
  <c r="W4" i="6"/>
  <c r="W6" i="7"/>
  <c r="X6" i="7"/>
  <c r="W12" i="6"/>
  <c r="W14" i="7"/>
  <c r="X14" i="7"/>
  <c r="W5" i="6"/>
  <c r="X7" i="7"/>
  <c r="W7" i="7"/>
  <c r="W13" i="6"/>
  <c r="W15" i="7"/>
  <c r="X15" i="7"/>
  <c r="Y6" i="7"/>
  <c r="AB4" i="6"/>
  <c r="AB5" i="6"/>
  <c r="Y7" i="7"/>
  <c r="Y8" i="7"/>
  <c r="AB6" i="6"/>
  <c r="AB7" i="6"/>
  <c r="Y9" i="7"/>
  <c r="Y10" i="7"/>
  <c r="AB8" i="6"/>
  <c r="AB9" i="6"/>
  <c r="Y11" i="7"/>
  <c r="Y12" i="7"/>
  <c r="AB10" i="6"/>
  <c r="AB11" i="6"/>
  <c r="Y13" i="7"/>
  <c r="Y14" i="7"/>
  <c r="AB12" i="6"/>
  <c r="AB13" i="6"/>
  <c r="Y15" i="7"/>
  <c r="Y16" i="7"/>
  <c r="AB14" i="6"/>
</calcChain>
</file>

<file path=xl/sharedStrings.xml><?xml version="1.0" encoding="utf-8"?>
<sst xmlns="http://schemas.openxmlformats.org/spreadsheetml/2006/main" count="102" uniqueCount="50">
  <si>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</si>
  <si>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</si>
  <si>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</si>
  <si>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</si>
  <si>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</si>
  <si>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</si>
  <si>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</si>
  <si>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</si>
  <si>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</si>
  <si>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</si>
  <si>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</si>
  <si>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</si>
  <si>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</si>
  <si>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</si>
  <si>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</si>
  <si>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</si>
  <si>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</si>
  <si>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</si>
  <si>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</si>
  <si>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</si>
  <si>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</si>
  <si>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</si>
  <si>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</si>
  <si>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</si>
  <si>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</si>
  <si>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</si>
  <si>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</si>
  <si>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</si>
  <si>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</si>
  <si>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</si>
  <si>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</si>
  <si>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</si>
  <si>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</si>
  <si>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</si>
  <si>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</si>
  <si>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</si>
  <si>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</si>
  <si>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</si>
  <si>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</si>
  <si>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</si>
  <si>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</si>
  <si>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</si>
  <si>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</si>
  <si>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</si>
  <si>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</si>
  <si>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</si>
  <si>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</si>
  <si>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SPT</t>
  </si>
  <si>
    <t>UDS</t>
  </si>
  <si>
    <t>RBH-11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</si>
</sst>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96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11" fillId="3" borderId="1" xfId="0" applyFont="1" applyFill="1" applyBorder="1" applyAlignment="1">
      <alignment horizontal="center" vertical="center"/>
    </xf>
    <xf numFmtId="167" fontId="11" fillId="3" borderId="1" xfId="0" applyNumberFormat="1" applyFont="1" applyFill="1" applyBorder="1" applyAlignment="1">
      <alignment horizontal="center" vertical="center"/>
    </xf>
    <xf numFmtId="165" fontId="11" fillId="3" borderId="1" xfId="0" applyNumberFormat="1" applyFont="1" applyFill="1" applyBorder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165" fontId="2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167" fontId="11" fillId="4" borderId="1" xfId="0" applyNumberFormat="1" applyFont="1" applyFill="1" applyBorder="1" applyAlignment="1">
      <alignment horizontal="center" vertical="center"/>
    </xf>
    <xf numFmtId="165" fontId="11" fillId="4" borderId="1" xfId="0" applyNumberFormat="1" applyFont="1" applyFill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9" fillId="4" borderId="0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98.97</c:v>
                </c:pt>
                <c:pt idx="1">
                  <c:v>98.48</c:v>
                </c:pt>
                <c:pt idx="2">
                  <c:v>79.83</c:v>
                </c:pt>
                <c:pt idx="3">
                  <c:v>32.010000000000005</c:v>
                </c:pt>
                <c:pt idx="4">
                  <c:v>24.810000000000002</c:v>
                </c:pt>
                <c:pt idx="5">
                  <c:v>21.269999999999996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98.78</c:v>
                </c:pt>
                <c:pt idx="1">
                  <c:v>98.254999999999995</c:v>
                </c:pt>
                <c:pt idx="2">
                  <c:v>96.855000000000004</c:v>
                </c:pt>
                <c:pt idx="3">
                  <c:v>94.09</c:v>
                </c:pt>
                <c:pt idx="4">
                  <c:v>93.62</c:v>
                </c:pt>
                <c:pt idx="5">
                  <c:v>93.31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4.5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99.5</c:v>
                </c:pt>
                <c:pt idx="1">
                  <c:v>98.284999999999997</c:v>
                </c:pt>
                <c:pt idx="2">
                  <c:v>79.275000000000006</c:v>
                </c:pt>
                <c:pt idx="3">
                  <c:v>63.31</c:v>
                </c:pt>
                <c:pt idx="4">
                  <c:v>61.285000000000004</c:v>
                </c:pt>
                <c:pt idx="5">
                  <c:v>60.35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6.5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GSD!$Q$8:$V$8</c:f>
              <c:numCache>
                <c:formatCode>0.00</c:formatCode>
                <c:ptCount val="6"/>
                <c:pt idx="0">
                  <c:v>100</c:v>
                </c:pt>
                <c:pt idx="1">
                  <c:v>100</c:v>
                </c:pt>
                <c:pt idx="2">
                  <c:v>97.46</c:v>
                </c:pt>
                <c:pt idx="3">
                  <c:v>96.54</c:v>
                </c:pt>
                <c:pt idx="4">
                  <c:v>96.31</c:v>
                </c:pt>
                <c:pt idx="5">
                  <c:v>95.49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7.5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GSD!$Q$9:$V$9</c:f>
              <c:numCache>
                <c:formatCode>0.00</c:formatCode>
                <c:ptCount val="6"/>
                <c:pt idx="0">
                  <c:v>98.724999999999994</c:v>
                </c:pt>
                <c:pt idx="1">
                  <c:v>95.94</c:v>
                </c:pt>
                <c:pt idx="2">
                  <c:v>85.094999999999999</c:v>
                </c:pt>
                <c:pt idx="3">
                  <c:v>79.305000000000007</c:v>
                </c:pt>
                <c:pt idx="4">
                  <c:v>78.364999999999995</c:v>
                </c:pt>
                <c:pt idx="5">
                  <c:v>77.56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9.5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GSD!$Q$10:$V$10</c:f>
              <c:numCache>
                <c:formatCode>0.00</c:formatCode>
                <c:ptCount val="6"/>
                <c:pt idx="0">
                  <c:v>100</c:v>
                </c:pt>
                <c:pt idx="1">
                  <c:v>100</c:v>
                </c:pt>
                <c:pt idx="2">
                  <c:v>99.47</c:v>
                </c:pt>
                <c:pt idx="3">
                  <c:v>96.43</c:v>
                </c:pt>
                <c:pt idx="4">
                  <c:v>94.94</c:v>
                </c:pt>
                <c:pt idx="5">
                  <c:v>91.98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GSD!$Q$11:$V$11</c:f>
              <c:numCache>
                <c:formatCode>0.00</c:formatCode>
                <c:ptCount val="6"/>
                <c:pt idx="0">
                  <c:v>99.54</c:v>
                </c:pt>
                <c:pt idx="1">
                  <c:v>98.125</c:v>
                </c:pt>
                <c:pt idx="2">
                  <c:v>91.28</c:v>
                </c:pt>
                <c:pt idx="3">
                  <c:v>88.11</c:v>
                </c:pt>
                <c:pt idx="4">
                  <c:v>87.234999999999999</c:v>
                </c:pt>
                <c:pt idx="5">
                  <c:v>85.6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12.5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GSD!$Q$12:$V$12</c:f>
              <c:numCache>
                <c:formatCode>0.00</c:formatCode>
                <c:ptCount val="6"/>
                <c:pt idx="0">
                  <c:v>99.38</c:v>
                </c:pt>
                <c:pt idx="1">
                  <c:v>96.94</c:v>
                </c:pt>
                <c:pt idx="2">
                  <c:v>91.7</c:v>
                </c:pt>
                <c:pt idx="3">
                  <c:v>90.07</c:v>
                </c:pt>
                <c:pt idx="4">
                  <c:v>89.73</c:v>
                </c:pt>
                <c:pt idx="5">
                  <c:v>89.32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13.5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GSD!$Q$13:$V$13</c:f>
              <c:numCache>
                <c:formatCode>0.00</c:formatCode>
                <c:ptCount val="6"/>
                <c:pt idx="0">
                  <c:v>100</c:v>
                </c:pt>
                <c:pt idx="1">
                  <c:v>99.795000000000002</c:v>
                </c:pt>
                <c:pt idx="2">
                  <c:v>99.4</c:v>
                </c:pt>
                <c:pt idx="3">
                  <c:v>99.245000000000005</c:v>
                </c:pt>
                <c:pt idx="4">
                  <c:v>99.2</c:v>
                </c:pt>
                <c:pt idx="5">
                  <c:v>99.144999999999996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GSD!$F$14</c:f>
              <c:strCache>
                <c:ptCount val="1"/>
                <c:pt idx="0">
                  <c:v>15.5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GSD!$Q$14:$V$14</c:f>
              <c:numCache>
                <c:formatCode>0.00</c:formatCode>
                <c:ptCount val="6"/>
                <c:pt idx="0">
                  <c:v>97.82</c:v>
                </c:pt>
                <c:pt idx="1">
                  <c:v>96.1</c:v>
                </c:pt>
                <c:pt idx="2">
                  <c:v>93.21</c:v>
                </c:pt>
                <c:pt idx="3">
                  <c:v>92.84</c:v>
                </c:pt>
                <c:pt idx="4">
                  <c:v>92.73</c:v>
                </c:pt>
                <c:pt idx="5">
                  <c:v>92.6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GSD!$F$15</c:f>
              <c:strCache>
                <c:ptCount val="1"/>
                <c:pt idx="0">
                  <c:v>16.5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GSD!$Q$15:$V$15</c:f>
              <c:numCache>
                <c:formatCode>0.00</c:formatCode>
                <c:ptCount val="6"/>
                <c:pt idx="0">
                  <c:v>100</c:v>
                </c:pt>
                <c:pt idx="1">
                  <c:v>98.305000000000007</c:v>
                </c:pt>
                <c:pt idx="2">
                  <c:v>83.905000000000001</c:v>
                </c:pt>
                <c:pt idx="3">
                  <c:v>79.724999999999994</c:v>
                </c:pt>
                <c:pt idx="4">
                  <c:v>79.16</c:v>
                </c:pt>
                <c:pt idx="5">
                  <c:v>78.650000000000006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GSD!$F$16</c:f>
              <c:strCache>
                <c:ptCount val="1"/>
                <c:pt idx="0">
                  <c:v>17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GSD!$Q$16:$V$16</c:f>
              <c:numCache>
                <c:formatCode>0.00</c:formatCode>
                <c:ptCount val="6"/>
                <c:pt idx="0">
                  <c:v>94.52</c:v>
                </c:pt>
                <c:pt idx="1">
                  <c:v>88.57</c:v>
                </c:pt>
                <c:pt idx="2">
                  <c:v>82.5</c:v>
                </c:pt>
                <c:pt idx="3">
                  <c:v>81.760000000000005</c:v>
                </c:pt>
                <c:pt idx="4">
                  <c:v>81.63</c:v>
                </c:pt>
                <c:pt idx="5">
                  <c:v>81.48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GSD!$F$17</c:f>
              <c:strCache>
                <c:ptCount val="1"/>
                <c:pt idx="0">
                  <c:v>19.5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GSD!$Q$17:$V$17</c:f>
              <c:numCache>
                <c:formatCode>0.00</c:formatCode>
                <c:ptCount val="6"/>
                <c:pt idx="0">
                  <c:v>97.98</c:v>
                </c:pt>
                <c:pt idx="1">
                  <c:v>93.15</c:v>
                </c:pt>
                <c:pt idx="2">
                  <c:v>69.125</c:v>
                </c:pt>
                <c:pt idx="3">
                  <c:v>61.519999999999996</c:v>
                </c:pt>
                <c:pt idx="4">
                  <c:v>59.98</c:v>
                </c:pt>
                <c:pt idx="5">
                  <c:v>58.135000000000005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0-46FD-BC40-76F751D30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659604344900845E-2"/>
          <c:h val="0.6038662776836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98.97</c:v>
                </c:pt>
                <c:pt idx="1">
                  <c:v>98.48</c:v>
                </c:pt>
                <c:pt idx="2">
                  <c:v>79.83</c:v>
                </c:pt>
                <c:pt idx="3">
                  <c:v>32.010000000000005</c:v>
                </c:pt>
                <c:pt idx="4">
                  <c:v>24.810000000000002</c:v>
                </c:pt>
                <c:pt idx="5">
                  <c:v>21.269999999999996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98.78</c:v>
                </c:pt>
                <c:pt idx="1">
                  <c:v>98.254999999999995</c:v>
                </c:pt>
                <c:pt idx="2">
                  <c:v>96.855000000000004</c:v>
                </c:pt>
                <c:pt idx="3">
                  <c:v>94.09</c:v>
                </c:pt>
                <c:pt idx="4">
                  <c:v>93.62</c:v>
                </c:pt>
                <c:pt idx="5">
                  <c:v>93.31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4.50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5.887885652409839E-2</c:v>
                </c:pt>
                <c:pt idx="7" formatCode="0.00000">
                  <c:v>4.1633638716699763E-2</c:v>
                </c:pt>
                <c:pt idx="8" formatCode="0.00000">
                  <c:v>2.9439428262049195E-2</c:v>
                </c:pt>
                <c:pt idx="9" formatCode="0.00000">
                  <c:v>2.1103606434820382E-2</c:v>
                </c:pt>
                <c:pt idx="10" formatCode="0.00000">
                  <c:v>1.5665741587701239E-2</c:v>
                </c:pt>
                <c:pt idx="11" formatCode="0.00000">
                  <c:v>1.1579903918345074E-2</c:v>
                </c:pt>
                <c:pt idx="12" formatCode="0.00000">
                  <c:v>8.1882285861504759E-3</c:v>
                </c:pt>
                <c:pt idx="13" formatCode="0.00000">
                  <c:v>5.8587563623492111E-3</c:v>
                </c:pt>
                <c:pt idx="14" formatCode="0.00000">
                  <c:v>4.1427663531369563E-3</c:v>
                </c:pt>
                <c:pt idx="15" formatCode="0.00000">
                  <c:v>2.9633810309007253E-3</c:v>
                </c:pt>
                <c:pt idx="16" formatCode="0.00000">
                  <c:v>2.1191976949145883E-3</c:v>
                </c:pt>
                <c:pt idx="17" formatCode="0.00000">
                  <c:v>1.4984990607490056E-3</c:v>
                </c:pt>
                <c:pt idx="18" formatCode="0.00000">
                  <c:v>1.2370912352654118E-3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99.5</c:v>
                </c:pt>
                <c:pt idx="1">
                  <c:v>98.284999999999997</c:v>
                </c:pt>
                <c:pt idx="2">
                  <c:v>79.275000000000006</c:v>
                </c:pt>
                <c:pt idx="3">
                  <c:v>63.31</c:v>
                </c:pt>
                <c:pt idx="4">
                  <c:v>61.285000000000004</c:v>
                </c:pt>
                <c:pt idx="5">
                  <c:v>60.35</c:v>
                </c:pt>
                <c:pt idx="6">
                  <c:v>59.401588235293815</c:v>
                </c:pt>
                <c:pt idx="7">
                  <c:v>59.401588235293815</c:v>
                </c:pt>
                <c:pt idx="8">
                  <c:v>59.401588235293815</c:v>
                </c:pt>
                <c:pt idx="9">
                  <c:v>56.225117647058866</c:v>
                </c:pt>
                <c:pt idx="10">
                  <c:v>56.225117647058866</c:v>
                </c:pt>
                <c:pt idx="11">
                  <c:v>53.048647058823221</c:v>
                </c:pt>
                <c:pt idx="12">
                  <c:v>53.048647058823221</c:v>
                </c:pt>
                <c:pt idx="13">
                  <c:v>49.872176470588272</c:v>
                </c:pt>
                <c:pt idx="14">
                  <c:v>49.872176470588272</c:v>
                </c:pt>
                <c:pt idx="15">
                  <c:v>46.695705882352634</c:v>
                </c:pt>
                <c:pt idx="16">
                  <c:v>43.519235294117685</c:v>
                </c:pt>
                <c:pt idx="17">
                  <c:v>43.519235294117685</c:v>
                </c:pt>
                <c:pt idx="18">
                  <c:v>40.34276470588204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6.50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5.4874014062519398E-2</c:v>
                </c:pt>
                <c:pt idx="7" formatCode="0.00000">
                  <c:v>3.8801787454533436E-2</c:v>
                </c:pt>
                <c:pt idx="8" formatCode="0.00000">
                  <c:v>2.7437007031259699E-2</c:v>
                </c:pt>
                <c:pt idx="9" formatCode="0.00000">
                  <c:v>1.9701282712674278E-2</c:v>
                </c:pt>
                <c:pt idx="10" formatCode="0.00000">
                  <c:v>1.4706529113819039E-2</c:v>
                </c:pt>
                <c:pt idx="11" formatCode="0.00000">
                  <c:v>1.08849726413282E-2</c:v>
                </c:pt>
                <c:pt idx="12" formatCode="0.00000">
                  <c:v>7.7979118860308496E-3</c:v>
                </c:pt>
                <c:pt idx="13" formatCode="0.00000">
                  <c:v>5.5139563737075948E-3</c:v>
                </c:pt>
                <c:pt idx="14" formatCode="0.00000">
                  <c:v>3.9488461879190438E-3</c:v>
                </c:pt>
                <c:pt idx="15" formatCode="0.00000">
                  <c:v>2.8270934708734107E-3</c:v>
                </c:pt>
                <c:pt idx="16" formatCode="0.00000">
                  <c:v>1.999056964302802E-3</c:v>
                </c:pt>
                <c:pt idx="17" formatCode="0.00000">
                  <c:v>1.4135467354367054E-3</c:v>
                </c:pt>
                <c:pt idx="18" formatCode="0.00000">
                  <c:v>1.1682053100225147E-3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97.46</c:v>
                </c:pt>
                <c:pt idx="3">
                  <c:v>96.54</c:v>
                </c:pt>
                <c:pt idx="4">
                  <c:v>96.31</c:v>
                </c:pt>
                <c:pt idx="5">
                  <c:v>95.49</c:v>
                </c:pt>
                <c:pt idx="6">
                  <c:v>71.493528735631884</c:v>
                </c:pt>
                <c:pt idx="7">
                  <c:v>71.493528735631884</c:v>
                </c:pt>
                <c:pt idx="8">
                  <c:v>71.493528735631884</c:v>
                </c:pt>
                <c:pt idx="9">
                  <c:v>68.344103448275916</c:v>
                </c:pt>
                <c:pt idx="10">
                  <c:v>68.344103448275916</c:v>
                </c:pt>
                <c:pt idx="11">
                  <c:v>65.194678160919239</c:v>
                </c:pt>
                <c:pt idx="12">
                  <c:v>62.045252873563271</c:v>
                </c:pt>
                <c:pt idx="13">
                  <c:v>62.045252873563271</c:v>
                </c:pt>
                <c:pt idx="14">
                  <c:v>58.8958275862066</c:v>
                </c:pt>
                <c:pt idx="15">
                  <c:v>55.746402298850612</c:v>
                </c:pt>
                <c:pt idx="16">
                  <c:v>55.746402298850612</c:v>
                </c:pt>
                <c:pt idx="17">
                  <c:v>55.746402298850612</c:v>
                </c:pt>
                <c:pt idx="18">
                  <c:v>52.596977011493948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7.50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PLOT!$D$7:$V$7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5.8056367908476403E-2</c:v>
                </c:pt>
                <c:pt idx="7" formatCode="0.00000">
                  <c:v>4.105205143914472E-2</c:v>
                </c:pt>
                <c:pt idx="8" formatCode="0.00000">
                  <c:v>2.9028183954238201E-2</c:v>
                </c:pt>
                <c:pt idx="9" formatCode="0.00000">
                  <c:v>2.0816819358349881E-2</c:v>
                </c:pt>
                <c:pt idx="10" formatCode="0.00000">
                  <c:v>1.5472696640011439E-2</c:v>
                </c:pt>
                <c:pt idx="11" formatCode="0.00000">
                  <c:v>1.1440640063507685E-2</c:v>
                </c:pt>
                <c:pt idx="12" formatCode="0.00000">
                  <c:v>8.0897541700207781E-3</c:v>
                </c:pt>
                <c:pt idx="13" formatCode="0.00000">
                  <c:v>5.7899519591725372E-3</c:v>
                </c:pt>
                <c:pt idx="14" formatCode="0.00000">
                  <c:v>4.1427663531369563E-3</c:v>
                </c:pt>
                <c:pt idx="15" formatCode="0.00000">
                  <c:v>2.9633810309007253E-3</c:v>
                </c:pt>
                <c:pt idx="16" formatCode="0.00000">
                  <c:v>2.095426822189485E-3</c:v>
                </c:pt>
                <c:pt idx="17" formatCode="0.00000">
                  <c:v>1.4984990607490056E-3</c:v>
                </c:pt>
                <c:pt idx="18" formatCode="0.00000">
                  <c:v>1.2235193596249719E-3</c:v>
                </c:pt>
              </c:numCache>
              <c:extLst xmlns:c15="http://schemas.microsoft.com/office/drawing/2012/chart"/>
            </c:numRef>
          </c:xVal>
          <c:yVal>
            <c:numRef>
              <c:f>PLOT!$W$7:$AO$7</c:f>
              <c:numCache>
                <c:formatCode>0.00</c:formatCode>
                <c:ptCount val="19"/>
                <c:pt idx="0">
                  <c:v>98.724999999999994</c:v>
                </c:pt>
                <c:pt idx="1">
                  <c:v>95.94</c:v>
                </c:pt>
                <c:pt idx="2">
                  <c:v>85.094999999999999</c:v>
                </c:pt>
                <c:pt idx="3">
                  <c:v>79.305000000000007</c:v>
                </c:pt>
                <c:pt idx="4">
                  <c:v>78.364999999999995</c:v>
                </c:pt>
                <c:pt idx="5">
                  <c:v>77.56</c:v>
                </c:pt>
                <c:pt idx="6">
                  <c:v>62.57805882352946</c:v>
                </c:pt>
                <c:pt idx="7">
                  <c:v>62.57805882352946</c:v>
                </c:pt>
                <c:pt idx="8">
                  <c:v>62.57805882352946</c:v>
                </c:pt>
                <c:pt idx="9">
                  <c:v>59.401588235293815</c:v>
                </c:pt>
                <c:pt idx="10">
                  <c:v>59.401588235293815</c:v>
                </c:pt>
                <c:pt idx="11">
                  <c:v>56.225117647058866</c:v>
                </c:pt>
                <c:pt idx="12">
                  <c:v>56.225117647058866</c:v>
                </c:pt>
                <c:pt idx="13">
                  <c:v>53.048647058823221</c:v>
                </c:pt>
                <c:pt idx="14">
                  <c:v>49.872176470588272</c:v>
                </c:pt>
                <c:pt idx="15">
                  <c:v>46.695705882352634</c:v>
                </c:pt>
                <c:pt idx="16">
                  <c:v>46.695705882352634</c:v>
                </c:pt>
                <c:pt idx="17">
                  <c:v>43.519235294117685</c:v>
                </c:pt>
                <c:pt idx="18">
                  <c:v>43.519235294117685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9.50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PLOT!$D$8:$V$8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5.669536455251515E-2</c:v>
                </c:pt>
                <c:pt idx="7" formatCode="0.00000">
                  <c:v>4.0089676736926871E-2</c:v>
                </c:pt>
                <c:pt idx="8" formatCode="0.00000">
                  <c:v>2.8347682276257575E-2</c:v>
                </c:pt>
                <c:pt idx="9" formatCode="0.00000">
                  <c:v>2.0355197712976458E-2</c:v>
                </c:pt>
                <c:pt idx="10" formatCode="0.00000">
                  <c:v>1.5194660781698727E-2</c:v>
                </c:pt>
                <c:pt idx="11" formatCode="0.00000">
                  <c:v>1.1246261141770067E-2</c:v>
                </c:pt>
                <c:pt idx="12" formatCode="0.00000">
                  <c:v>8.0567362289773025E-3</c:v>
                </c:pt>
                <c:pt idx="13" formatCode="0.00000">
                  <c:v>5.6969728217411836E-3</c:v>
                </c:pt>
                <c:pt idx="14" formatCode="0.00000">
                  <c:v>4.0799142911398124E-3</c:v>
                </c:pt>
                <c:pt idx="15" formatCode="0.00000">
                  <c:v>2.9209289258953918E-3</c:v>
                </c:pt>
                <c:pt idx="16" formatCode="0.00000">
                  <c:v>2.0654086508645701E-3</c:v>
                </c:pt>
                <c:pt idx="17" formatCode="0.00000">
                  <c:v>1.4604644629476959E-3</c:v>
                </c:pt>
                <c:pt idx="18" formatCode="0.00000">
                  <c:v>1.2069797891667048E-3</c:v>
                </c:pt>
              </c:numCache>
              <c:extLst xmlns:c15="http://schemas.microsoft.com/office/drawing/2012/chart"/>
            </c:numRef>
          </c:xVal>
          <c:yVal>
            <c:numRef>
              <c:f>PLOT!$W$8:$AO$8</c:f>
              <c:numCache>
                <c:formatCode>0.00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99.47</c:v>
                </c:pt>
                <c:pt idx="3">
                  <c:v>96.43</c:v>
                </c:pt>
                <c:pt idx="4">
                  <c:v>94.94</c:v>
                </c:pt>
                <c:pt idx="5">
                  <c:v>91.98</c:v>
                </c:pt>
                <c:pt idx="6">
                  <c:v>73.25437423312853</c:v>
                </c:pt>
                <c:pt idx="7">
                  <c:v>73.25437423312853</c:v>
                </c:pt>
                <c:pt idx="8">
                  <c:v>73.25437423312853</c:v>
                </c:pt>
                <c:pt idx="9">
                  <c:v>70.027380368098221</c:v>
                </c:pt>
                <c:pt idx="10">
                  <c:v>70.027380368098221</c:v>
                </c:pt>
                <c:pt idx="11">
                  <c:v>66.800386503067188</c:v>
                </c:pt>
                <c:pt idx="12">
                  <c:v>63.573392638036864</c:v>
                </c:pt>
                <c:pt idx="13">
                  <c:v>63.573392638036864</c:v>
                </c:pt>
                <c:pt idx="14">
                  <c:v>60.346398773005838</c:v>
                </c:pt>
                <c:pt idx="15">
                  <c:v>57.1194049079755</c:v>
                </c:pt>
                <c:pt idx="16">
                  <c:v>57.1194049079755</c:v>
                </c:pt>
                <c:pt idx="17">
                  <c:v>57.1194049079755</c:v>
                </c:pt>
                <c:pt idx="18">
                  <c:v>53.892411042944474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PLOT!$D$9:$V$9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5.669536455251515E-2</c:v>
                </c:pt>
                <c:pt idx="7" formatCode="0.00000">
                  <c:v>4.0089676736926871E-2</c:v>
                </c:pt>
                <c:pt idx="8" formatCode="0.00000">
                  <c:v>2.8347682276257575E-2</c:v>
                </c:pt>
                <c:pt idx="9" formatCode="0.00000">
                  <c:v>2.0355197712976458E-2</c:v>
                </c:pt>
                <c:pt idx="10" formatCode="0.00000">
                  <c:v>1.5194660781698727E-2</c:v>
                </c:pt>
                <c:pt idx="11" formatCode="0.00000">
                  <c:v>1.1246261141770067E-2</c:v>
                </c:pt>
                <c:pt idx="12" formatCode="0.00000">
                  <c:v>8.0567362289773025E-3</c:v>
                </c:pt>
                <c:pt idx="13" formatCode="0.00000">
                  <c:v>5.6969728217411836E-3</c:v>
                </c:pt>
                <c:pt idx="14" formatCode="0.00000">
                  <c:v>4.0283681144886513E-3</c:v>
                </c:pt>
                <c:pt idx="15" formatCode="0.00000">
                  <c:v>2.9209289258953918E-3</c:v>
                </c:pt>
                <c:pt idx="16" formatCode="0.00000">
                  <c:v>2.0654086508645701E-3</c:v>
                </c:pt>
                <c:pt idx="17" formatCode="0.00000">
                  <c:v>1.4604644629476959E-3</c:v>
                </c:pt>
                <c:pt idx="18" formatCode="0.00000">
                  <c:v>1.2069797891667048E-3</c:v>
                </c:pt>
              </c:numCache>
              <c:extLst xmlns:c15="http://schemas.microsoft.com/office/drawing/2012/chart"/>
            </c:numRef>
          </c:xVal>
          <c:yVal>
            <c:numRef>
              <c:f>PLOT!$W$9:$AO$9</c:f>
              <c:numCache>
                <c:formatCode>0.00</c:formatCode>
                <c:ptCount val="19"/>
                <c:pt idx="0">
                  <c:v>99.54</c:v>
                </c:pt>
                <c:pt idx="1">
                  <c:v>98.125</c:v>
                </c:pt>
                <c:pt idx="2">
                  <c:v>91.28</c:v>
                </c:pt>
                <c:pt idx="3">
                  <c:v>88.11</c:v>
                </c:pt>
                <c:pt idx="4">
                  <c:v>87.234999999999999</c:v>
                </c:pt>
                <c:pt idx="5">
                  <c:v>85.6</c:v>
                </c:pt>
                <c:pt idx="6">
                  <c:v>73.25437423312853</c:v>
                </c:pt>
                <c:pt idx="7">
                  <c:v>73.25437423312853</c:v>
                </c:pt>
                <c:pt idx="8">
                  <c:v>73.25437423312853</c:v>
                </c:pt>
                <c:pt idx="9">
                  <c:v>70.027380368098221</c:v>
                </c:pt>
                <c:pt idx="10">
                  <c:v>70.027380368098221</c:v>
                </c:pt>
                <c:pt idx="11">
                  <c:v>66.800386503067188</c:v>
                </c:pt>
                <c:pt idx="12">
                  <c:v>63.573392638036864</c:v>
                </c:pt>
                <c:pt idx="13">
                  <c:v>63.573392638036864</c:v>
                </c:pt>
                <c:pt idx="14">
                  <c:v>63.573392638036864</c:v>
                </c:pt>
                <c:pt idx="15">
                  <c:v>57.1194049079755</c:v>
                </c:pt>
                <c:pt idx="16">
                  <c:v>57.1194049079755</c:v>
                </c:pt>
                <c:pt idx="17">
                  <c:v>57.1194049079755</c:v>
                </c:pt>
                <c:pt idx="18">
                  <c:v>53.892411042944474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12.50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PLOT!$D$10:$V$10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5.5192126953922699E-2</c:v>
                </c:pt>
                <c:pt idx="7" formatCode="0.00000">
                  <c:v>3.9026727237227575E-2</c:v>
                </c:pt>
                <c:pt idx="8" formatCode="0.00000">
                  <c:v>2.7596063476961349E-2</c:v>
                </c:pt>
                <c:pt idx="9" formatCode="0.00000">
                  <c:v>1.9815494004032375E-2</c:v>
                </c:pt>
                <c:pt idx="10" formatCode="0.00000">
                  <c:v>1.4791785069280465E-2</c:v>
                </c:pt>
                <c:pt idx="11" formatCode="0.00000">
                  <c:v>1.0948074460630753E-2</c:v>
                </c:pt>
                <c:pt idx="12" formatCode="0.00000">
                  <c:v>7.8431175510319043E-3</c:v>
                </c:pt>
                <c:pt idx="13" formatCode="0.00000">
                  <c:v>5.5459216059778873E-3</c:v>
                </c:pt>
                <c:pt idx="14" formatCode="0.00000">
                  <c:v>3.9215587755159521E-3</c:v>
                </c:pt>
                <c:pt idx="15" formatCode="0.00000">
                  <c:v>2.8434825558283092E-3</c:v>
                </c:pt>
                <c:pt idx="16" formatCode="0.00000">
                  <c:v>2.0106457974118533E-3</c:v>
                </c:pt>
                <c:pt idx="17" formatCode="0.00000">
                  <c:v>1.4217412779141546E-3</c:v>
                </c:pt>
                <c:pt idx="18" formatCode="0.00000">
                  <c:v>1.1749775714521335E-3</c:v>
                </c:pt>
              </c:numCache>
              <c:extLst xmlns:c15="http://schemas.microsoft.com/office/drawing/2012/chart"/>
            </c:numRef>
          </c:xVal>
          <c:yVal>
            <c:numRef>
              <c:f>PLOT!$W$10:$AO$10</c:f>
              <c:numCache>
                <c:formatCode>0.00</c:formatCode>
                <c:ptCount val="19"/>
                <c:pt idx="0">
                  <c:v>99.38</c:v>
                </c:pt>
                <c:pt idx="1">
                  <c:v>96.94</c:v>
                </c:pt>
                <c:pt idx="2">
                  <c:v>91.7</c:v>
                </c:pt>
                <c:pt idx="3">
                  <c:v>90.07</c:v>
                </c:pt>
                <c:pt idx="4">
                  <c:v>89.73</c:v>
                </c:pt>
                <c:pt idx="5">
                  <c:v>89.32</c:v>
                </c:pt>
                <c:pt idx="6">
                  <c:v>71.796930232557841</c:v>
                </c:pt>
                <c:pt idx="7">
                  <c:v>71.796930232557841</c:v>
                </c:pt>
                <c:pt idx="8">
                  <c:v>71.796930232557841</c:v>
                </c:pt>
                <c:pt idx="9">
                  <c:v>68.634139534883786</c:v>
                </c:pt>
                <c:pt idx="10">
                  <c:v>68.634139534883786</c:v>
                </c:pt>
                <c:pt idx="11">
                  <c:v>65.471348837209007</c:v>
                </c:pt>
                <c:pt idx="12">
                  <c:v>62.308558139534931</c:v>
                </c:pt>
                <c:pt idx="13">
                  <c:v>62.308558139534931</c:v>
                </c:pt>
                <c:pt idx="14">
                  <c:v>62.308558139534931</c:v>
                </c:pt>
                <c:pt idx="15">
                  <c:v>55.982976744186082</c:v>
                </c:pt>
                <c:pt idx="16">
                  <c:v>55.982976744186082</c:v>
                </c:pt>
                <c:pt idx="17">
                  <c:v>55.982976744186082</c:v>
                </c:pt>
                <c:pt idx="18">
                  <c:v>52.820186046511317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13.50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PLOT!$D$11:$V$11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5.9817140360131138E-2</c:v>
                </c:pt>
                <c:pt idx="7" formatCode="0.00000">
                  <c:v>4.229710557983625E-2</c:v>
                </c:pt>
                <c:pt idx="8" formatCode="0.00000">
                  <c:v>3.0357742116063124E-2</c:v>
                </c:pt>
                <c:pt idx="9" formatCode="0.00000">
                  <c:v>2.1466165311780687E-2</c:v>
                </c:pt>
                <c:pt idx="10" formatCode="0.00000">
                  <c:v>1.641730996173852E-2</c:v>
                </c:pt>
                <c:pt idx="11" formatCode="0.00000">
                  <c:v>1.1989507999464617E-2</c:v>
                </c:pt>
                <c:pt idx="12" formatCode="0.00000">
                  <c:v>8.5836363766128663E-3</c:v>
                </c:pt>
                <c:pt idx="13" formatCode="0.00000">
                  <c:v>6.0695474891424833E-3</c:v>
                </c:pt>
                <c:pt idx="14" formatCode="0.00000">
                  <c:v>4.344061344445157E-3</c:v>
                </c:pt>
                <c:pt idx="15" formatCode="0.00000">
                  <c:v>3.0717152345475212E-3</c:v>
                </c:pt>
                <c:pt idx="16" formatCode="0.00000">
                  <c:v>2.1978418145494074E-3</c:v>
                </c:pt>
                <c:pt idx="17" formatCode="0.00000">
                  <c:v>1.5541088510432322E-3</c:v>
                </c:pt>
                <c:pt idx="18" formatCode="0.00000">
                  <c:v>1.2836536451976989E-3</c:v>
                </c:pt>
              </c:numCache>
              <c:extLst xmlns:c15="http://schemas.microsoft.com/office/drawing/2012/chart"/>
            </c:numRef>
          </c:xVal>
          <c:yVal>
            <c:numRef>
              <c:f>PLOT!$W$11:$AO$11</c:f>
              <c:numCache>
                <c:formatCode>0.00</c:formatCode>
                <c:ptCount val="19"/>
                <c:pt idx="0">
                  <c:v>100</c:v>
                </c:pt>
                <c:pt idx="1">
                  <c:v>99.795000000000002</c:v>
                </c:pt>
                <c:pt idx="2">
                  <c:v>99.4</c:v>
                </c:pt>
                <c:pt idx="3">
                  <c:v>99.245000000000005</c:v>
                </c:pt>
                <c:pt idx="4">
                  <c:v>99.2</c:v>
                </c:pt>
                <c:pt idx="5">
                  <c:v>99.144999999999996</c:v>
                </c:pt>
                <c:pt idx="6">
                  <c:v>72.143384105960337</c:v>
                </c:pt>
                <c:pt idx="7">
                  <c:v>72.143384105960337</c:v>
                </c:pt>
                <c:pt idx="8">
                  <c:v>68.818880794701684</c:v>
                </c:pt>
                <c:pt idx="9">
                  <c:v>68.818880794701684</c:v>
                </c:pt>
                <c:pt idx="10">
                  <c:v>62.169874172185125</c:v>
                </c:pt>
                <c:pt idx="11">
                  <c:v>62.169874172185125</c:v>
                </c:pt>
                <c:pt idx="12">
                  <c:v>58.845370860927197</c:v>
                </c:pt>
                <c:pt idx="13">
                  <c:v>58.845370860927197</c:v>
                </c:pt>
                <c:pt idx="14">
                  <c:v>55.520867549668552</c:v>
                </c:pt>
                <c:pt idx="15">
                  <c:v>55.520867549668552</c:v>
                </c:pt>
                <c:pt idx="16">
                  <c:v>52.196364238410645</c:v>
                </c:pt>
                <c:pt idx="17">
                  <c:v>52.196364238410645</c:v>
                </c:pt>
                <c:pt idx="18">
                  <c:v>48.871860927151999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PLOT!$C$12</c:f>
              <c:strCache>
                <c:ptCount val="1"/>
                <c:pt idx="0">
                  <c:v>15.50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PLOT!$D$12:$V$12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5.6012262930425161E-2</c:v>
                </c:pt>
                <c:pt idx="7" formatCode="0.00000">
                  <c:v>3.960665094770751E-2</c:v>
                </c:pt>
                <c:pt idx="8" formatCode="0.00000">
                  <c:v>2.800613146521258E-2</c:v>
                </c:pt>
                <c:pt idx="9" formatCode="0.00000">
                  <c:v>2.0109945412626271E-2</c:v>
                </c:pt>
                <c:pt idx="10" formatCode="0.00000">
                  <c:v>1.5011585895259442E-2</c:v>
                </c:pt>
                <c:pt idx="11" formatCode="0.00000">
                  <c:v>1.0962912291679974E-2</c:v>
                </c:pt>
                <c:pt idx="12" formatCode="0.00000">
                  <c:v>7.8564930841262797E-3</c:v>
                </c:pt>
                <c:pt idx="13" formatCode="0.00000">
                  <c:v>5.5553795361309053E-3</c:v>
                </c:pt>
                <c:pt idx="14" formatCode="0.00000">
                  <c:v>3.9798317867817557E-3</c:v>
                </c:pt>
                <c:pt idx="15" formatCode="0.00000">
                  <c:v>2.8501755390612344E-3</c:v>
                </c:pt>
                <c:pt idx="16" formatCode="0.00000">
                  <c:v>2.0153784512422224E-3</c:v>
                </c:pt>
                <c:pt idx="17" formatCode="0.00000">
                  <c:v>1.4428678630930415E-3</c:v>
                </c:pt>
                <c:pt idx="18" formatCode="0.00000">
                  <c:v>1.1924373330361702E-3</c:v>
                </c:pt>
              </c:numCache>
              <c:extLst xmlns:c15="http://schemas.microsoft.com/office/drawing/2012/chart"/>
            </c:numRef>
          </c:xVal>
          <c:yVal>
            <c:numRef>
              <c:f>PLOT!$W$12:$AO$12</c:f>
              <c:numCache>
                <c:formatCode>0.00</c:formatCode>
                <c:ptCount val="19"/>
                <c:pt idx="0">
                  <c:v>97.82</c:v>
                </c:pt>
                <c:pt idx="1">
                  <c:v>96.1</c:v>
                </c:pt>
                <c:pt idx="2">
                  <c:v>93.21</c:v>
                </c:pt>
                <c:pt idx="3">
                  <c:v>92.84</c:v>
                </c:pt>
                <c:pt idx="4">
                  <c:v>92.73</c:v>
                </c:pt>
                <c:pt idx="5">
                  <c:v>92.6</c:v>
                </c:pt>
                <c:pt idx="6">
                  <c:v>72.587227544909879</c:v>
                </c:pt>
                <c:pt idx="7">
                  <c:v>72.587227544909879</c:v>
                </c:pt>
                <c:pt idx="8">
                  <c:v>72.587227544909879</c:v>
                </c:pt>
                <c:pt idx="9">
                  <c:v>69.389622754491086</c:v>
                </c:pt>
                <c:pt idx="10">
                  <c:v>69.389622754491086</c:v>
                </c:pt>
                <c:pt idx="11">
                  <c:v>69.389622754491086</c:v>
                </c:pt>
                <c:pt idx="12">
                  <c:v>66.192017964071553</c:v>
                </c:pt>
                <c:pt idx="13">
                  <c:v>66.192017964071553</c:v>
                </c:pt>
                <c:pt idx="14">
                  <c:v>62.994413173652745</c:v>
                </c:pt>
                <c:pt idx="15">
                  <c:v>59.796808383233234</c:v>
                </c:pt>
                <c:pt idx="16">
                  <c:v>59.796808383233234</c:v>
                </c:pt>
                <c:pt idx="17">
                  <c:v>56.599203592814412</c:v>
                </c:pt>
                <c:pt idx="18">
                  <c:v>53.401598802394901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PLOT!$C$13</c:f>
              <c:strCache>
                <c:ptCount val="1"/>
                <c:pt idx="0">
                  <c:v>16.50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PLOT!$D$13:$V$13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6.0515432669386138E-2</c:v>
                </c:pt>
                <c:pt idx="7" formatCode="0.00000">
                  <c:v>4.2790872806960874E-2</c:v>
                </c:pt>
                <c:pt idx="8" formatCode="0.00000">
                  <c:v>3.0698880146919134E-2</c:v>
                </c:pt>
                <c:pt idx="9" formatCode="0.00000">
                  <c:v>2.1707386326719594E-2</c:v>
                </c:pt>
                <c:pt idx="10" formatCode="0.00000">
                  <c:v>1.6363216536389592E-2</c:v>
                </c:pt>
                <c:pt idx="11" formatCode="0.00000">
                  <c:v>1.1950003747096177E-2</c:v>
                </c:pt>
                <c:pt idx="12" formatCode="0.00000">
                  <c:v>8.5553541370350806E-3</c:v>
                </c:pt>
                <c:pt idx="13" formatCode="0.00000">
                  <c:v>6.0495489257498892E-3</c:v>
                </c:pt>
                <c:pt idx="14" formatCode="0.00000">
                  <c:v>4.3297480885832315E-3</c:v>
                </c:pt>
                <c:pt idx="15" formatCode="0.00000">
                  <c:v>3.0979764297569615E-3</c:v>
                </c:pt>
                <c:pt idx="16" formatCode="0.00000">
                  <c:v>2.1906001414372374E-3</c:v>
                </c:pt>
                <c:pt idx="17" formatCode="0.00000">
                  <c:v>1.5669681444882946E-3</c:v>
                </c:pt>
                <c:pt idx="18" formatCode="0.00000">
                  <c:v>1.2794241323973556E-3</c:v>
                </c:pt>
              </c:numCache>
              <c:extLst xmlns:c15="http://schemas.microsoft.com/office/drawing/2012/chart"/>
            </c:numRef>
          </c:xVal>
          <c:yVal>
            <c:numRef>
              <c:f>PLOT!$W$13:$AO$13</c:f>
              <c:numCache>
                <c:formatCode>0.00</c:formatCode>
                <c:ptCount val="19"/>
                <c:pt idx="0">
                  <c:v>100</c:v>
                </c:pt>
                <c:pt idx="1">
                  <c:v>98.305000000000007</c:v>
                </c:pt>
                <c:pt idx="2">
                  <c:v>83.905000000000001</c:v>
                </c:pt>
                <c:pt idx="3">
                  <c:v>79.724999999999994</c:v>
                </c:pt>
                <c:pt idx="4">
                  <c:v>79.16</c:v>
                </c:pt>
                <c:pt idx="5">
                  <c:v>78.650000000000006</c:v>
                </c:pt>
                <c:pt idx="6">
                  <c:v>68.638499999999695</c:v>
                </c:pt>
                <c:pt idx="7">
                  <c:v>68.638499999999695</c:v>
                </c:pt>
                <c:pt idx="8">
                  <c:v>65.322710526315845</c:v>
                </c:pt>
                <c:pt idx="9">
                  <c:v>65.322710526315845</c:v>
                </c:pt>
                <c:pt idx="10">
                  <c:v>62.00692105263127</c:v>
                </c:pt>
                <c:pt idx="11">
                  <c:v>62.00692105263127</c:v>
                </c:pt>
                <c:pt idx="12">
                  <c:v>58.691131578947413</c:v>
                </c:pt>
                <c:pt idx="13">
                  <c:v>58.691131578947413</c:v>
                </c:pt>
                <c:pt idx="14">
                  <c:v>55.375342105262838</c:v>
                </c:pt>
                <c:pt idx="15">
                  <c:v>52.059552631578988</c:v>
                </c:pt>
                <c:pt idx="16">
                  <c:v>52.059552631578988</c:v>
                </c:pt>
                <c:pt idx="17">
                  <c:v>48.743763157894413</c:v>
                </c:pt>
                <c:pt idx="18">
                  <c:v>48.743763157894413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PLOT!$C$14</c:f>
              <c:strCache>
                <c:ptCount val="1"/>
                <c:pt idx="0">
                  <c:v>17.00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PLOT!$D$14:$V$14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PLOT!$W$14:$AO$14</c:f>
              <c:numCache>
                <c:formatCode>0.00</c:formatCode>
                <c:ptCount val="19"/>
                <c:pt idx="0">
                  <c:v>94.52</c:v>
                </c:pt>
                <c:pt idx="1">
                  <c:v>88.57</c:v>
                </c:pt>
                <c:pt idx="2">
                  <c:v>82.5</c:v>
                </c:pt>
                <c:pt idx="3">
                  <c:v>81.760000000000005</c:v>
                </c:pt>
                <c:pt idx="4">
                  <c:v>81.63</c:v>
                </c:pt>
                <c:pt idx="5">
                  <c:v>81.48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33097986862992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286311</xdr:colOff>
      <xdr:row>0</xdr:row>
      <xdr:rowOff>184334</xdr:rowOff>
    </xdr:from>
    <xdr:to>
      <xdr:col>63</xdr:col>
      <xdr:colOff>454958</xdr:colOff>
      <xdr:row>33</xdr:row>
      <xdr:rowOff>160292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23"/>
  <sheetViews>
    <sheetView tabSelected="1" topLeftCell="F4" zoomScale="85" zoomScaleNormal="85" workbookViewId="0">
      <selection activeCell="W7" sqref="W7:Y7"/>
    </sheetView>
  </sheetViews>
  <sheetFormatPr defaultColWidth="9" defaultRowHeight="15" x14ac:dyDescent="0.25"/>
  <cols>
    <col min="1" max="1" width="6.5703125" style="2" customWidth="1"/>
    <col min="2" max="2" width="4.85546875" style="2" customWidth="1"/>
    <col min="3" max="4" width="5.5703125" style="2" customWidth="1"/>
    <col min="5" max="5" width="7.7109375" style="2" customWidth="1"/>
    <col min="6" max="6" width="7.7109375" style="12" customWidth="1"/>
    <col min="7" max="7" width="9.7109375" style="2" customWidth="1"/>
    <col min="8" max="8" width="11.28515625" style="2" customWidth="1"/>
    <col min="9" max="9" width="13" style="2" customWidth="1"/>
    <col min="10" max="16" width="7.7109375" style="2" customWidth="1"/>
    <col min="17" max="16384" width="9" style="2"/>
  </cols>
  <sheetData>
    <row r="1" spans="1:25" ht="25.15" customHeight="1" x14ac:dyDescent="0.25">
      <c r="A1" s="63" t="s">
        <v>3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</row>
    <row r="2" spans="1:25" ht="24.6" customHeight="1" x14ac:dyDescent="0.25">
      <c r="A2" s="64" t="s">
        <v>4</v>
      </c>
      <c r="B2" s="67" t="s">
        <v>5</v>
      </c>
      <c r="C2" s="67" t="s">
        <v>6</v>
      </c>
      <c r="D2" s="67" t="s">
        <v>7</v>
      </c>
      <c r="E2" s="70" t="s">
        <v>8</v>
      </c>
      <c r="F2" s="70" t="s">
        <v>9</v>
      </c>
      <c r="G2" s="70" t="s">
        <v>10</v>
      </c>
      <c r="H2" s="70" t="s">
        <v>11</v>
      </c>
      <c r="I2" s="71" t="s">
        <v>12</v>
      </c>
      <c r="J2" s="74" t="s">
        <v>13</v>
      </c>
      <c r="K2" s="74"/>
      <c r="L2" s="74"/>
      <c r="M2" s="74"/>
      <c r="N2" s="74"/>
      <c r="O2" s="74"/>
      <c r="P2" s="74"/>
      <c r="Q2" s="74" t="s">
        <v>0</v>
      </c>
      <c r="R2" s="74"/>
      <c r="S2" s="74"/>
      <c r="T2" s="74"/>
      <c r="U2" s="74"/>
      <c r="V2" s="74"/>
      <c r="W2" s="73" t="s">
        <v>14</v>
      </c>
      <c r="X2" s="73" t="s">
        <v>15</v>
      </c>
      <c r="Y2" s="73" t="s">
        <v>16</v>
      </c>
    </row>
    <row r="3" spans="1:25" ht="40.5" customHeight="1" x14ac:dyDescent="0.25">
      <c r="A3" s="65"/>
      <c r="B3" s="68"/>
      <c r="C3" s="68"/>
      <c r="D3" s="68"/>
      <c r="E3" s="70"/>
      <c r="F3" s="70"/>
      <c r="G3" s="70"/>
      <c r="H3" s="70"/>
      <c r="I3" s="72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73"/>
      <c r="X3" s="73"/>
      <c r="Y3" s="73"/>
    </row>
    <row r="4" spans="1:25" ht="21.6" customHeight="1" x14ac:dyDescent="0.25">
      <c r="A4" s="66"/>
      <c r="B4" s="69"/>
      <c r="C4" s="69"/>
      <c r="D4" s="69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74" t="s">
        <v>20</v>
      </c>
      <c r="K4" s="74"/>
      <c r="L4" s="74"/>
      <c r="M4" s="74"/>
      <c r="N4" s="74"/>
      <c r="O4" s="74"/>
      <c r="P4" s="74"/>
      <c r="Q4" s="74" t="s">
        <v>20</v>
      </c>
      <c r="R4" s="74"/>
      <c r="S4" s="74"/>
      <c r="T4" s="74"/>
      <c r="U4" s="74"/>
      <c r="V4" s="74"/>
      <c r="W4" s="75" t="s">
        <v>21</v>
      </c>
      <c r="X4" s="76"/>
      <c r="Y4" s="76"/>
    </row>
    <row r="5" spans="1:25" ht="30" customHeight="1" x14ac:dyDescent="0.25">
      <c r="A5" s="10">
        <v>1</v>
      </c>
      <c r="B5" s="77" t="s">
        <v>49</v>
      </c>
      <c r="C5" s="78">
        <v>14.76</v>
      </c>
      <c r="D5" s="79"/>
      <c r="E5" s="54" t="s">
        <v>47</v>
      </c>
      <c r="F5" s="54">
        <v>0.5</v>
      </c>
      <c r="G5" s="54">
        <v>280</v>
      </c>
      <c r="H5" s="54">
        <v>100</v>
      </c>
      <c r="I5" s="26">
        <f>SUM(J5:O5)</f>
        <v>78.73</v>
      </c>
      <c r="J5" s="26">
        <v>1.03</v>
      </c>
      <c r="K5" s="26">
        <v>0.49</v>
      </c>
      <c r="L5" s="26">
        <v>18.649999999999999</v>
      </c>
      <c r="M5" s="26">
        <v>47.82</v>
      </c>
      <c r="N5" s="26">
        <v>7.2</v>
      </c>
      <c r="O5" s="26">
        <v>3.54</v>
      </c>
      <c r="P5" s="26" t="s">
        <v>18</v>
      </c>
      <c r="Q5" s="11">
        <f t="shared" ref="Q5:Q16" si="0">((H5-(SUM(J5)))/H5)*100</f>
        <v>98.97</v>
      </c>
      <c r="R5" s="11">
        <f t="shared" ref="R5:R16" si="1">((H5-(SUM(J5:K5)))/H5)*100</f>
        <v>98.48</v>
      </c>
      <c r="S5" s="11">
        <f t="shared" ref="S5:S16" si="2">((H5-(SUM(J5:L5)))/H5)*100</f>
        <v>79.83</v>
      </c>
      <c r="T5" s="11">
        <f t="shared" ref="T5:T16" si="3">((H5-(SUM(J5:M5)))/H5)*100</f>
        <v>32.010000000000005</v>
      </c>
      <c r="U5" s="11">
        <f t="shared" ref="U5:U16" si="4">((H5-(SUM(J5:N5)))/H5)*100</f>
        <v>24.810000000000002</v>
      </c>
      <c r="V5" s="11">
        <f t="shared" ref="V5:V16" si="5">((H5-(SUM(J5:O5)))/H5)*100</f>
        <v>21.269999999999996</v>
      </c>
      <c r="W5" s="11">
        <f>100-Q5</f>
        <v>1.0300000000000011</v>
      </c>
      <c r="X5" s="11">
        <f>Q5-V5</f>
        <v>77.7</v>
      </c>
      <c r="Y5" s="11">
        <f>V5</f>
        <v>21.269999999999996</v>
      </c>
    </row>
    <row r="6" spans="1:25" ht="30" customHeight="1" x14ac:dyDescent="0.25">
      <c r="A6" s="53">
        <v>2</v>
      </c>
      <c r="B6" s="77"/>
      <c r="C6" s="78"/>
      <c r="D6" s="79"/>
      <c r="E6" s="54" t="s">
        <v>48</v>
      </c>
      <c r="F6" s="54">
        <v>1.5</v>
      </c>
      <c r="G6" s="54">
        <v>269</v>
      </c>
      <c r="H6" s="54">
        <v>200</v>
      </c>
      <c r="I6" s="26">
        <f t="shared" ref="I6:I17" si="6">SUM(J6:O6)</f>
        <v>13.379999999999999</v>
      </c>
      <c r="J6" s="26">
        <v>2.44</v>
      </c>
      <c r="K6" s="26">
        <v>1.05</v>
      </c>
      <c r="L6" s="26">
        <v>2.8</v>
      </c>
      <c r="M6" s="26">
        <v>5.53</v>
      </c>
      <c r="N6" s="26">
        <v>0.94</v>
      </c>
      <c r="O6" s="26">
        <v>0.62</v>
      </c>
      <c r="P6" s="26" t="s">
        <v>18</v>
      </c>
      <c r="Q6" s="11">
        <f t="shared" si="0"/>
        <v>98.78</v>
      </c>
      <c r="R6" s="11">
        <f t="shared" si="1"/>
        <v>98.254999999999995</v>
      </c>
      <c r="S6" s="11">
        <f t="shared" si="2"/>
        <v>96.855000000000004</v>
      </c>
      <c r="T6" s="11">
        <f t="shared" si="3"/>
        <v>94.09</v>
      </c>
      <c r="U6" s="11">
        <f t="shared" si="4"/>
        <v>93.62</v>
      </c>
      <c r="V6" s="11">
        <f t="shared" si="5"/>
        <v>93.31</v>
      </c>
      <c r="W6" s="11">
        <f t="shared" ref="W6:W16" si="7">100-Q6</f>
        <v>1.2199999999999989</v>
      </c>
      <c r="X6" s="11">
        <f t="shared" ref="X6:X16" si="8">Q6-V6</f>
        <v>5.4699999999999989</v>
      </c>
      <c r="Y6" s="11">
        <f t="shared" ref="Y6:Y16" si="9">V6</f>
        <v>93.31</v>
      </c>
    </row>
    <row r="7" spans="1:25" ht="30" customHeight="1" x14ac:dyDescent="0.25">
      <c r="A7" s="53">
        <v>3</v>
      </c>
      <c r="B7" s="77"/>
      <c r="C7" s="78"/>
      <c r="D7" s="79"/>
      <c r="E7" s="54" t="s">
        <v>48</v>
      </c>
      <c r="F7" s="54">
        <v>4.5</v>
      </c>
      <c r="G7" s="54">
        <v>232</v>
      </c>
      <c r="H7" s="54">
        <v>200</v>
      </c>
      <c r="I7" s="26">
        <f t="shared" si="6"/>
        <v>79.3</v>
      </c>
      <c r="J7" s="26">
        <v>1</v>
      </c>
      <c r="K7" s="26">
        <v>2.4300000000000002</v>
      </c>
      <c r="L7" s="26">
        <v>38.020000000000003</v>
      </c>
      <c r="M7" s="26">
        <v>31.93</v>
      </c>
      <c r="N7" s="26">
        <v>4.05</v>
      </c>
      <c r="O7" s="26">
        <v>1.87</v>
      </c>
      <c r="P7" s="26" t="s">
        <v>18</v>
      </c>
      <c r="Q7" s="11">
        <f t="shared" si="0"/>
        <v>99.5</v>
      </c>
      <c r="R7" s="11">
        <f t="shared" si="1"/>
        <v>98.284999999999997</v>
      </c>
      <c r="S7" s="11">
        <f t="shared" si="2"/>
        <v>79.275000000000006</v>
      </c>
      <c r="T7" s="11">
        <f t="shared" si="3"/>
        <v>63.31</v>
      </c>
      <c r="U7" s="11">
        <f t="shared" si="4"/>
        <v>61.285000000000004</v>
      </c>
      <c r="V7" s="11">
        <f t="shared" si="5"/>
        <v>60.35</v>
      </c>
      <c r="W7" s="11">
        <f t="shared" si="7"/>
        <v>0.5</v>
      </c>
      <c r="X7" s="11">
        <f t="shared" si="8"/>
        <v>39.15</v>
      </c>
      <c r="Y7" s="11">
        <f t="shared" si="9"/>
        <v>60.35</v>
      </c>
    </row>
    <row r="8" spans="1:25" ht="30" customHeight="1" x14ac:dyDescent="0.25">
      <c r="A8" s="53">
        <v>4</v>
      </c>
      <c r="B8" s="77"/>
      <c r="C8" s="78"/>
      <c r="D8" s="79"/>
      <c r="E8" s="54" t="s">
        <v>47</v>
      </c>
      <c r="F8" s="54">
        <v>6.5</v>
      </c>
      <c r="G8" s="54">
        <v>291</v>
      </c>
      <c r="H8" s="54">
        <v>100</v>
      </c>
      <c r="I8" s="26">
        <f t="shared" si="6"/>
        <v>4.51</v>
      </c>
      <c r="J8" s="26">
        <v>0</v>
      </c>
      <c r="K8" s="26">
        <v>0</v>
      </c>
      <c r="L8" s="26">
        <v>2.54</v>
      </c>
      <c r="M8" s="26">
        <v>0.92</v>
      </c>
      <c r="N8" s="26">
        <v>0.23</v>
      </c>
      <c r="O8" s="26">
        <v>0.82</v>
      </c>
      <c r="P8" s="26" t="s">
        <v>18</v>
      </c>
      <c r="Q8" s="11">
        <f t="shared" si="0"/>
        <v>100</v>
      </c>
      <c r="R8" s="11">
        <f t="shared" si="1"/>
        <v>100</v>
      </c>
      <c r="S8" s="11">
        <f t="shared" si="2"/>
        <v>97.46</v>
      </c>
      <c r="T8" s="11">
        <f t="shared" si="3"/>
        <v>96.54</v>
      </c>
      <c r="U8" s="11">
        <f t="shared" si="4"/>
        <v>96.31</v>
      </c>
      <c r="V8" s="11">
        <f t="shared" si="5"/>
        <v>95.49</v>
      </c>
      <c r="W8" s="11">
        <f t="shared" si="7"/>
        <v>0</v>
      </c>
      <c r="X8" s="11">
        <f t="shared" si="8"/>
        <v>4.5100000000000051</v>
      </c>
      <c r="Y8" s="11">
        <f t="shared" si="9"/>
        <v>95.49</v>
      </c>
    </row>
    <row r="9" spans="1:25" ht="30" customHeight="1" x14ac:dyDescent="0.25">
      <c r="A9" s="53">
        <v>5</v>
      </c>
      <c r="B9" s="77"/>
      <c r="C9" s="78"/>
      <c r="D9" s="79"/>
      <c r="E9" s="54" t="s">
        <v>48</v>
      </c>
      <c r="F9" s="54">
        <v>7.5</v>
      </c>
      <c r="G9" s="54">
        <v>202</v>
      </c>
      <c r="H9" s="54">
        <v>200</v>
      </c>
      <c r="I9" s="26">
        <f t="shared" si="6"/>
        <v>44.88</v>
      </c>
      <c r="J9" s="26">
        <v>2.5499999999999998</v>
      </c>
      <c r="K9" s="26">
        <v>5.57</v>
      </c>
      <c r="L9" s="26">
        <v>21.69</v>
      </c>
      <c r="M9" s="26">
        <v>11.58</v>
      </c>
      <c r="N9" s="26">
        <v>1.88</v>
      </c>
      <c r="O9" s="26">
        <v>1.61</v>
      </c>
      <c r="P9" s="26" t="s">
        <v>18</v>
      </c>
      <c r="Q9" s="11">
        <f t="shared" si="0"/>
        <v>98.724999999999994</v>
      </c>
      <c r="R9" s="11">
        <f t="shared" si="1"/>
        <v>95.94</v>
      </c>
      <c r="S9" s="11">
        <f t="shared" si="2"/>
        <v>85.094999999999999</v>
      </c>
      <c r="T9" s="11">
        <f t="shared" si="3"/>
        <v>79.305000000000007</v>
      </c>
      <c r="U9" s="11">
        <f t="shared" si="4"/>
        <v>78.364999999999995</v>
      </c>
      <c r="V9" s="11">
        <f t="shared" si="5"/>
        <v>77.56</v>
      </c>
      <c r="W9" s="11">
        <f t="shared" si="7"/>
        <v>1.2750000000000057</v>
      </c>
      <c r="X9" s="11">
        <f t="shared" si="8"/>
        <v>21.164999999999992</v>
      </c>
      <c r="Y9" s="11">
        <f t="shared" si="9"/>
        <v>77.56</v>
      </c>
    </row>
    <row r="10" spans="1:25" ht="30" customHeight="1" x14ac:dyDescent="0.25">
      <c r="A10" s="53">
        <v>6</v>
      </c>
      <c r="B10" s="77"/>
      <c r="C10" s="78"/>
      <c r="D10" s="79"/>
      <c r="E10" s="54" t="s">
        <v>47</v>
      </c>
      <c r="F10" s="54">
        <v>9.5</v>
      </c>
      <c r="G10" s="54">
        <v>257</v>
      </c>
      <c r="H10" s="54">
        <v>100</v>
      </c>
      <c r="I10" s="26">
        <f t="shared" si="6"/>
        <v>8.02</v>
      </c>
      <c r="J10" s="26">
        <v>0</v>
      </c>
      <c r="K10" s="26">
        <v>0</v>
      </c>
      <c r="L10" s="26">
        <v>0.53</v>
      </c>
      <c r="M10" s="26">
        <v>3.04</v>
      </c>
      <c r="N10" s="26">
        <v>1.49</v>
      </c>
      <c r="O10" s="26">
        <v>2.96</v>
      </c>
      <c r="P10" s="26" t="s">
        <v>18</v>
      </c>
      <c r="Q10" s="11">
        <f t="shared" si="0"/>
        <v>100</v>
      </c>
      <c r="R10" s="11">
        <f t="shared" si="1"/>
        <v>100</v>
      </c>
      <c r="S10" s="11">
        <f t="shared" si="2"/>
        <v>99.47</v>
      </c>
      <c r="T10" s="11">
        <f t="shared" si="3"/>
        <v>96.43</v>
      </c>
      <c r="U10" s="11">
        <f t="shared" si="4"/>
        <v>94.94</v>
      </c>
      <c r="V10" s="11">
        <f t="shared" si="5"/>
        <v>91.98</v>
      </c>
      <c r="W10" s="11">
        <f t="shared" si="7"/>
        <v>0</v>
      </c>
      <c r="X10" s="11">
        <f t="shared" si="8"/>
        <v>8.019999999999996</v>
      </c>
      <c r="Y10" s="11">
        <f t="shared" si="9"/>
        <v>91.98</v>
      </c>
    </row>
    <row r="11" spans="1:25" ht="30" customHeight="1" x14ac:dyDescent="0.25">
      <c r="A11" s="53">
        <v>7</v>
      </c>
      <c r="B11" s="77"/>
      <c r="C11" s="78"/>
      <c r="D11" s="79"/>
      <c r="E11" s="54" t="s">
        <v>48</v>
      </c>
      <c r="F11" s="54">
        <v>10.5</v>
      </c>
      <c r="G11" s="54">
        <v>203</v>
      </c>
      <c r="H11" s="54">
        <v>200</v>
      </c>
      <c r="I11" s="26">
        <f t="shared" si="6"/>
        <v>28.799999999999997</v>
      </c>
      <c r="J11" s="26">
        <v>0.92</v>
      </c>
      <c r="K11" s="26">
        <v>2.83</v>
      </c>
      <c r="L11" s="26">
        <v>13.69</v>
      </c>
      <c r="M11" s="26">
        <v>6.34</v>
      </c>
      <c r="N11" s="26">
        <v>1.75</v>
      </c>
      <c r="O11" s="26">
        <v>3.27</v>
      </c>
      <c r="P11" s="26" t="s">
        <v>18</v>
      </c>
      <c r="Q11" s="11">
        <f t="shared" si="0"/>
        <v>99.54</v>
      </c>
      <c r="R11" s="11">
        <f t="shared" si="1"/>
        <v>98.125</v>
      </c>
      <c r="S11" s="11">
        <f t="shared" si="2"/>
        <v>91.28</v>
      </c>
      <c r="T11" s="11">
        <f t="shared" si="3"/>
        <v>88.11</v>
      </c>
      <c r="U11" s="11">
        <f t="shared" si="4"/>
        <v>87.234999999999999</v>
      </c>
      <c r="V11" s="11">
        <f t="shared" si="5"/>
        <v>85.6</v>
      </c>
      <c r="W11" s="11">
        <f t="shared" si="7"/>
        <v>0.45999999999999375</v>
      </c>
      <c r="X11" s="11">
        <f t="shared" si="8"/>
        <v>13.940000000000012</v>
      </c>
      <c r="Y11" s="11">
        <f t="shared" si="9"/>
        <v>85.6</v>
      </c>
    </row>
    <row r="12" spans="1:25" ht="30" customHeight="1" x14ac:dyDescent="0.25">
      <c r="A12" s="53">
        <v>8</v>
      </c>
      <c r="B12" s="77"/>
      <c r="C12" s="78"/>
      <c r="D12" s="79"/>
      <c r="E12" s="54" t="s">
        <v>47</v>
      </c>
      <c r="F12" s="54">
        <v>12.5</v>
      </c>
      <c r="G12" s="54">
        <v>289</v>
      </c>
      <c r="H12" s="54">
        <v>100</v>
      </c>
      <c r="I12" s="26">
        <f t="shared" si="6"/>
        <v>10.68</v>
      </c>
      <c r="J12" s="26">
        <v>0.62</v>
      </c>
      <c r="K12" s="26">
        <v>2.44</v>
      </c>
      <c r="L12" s="26">
        <v>5.24</v>
      </c>
      <c r="M12" s="26">
        <v>1.63</v>
      </c>
      <c r="N12" s="26">
        <v>0.34</v>
      </c>
      <c r="O12" s="26">
        <v>0.41</v>
      </c>
      <c r="P12" s="26" t="s">
        <v>18</v>
      </c>
      <c r="Q12" s="11">
        <f t="shared" si="0"/>
        <v>99.38</v>
      </c>
      <c r="R12" s="11">
        <f t="shared" si="1"/>
        <v>96.94</v>
      </c>
      <c r="S12" s="11">
        <f t="shared" si="2"/>
        <v>91.7</v>
      </c>
      <c r="T12" s="11">
        <f t="shared" si="3"/>
        <v>90.07</v>
      </c>
      <c r="U12" s="11">
        <f t="shared" si="4"/>
        <v>89.73</v>
      </c>
      <c r="V12" s="11">
        <f t="shared" si="5"/>
        <v>89.32</v>
      </c>
      <c r="W12" s="11">
        <f t="shared" si="7"/>
        <v>0.62000000000000455</v>
      </c>
      <c r="X12" s="11">
        <f t="shared" si="8"/>
        <v>10.060000000000002</v>
      </c>
      <c r="Y12" s="11">
        <f t="shared" si="9"/>
        <v>89.32</v>
      </c>
    </row>
    <row r="13" spans="1:25" ht="30" customHeight="1" x14ac:dyDescent="0.25">
      <c r="A13" s="53">
        <v>9</v>
      </c>
      <c r="B13" s="77"/>
      <c r="C13" s="78"/>
      <c r="D13" s="79"/>
      <c r="E13" s="54" t="s">
        <v>48</v>
      </c>
      <c r="F13" s="54">
        <v>13.5</v>
      </c>
      <c r="G13" s="54">
        <v>250</v>
      </c>
      <c r="H13" s="54">
        <v>200</v>
      </c>
      <c r="I13" s="26">
        <f t="shared" si="6"/>
        <v>1.7100000000000002</v>
      </c>
      <c r="J13" s="26">
        <v>0</v>
      </c>
      <c r="K13" s="26">
        <v>0.41</v>
      </c>
      <c r="L13" s="26">
        <v>0.79</v>
      </c>
      <c r="M13" s="26">
        <v>0.31</v>
      </c>
      <c r="N13" s="26">
        <v>0.09</v>
      </c>
      <c r="O13" s="26">
        <v>0.11</v>
      </c>
      <c r="P13" s="26" t="s">
        <v>18</v>
      </c>
      <c r="Q13" s="11">
        <f t="shared" si="0"/>
        <v>100</v>
      </c>
      <c r="R13" s="11">
        <f t="shared" si="1"/>
        <v>99.795000000000002</v>
      </c>
      <c r="S13" s="11">
        <f t="shared" si="2"/>
        <v>99.4</v>
      </c>
      <c r="T13" s="11">
        <f t="shared" si="3"/>
        <v>99.245000000000005</v>
      </c>
      <c r="U13" s="11">
        <f t="shared" si="4"/>
        <v>99.2</v>
      </c>
      <c r="V13" s="11">
        <f t="shared" si="5"/>
        <v>99.144999999999996</v>
      </c>
      <c r="W13" s="11">
        <f t="shared" si="7"/>
        <v>0</v>
      </c>
      <c r="X13" s="11">
        <f t="shared" si="8"/>
        <v>0.85500000000000398</v>
      </c>
      <c r="Y13" s="11">
        <f t="shared" si="9"/>
        <v>99.144999999999996</v>
      </c>
    </row>
    <row r="14" spans="1:25" ht="30" customHeight="1" x14ac:dyDescent="0.25">
      <c r="A14" s="53">
        <v>10</v>
      </c>
      <c r="B14" s="77"/>
      <c r="C14" s="78"/>
      <c r="D14" s="79"/>
      <c r="E14" s="54" t="s">
        <v>47</v>
      </c>
      <c r="F14" s="54">
        <v>15.5</v>
      </c>
      <c r="G14" s="54">
        <v>267</v>
      </c>
      <c r="H14" s="54">
        <v>100</v>
      </c>
      <c r="I14" s="26">
        <f t="shared" si="6"/>
        <v>7.4000000000000012</v>
      </c>
      <c r="J14" s="26">
        <v>2.1800000000000002</v>
      </c>
      <c r="K14" s="26">
        <v>1.72</v>
      </c>
      <c r="L14" s="26">
        <v>2.89</v>
      </c>
      <c r="M14" s="26">
        <v>0.37</v>
      </c>
      <c r="N14" s="26">
        <v>0.11</v>
      </c>
      <c r="O14" s="26">
        <v>0.13</v>
      </c>
      <c r="P14" s="26" t="s">
        <v>18</v>
      </c>
      <c r="Q14" s="11">
        <f t="shared" si="0"/>
        <v>97.82</v>
      </c>
      <c r="R14" s="11">
        <f t="shared" si="1"/>
        <v>96.1</v>
      </c>
      <c r="S14" s="11">
        <f t="shared" si="2"/>
        <v>93.21</v>
      </c>
      <c r="T14" s="11">
        <f t="shared" si="3"/>
        <v>92.84</v>
      </c>
      <c r="U14" s="11">
        <f t="shared" si="4"/>
        <v>92.73</v>
      </c>
      <c r="V14" s="11">
        <f t="shared" si="5"/>
        <v>92.6</v>
      </c>
      <c r="W14" s="11">
        <f t="shared" si="7"/>
        <v>2.1800000000000068</v>
      </c>
      <c r="X14" s="11">
        <f t="shared" si="8"/>
        <v>5.2199999999999989</v>
      </c>
      <c r="Y14" s="11">
        <f t="shared" si="9"/>
        <v>92.6</v>
      </c>
    </row>
    <row r="15" spans="1:25" ht="30" customHeight="1" x14ac:dyDescent="0.25">
      <c r="A15" s="53">
        <v>11</v>
      </c>
      <c r="B15" s="77"/>
      <c r="C15" s="78"/>
      <c r="D15" s="79"/>
      <c r="E15" s="54" t="s">
        <v>48</v>
      </c>
      <c r="F15" s="54">
        <v>16.5</v>
      </c>
      <c r="G15" s="54">
        <v>294</v>
      </c>
      <c r="H15" s="54">
        <v>200</v>
      </c>
      <c r="I15" s="26">
        <f t="shared" si="6"/>
        <v>42.7</v>
      </c>
      <c r="J15" s="26">
        <v>0</v>
      </c>
      <c r="K15" s="26">
        <v>3.39</v>
      </c>
      <c r="L15" s="26">
        <v>28.8</v>
      </c>
      <c r="M15" s="26">
        <v>8.36</v>
      </c>
      <c r="N15" s="26">
        <v>1.1299999999999999</v>
      </c>
      <c r="O15" s="26">
        <v>1.02</v>
      </c>
      <c r="P15" s="26" t="s">
        <v>18</v>
      </c>
      <c r="Q15" s="11">
        <f t="shared" si="0"/>
        <v>100</v>
      </c>
      <c r="R15" s="11">
        <f t="shared" si="1"/>
        <v>98.305000000000007</v>
      </c>
      <c r="S15" s="11">
        <f t="shared" si="2"/>
        <v>83.905000000000001</v>
      </c>
      <c r="T15" s="11">
        <f t="shared" si="3"/>
        <v>79.724999999999994</v>
      </c>
      <c r="U15" s="11">
        <f t="shared" si="4"/>
        <v>79.16</v>
      </c>
      <c r="V15" s="11">
        <f t="shared" si="5"/>
        <v>78.650000000000006</v>
      </c>
      <c r="W15" s="11">
        <f t="shared" si="7"/>
        <v>0</v>
      </c>
      <c r="X15" s="11">
        <f t="shared" si="8"/>
        <v>21.349999999999994</v>
      </c>
      <c r="Y15" s="11">
        <f t="shared" si="9"/>
        <v>78.650000000000006</v>
      </c>
    </row>
    <row r="16" spans="1:25" ht="30" customHeight="1" x14ac:dyDescent="0.25">
      <c r="A16" s="53">
        <v>12</v>
      </c>
      <c r="B16" s="77"/>
      <c r="C16" s="78"/>
      <c r="D16" s="79"/>
      <c r="E16" s="54" t="s">
        <v>47</v>
      </c>
      <c r="F16" s="54">
        <v>17</v>
      </c>
      <c r="G16" s="54">
        <v>265</v>
      </c>
      <c r="H16" s="54">
        <v>100</v>
      </c>
      <c r="I16" s="26">
        <f t="shared" si="6"/>
        <v>18.519999999999996</v>
      </c>
      <c r="J16" s="26">
        <v>5.48</v>
      </c>
      <c r="K16" s="26">
        <v>5.95</v>
      </c>
      <c r="L16" s="26">
        <v>6.07</v>
      </c>
      <c r="M16" s="26">
        <v>0.74</v>
      </c>
      <c r="N16" s="26">
        <v>0.13</v>
      </c>
      <c r="O16" s="26">
        <v>0.15</v>
      </c>
      <c r="P16" s="26" t="s">
        <v>18</v>
      </c>
      <c r="Q16" s="11">
        <f t="shared" si="0"/>
        <v>94.52</v>
      </c>
      <c r="R16" s="11">
        <f t="shared" si="1"/>
        <v>88.57</v>
      </c>
      <c r="S16" s="11">
        <f t="shared" si="2"/>
        <v>82.5</v>
      </c>
      <c r="T16" s="11">
        <f t="shared" si="3"/>
        <v>81.760000000000005</v>
      </c>
      <c r="U16" s="11">
        <f t="shared" si="4"/>
        <v>81.63</v>
      </c>
      <c r="V16" s="11">
        <f t="shared" si="5"/>
        <v>81.48</v>
      </c>
      <c r="W16" s="11">
        <f t="shared" si="7"/>
        <v>5.480000000000004</v>
      </c>
      <c r="X16" s="11">
        <f t="shared" si="8"/>
        <v>13.039999999999992</v>
      </c>
      <c r="Y16" s="11">
        <f t="shared" si="9"/>
        <v>81.48</v>
      </c>
    </row>
    <row r="17" spans="1:25" ht="30" customHeight="1" x14ac:dyDescent="0.25">
      <c r="A17" s="53">
        <v>13</v>
      </c>
      <c r="B17" s="77"/>
      <c r="C17" s="78"/>
      <c r="D17" s="79"/>
      <c r="E17" s="54" t="s">
        <v>48</v>
      </c>
      <c r="F17" s="54">
        <v>19.5</v>
      </c>
      <c r="G17" s="54">
        <v>279</v>
      </c>
      <c r="H17" s="54">
        <v>200</v>
      </c>
      <c r="I17" s="26">
        <f t="shared" si="6"/>
        <v>83.73</v>
      </c>
      <c r="J17" s="26">
        <v>4.04</v>
      </c>
      <c r="K17" s="26">
        <v>9.66</v>
      </c>
      <c r="L17" s="26">
        <v>48.05</v>
      </c>
      <c r="M17" s="26">
        <v>15.21</v>
      </c>
      <c r="N17" s="26">
        <v>3.08</v>
      </c>
      <c r="O17" s="26">
        <v>3.69</v>
      </c>
      <c r="P17" s="26" t="s">
        <v>18</v>
      </c>
      <c r="Q17" s="11">
        <f t="shared" ref="Q17" si="10">((H17-(SUM(J17)))/H17)*100</f>
        <v>97.98</v>
      </c>
      <c r="R17" s="11">
        <f t="shared" ref="R17:R22" si="11">((H17-(SUM(J17:K17)))/H17)*100</f>
        <v>93.15</v>
      </c>
      <c r="S17" s="11">
        <f t="shared" ref="S17:S22" si="12">((H17-(SUM(J17:L17)))/H17)*100</f>
        <v>69.125</v>
      </c>
      <c r="T17" s="11">
        <f t="shared" ref="T17:T22" si="13">((H17-(SUM(J17:M17)))/H17)*100</f>
        <v>61.519999999999996</v>
      </c>
      <c r="U17" s="11">
        <f t="shared" ref="U17:U22" si="14">((H17-(SUM(J17:N17)))/H17)*100</f>
        <v>59.98</v>
      </c>
      <c r="V17" s="11">
        <f t="shared" ref="V17:V22" si="15">((H17-(SUM(J17:O17)))/H17)*100</f>
        <v>58.135000000000005</v>
      </c>
      <c r="W17" s="11">
        <f t="shared" ref="W17:W22" si="16">100-Q17</f>
        <v>2.019999999999996</v>
      </c>
      <c r="X17" s="11">
        <f t="shared" ref="X17:X22" si="17">Q17-V17</f>
        <v>39.844999999999999</v>
      </c>
      <c r="Y17" s="11">
        <f t="shared" ref="Y17:Y22" si="18">V17</f>
        <v>58.135000000000005</v>
      </c>
    </row>
    <row r="18" spans="1:25" ht="30" customHeight="1" x14ac:dyDescent="0.25">
      <c r="A18" s="53">
        <v>14</v>
      </c>
      <c r="B18" s="77"/>
      <c r="C18" s="78"/>
      <c r="D18" s="79"/>
      <c r="E18" s="54" t="s">
        <v>47</v>
      </c>
      <c r="F18" s="54">
        <v>20</v>
      </c>
      <c r="G18" s="54">
        <v>243</v>
      </c>
      <c r="H18" s="54">
        <v>100</v>
      </c>
      <c r="I18" s="26">
        <f t="shared" ref="I18:I23" si="19">SUM(J18:O18)</f>
        <v>13.590000000000002</v>
      </c>
      <c r="J18" s="26">
        <v>1.77</v>
      </c>
      <c r="K18" s="26">
        <v>3.84</v>
      </c>
      <c r="L18" s="26">
        <v>5.62</v>
      </c>
      <c r="M18" s="26">
        <v>1.62</v>
      </c>
      <c r="N18" s="26">
        <v>0.39</v>
      </c>
      <c r="O18" s="26">
        <v>0.35</v>
      </c>
      <c r="P18" s="26" t="s">
        <v>18</v>
      </c>
      <c r="Q18" s="11">
        <f t="shared" ref="Q18:Q22" si="20">((H18-(SUM(J18)))/H18)*100</f>
        <v>98.23</v>
      </c>
      <c r="R18" s="11">
        <f t="shared" si="11"/>
        <v>94.39</v>
      </c>
      <c r="S18" s="11">
        <f t="shared" si="12"/>
        <v>88.77</v>
      </c>
      <c r="T18" s="11">
        <f t="shared" si="13"/>
        <v>87.15</v>
      </c>
      <c r="U18" s="11">
        <f t="shared" si="14"/>
        <v>86.759999999999991</v>
      </c>
      <c r="V18" s="11">
        <f t="shared" si="15"/>
        <v>86.41</v>
      </c>
      <c r="W18" s="11">
        <f t="shared" si="16"/>
        <v>1.769999999999996</v>
      </c>
      <c r="X18" s="11">
        <f t="shared" si="17"/>
        <v>11.820000000000007</v>
      </c>
      <c r="Y18" s="11">
        <f t="shared" si="18"/>
        <v>86.41</v>
      </c>
    </row>
    <row r="19" spans="1:25" ht="30" customHeight="1" x14ac:dyDescent="0.25">
      <c r="A19" s="53">
        <v>15</v>
      </c>
      <c r="B19" s="77"/>
      <c r="C19" s="78"/>
      <c r="D19" s="79"/>
      <c r="E19" s="54" t="s">
        <v>48</v>
      </c>
      <c r="F19" s="54">
        <v>22.5</v>
      </c>
      <c r="G19" s="54">
        <v>229</v>
      </c>
      <c r="H19" s="54">
        <v>200</v>
      </c>
      <c r="I19" s="26">
        <f t="shared" si="19"/>
        <v>76.97999999999999</v>
      </c>
      <c r="J19" s="26">
        <v>4.66</v>
      </c>
      <c r="K19" s="26">
        <v>4.95</v>
      </c>
      <c r="L19" s="26">
        <v>43</v>
      </c>
      <c r="M19" s="26">
        <v>19.72</v>
      </c>
      <c r="N19" s="26">
        <v>3.05</v>
      </c>
      <c r="O19" s="26">
        <v>1.6</v>
      </c>
      <c r="P19" s="26" t="s">
        <v>18</v>
      </c>
      <c r="Q19" s="11">
        <f t="shared" si="20"/>
        <v>97.67</v>
      </c>
      <c r="R19" s="11">
        <f t="shared" si="11"/>
        <v>95.194999999999993</v>
      </c>
      <c r="S19" s="11">
        <f t="shared" si="12"/>
        <v>73.694999999999993</v>
      </c>
      <c r="T19" s="11">
        <f t="shared" si="13"/>
        <v>63.834999999999994</v>
      </c>
      <c r="U19" s="11">
        <f t="shared" si="14"/>
        <v>62.31</v>
      </c>
      <c r="V19" s="11">
        <f t="shared" si="15"/>
        <v>61.510000000000012</v>
      </c>
      <c r="W19" s="11">
        <f t="shared" si="16"/>
        <v>2.3299999999999983</v>
      </c>
      <c r="X19" s="11">
        <f t="shared" si="17"/>
        <v>36.159999999999989</v>
      </c>
      <c r="Y19" s="11">
        <f t="shared" si="18"/>
        <v>61.510000000000012</v>
      </c>
    </row>
    <row r="20" spans="1:25" ht="30" customHeight="1" x14ac:dyDescent="0.25">
      <c r="A20" s="53">
        <v>16</v>
      </c>
      <c r="B20" s="77"/>
      <c r="C20" s="78"/>
      <c r="D20" s="79"/>
      <c r="E20" s="54" t="s">
        <v>48</v>
      </c>
      <c r="F20" s="54">
        <v>25.5</v>
      </c>
      <c r="G20" s="54">
        <v>263</v>
      </c>
      <c r="H20" s="54">
        <v>200</v>
      </c>
      <c r="I20" s="26">
        <f t="shared" si="19"/>
        <v>79.31</v>
      </c>
      <c r="J20" s="26">
        <v>5.52</v>
      </c>
      <c r="K20" s="26">
        <v>9.83</v>
      </c>
      <c r="L20" s="26">
        <v>51.61</v>
      </c>
      <c r="M20" s="26">
        <v>10.28</v>
      </c>
      <c r="N20" s="26">
        <v>1.28</v>
      </c>
      <c r="O20" s="26">
        <v>0.79</v>
      </c>
      <c r="P20" s="26" t="s">
        <v>18</v>
      </c>
      <c r="Q20" s="11">
        <f t="shared" si="20"/>
        <v>97.24</v>
      </c>
      <c r="R20" s="11">
        <f t="shared" si="11"/>
        <v>92.325000000000003</v>
      </c>
      <c r="S20" s="11">
        <f t="shared" si="12"/>
        <v>66.52000000000001</v>
      </c>
      <c r="T20" s="11">
        <f t="shared" si="13"/>
        <v>61.38</v>
      </c>
      <c r="U20" s="11">
        <f t="shared" si="14"/>
        <v>60.74</v>
      </c>
      <c r="V20" s="11">
        <f t="shared" si="15"/>
        <v>60.345000000000006</v>
      </c>
      <c r="W20" s="11">
        <f t="shared" si="16"/>
        <v>2.7600000000000051</v>
      </c>
      <c r="X20" s="11">
        <f t="shared" si="17"/>
        <v>36.894999999999989</v>
      </c>
      <c r="Y20" s="11">
        <f t="shared" si="18"/>
        <v>60.345000000000006</v>
      </c>
    </row>
    <row r="21" spans="1:25" ht="30" customHeight="1" x14ac:dyDescent="0.25">
      <c r="A21" s="53">
        <v>17</v>
      </c>
      <c r="B21" s="77"/>
      <c r="C21" s="78"/>
      <c r="D21" s="79"/>
      <c r="E21" s="54" t="s">
        <v>47</v>
      </c>
      <c r="F21" s="54">
        <v>27.5</v>
      </c>
      <c r="G21" s="54">
        <v>0</v>
      </c>
      <c r="H21" s="54">
        <v>100</v>
      </c>
      <c r="I21" s="26">
        <f t="shared" si="19"/>
        <v>11.059999999999999</v>
      </c>
      <c r="J21" s="26">
        <v>1.76</v>
      </c>
      <c r="K21" s="26">
        <v>2.75</v>
      </c>
      <c r="L21" s="26">
        <v>4.0199999999999996</v>
      </c>
      <c r="M21" s="26">
        <v>1.49</v>
      </c>
      <c r="N21" s="26">
        <v>0.43</v>
      </c>
      <c r="O21" s="26">
        <v>0.61</v>
      </c>
      <c r="P21" s="26" t="s">
        <v>18</v>
      </c>
      <c r="Q21" s="11">
        <f t="shared" si="20"/>
        <v>98.24</v>
      </c>
      <c r="R21" s="11">
        <f t="shared" si="11"/>
        <v>95.49</v>
      </c>
      <c r="S21" s="11">
        <f t="shared" si="12"/>
        <v>91.47</v>
      </c>
      <c r="T21" s="11">
        <f t="shared" si="13"/>
        <v>89.98</v>
      </c>
      <c r="U21" s="11">
        <f t="shared" si="14"/>
        <v>89.55</v>
      </c>
      <c r="V21" s="11">
        <f t="shared" si="15"/>
        <v>88.94</v>
      </c>
      <c r="W21" s="11">
        <f t="shared" si="16"/>
        <v>1.7600000000000051</v>
      </c>
      <c r="X21" s="11">
        <f t="shared" si="17"/>
        <v>9.2999999999999972</v>
      </c>
      <c r="Y21" s="11">
        <f t="shared" si="18"/>
        <v>88.94</v>
      </c>
    </row>
    <row r="22" spans="1:25" ht="30" customHeight="1" x14ac:dyDescent="0.25">
      <c r="A22" s="53">
        <v>18</v>
      </c>
      <c r="B22" s="77"/>
      <c r="C22" s="78"/>
      <c r="D22" s="79"/>
      <c r="E22" s="54" t="s">
        <v>48</v>
      </c>
      <c r="F22" s="54">
        <v>28.5</v>
      </c>
      <c r="G22" s="54">
        <v>86</v>
      </c>
      <c r="H22" s="54">
        <v>200</v>
      </c>
      <c r="I22" s="26">
        <f t="shared" si="19"/>
        <v>88.339999999999989</v>
      </c>
      <c r="J22" s="26">
        <v>3.33</v>
      </c>
      <c r="K22" s="26">
        <v>8.39</v>
      </c>
      <c r="L22" s="26">
        <v>50.34</v>
      </c>
      <c r="M22" s="26">
        <v>19.91</v>
      </c>
      <c r="N22" s="26">
        <v>3.77</v>
      </c>
      <c r="O22" s="26">
        <v>2.6</v>
      </c>
      <c r="P22" s="26" t="s">
        <v>18</v>
      </c>
      <c r="Q22" s="11">
        <f t="shared" si="20"/>
        <v>98.334999999999994</v>
      </c>
      <c r="R22" s="11">
        <f t="shared" si="11"/>
        <v>94.14</v>
      </c>
      <c r="S22" s="11">
        <f t="shared" si="12"/>
        <v>68.97</v>
      </c>
      <c r="T22" s="11">
        <f t="shared" si="13"/>
        <v>59.014999999999993</v>
      </c>
      <c r="U22" s="11">
        <f t="shared" si="14"/>
        <v>57.13</v>
      </c>
      <c r="V22" s="11">
        <f t="shared" si="15"/>
        <v>55.83</v>
      </c>
      <c r="W22" s="11">
        <f t="shared" si="16"/>
        <v>1.6650000000000063</v>
      </c>
      <c r="X22" s="11">
        <f t="shared" si="17"/>
        <v>42.504999999999995</v>
      </c>
      <c r="Y22" s="11">
        <f t="shared" si="18"/>
        <v>55.83</v>
      </c>
    </row>
    <row r="23" spans="1:25" ht="30" customHeight="1" x14ac:dyDescent="0.25">
      <c r="A23" s="53">
        <v>19</v>
      </c>
      <c r="B23" s="77"/>
      <c r="C23" s="78"/>
      <c r="D23" s="79"/>
      <c r="E23" s="54" t="s">
        <v>47</v>
      </c>
      <c r="F23" s="54">
        <v>30</v>
      </c>
      <c r="G23" s="54">
        <v>273</v>
      </c>
      <c r="H23" s="54">
        <v>100</v>
      </c>
      <c r="I23" s="26">
        <f t="shared" si="19"/>
        <v>1.88</v>
      </c>
      <c r="J23" s="26">
        <v>0</v>
      </c>
      <c r="K23" s="26">
        <v>0.17</v>
      </c>
      <c r="L23" s="26">
        <v>1.08</v>
      </c>
      <c r="M23" s="26">
        <v>0.36</v>
      </c>
      <c r="N23" s="26">
        <v>0.11</v>
      </c>
      <c r="O23" s="26">
        <v>0.16</v>
      </c>
      <c r="P23" s="26" t="s">
        <v>18</v>
      </c>
      <c r="Q23" s="11">
        <f t="shared" ref="Q23" si="21">((H23-(SUM(J23)))/H23)*100</f>
        <v>100</v>
      </c>
      <c r="R23" s="11">
        <f t="shared" ref="R23" si="22">((H23-(SUM(J23:K23)))/H23)*100</f>
        <v>99.83</v>
      </c>
      <c r="S23" s="11">
        <f t="shared" ref="S23" si="23">((H23-(SUM(J23:L23)))/H23)*100</f>
        <v>98.75</v>
      </c>
      <c r="T23" s="11">
        <f t="shared" ref="T23" si="24">((H23-(SUM(J23:M23)))/H23)*100</f>
        <v>98.39</v>
      </c>
      <c r="U23" s="11">
        <f t="shared" ref="U23" si="25">((H23-(SUM(J23:N23)))/H23)*100</f>
        <v>98.28</v>
      </c>
      <c r="V23" s="11">
        <f t="shared" ref="V23" si="26">((H23-(SUM(J23:O23)))/H23)*100</f>
        <v>98.12</v>
      </c>
      <c r="W23" s="11">
        <f t="shared" ref="W23" si="27">100-Q23</f>
        <v>0</v>
      </c>
      <c r="X23" s="11">
        <f t="shared" ref="X23" si="28">Q23-V23</f>
        <v>1.8799999999999955</v>
      </c>
      <c r="Y23" s="11">
        <f t="shared" ref="Y23" si="29">V23</f>
        <v>98.12</v>
      </c>
    </row>
  </sheetData>
  <mergeCells count="21">
    <mergeCell ref="J2:P2"/>
    <mergeCell ref="Q2:V2"/>
    <mergeCell ref="B5:B23"/>
    <mergeCell ref="C5:C23"/>
    <mergeCell ref="D5:D23"/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23"/>
  <sheetViews>
    <sheetView topLeftCell="M1" zoomScaleNormal="100" workbookViewId="0">
      <selection activeCell="Y25" sqref="Y25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0" t="s">
        <v>4</v>
      </c>
      <c r="B1" s="83" t="s">
        <v>5</v>
      </c>
      <c r="C1" s="83" t="s">
        <v>9</v>
      </c>
      <c r="D1" s="80" t="s">
        <v>8</v>
      </c>
      <c r="E1" s="80" t="s">
        <v>22</v>
      </c>
      <c r="F1" s="80" t="s">
        <v>39</v>
      </c>
      <c r="G1" s="80" t="s">
        <v>23</v>
      </c>
      <c r="H1" s="80" t="s">
        <v>24</v>
      </c>
      <c r="I1" s="89" t="s">
        <v>33</v>
      </c>
      <c r="J1" s="80" t="s">
        <v>34</v>
      </c>
      <c r="K1" s="80" t="s">
        <v>25</v>
      </c>
      <c r="L1" s="80" t="s">
        <v>26</v>
      </c>
      <c r="M1" s="87" t="s">
        <v>27</v>
      </c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7" t="s">
        <v>28</v>
      </c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 t="s">
        <v>29</v>
      </c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22"/>
      <c r="BA1" s="22"/>
    </row>
    <row r="2" spans="1:53" x14ac:dyDescent="0.25">
      <c r="A2" s="81"/>
      <c r="B2" s="84"/>
      <c r="C2" s="84"/>
      <c r="D2" s="81"/>
      <c r="E2" s="81"/>
      <c r="F2" s="81"/>
      <c r="G2" s="81"/>
      <c r="H2" s="81"/>
      <c r="I2" s="89"/>
      <c r="J2" s="81"/>
      <c r="K2" s="81"/>
      <c r="L2" s="81"/>
      <c r="M2" s="90">
        <v>0.5</v>
      </c>
      <c r="N2" s="86">
        <v>1</v>
      </c>
      <c r="O2" s="86">
        <v>2</v>
      </c>
      <c r="P2" s="86">
        <v>4</v>
      </c>
      <c r="Q2" s="86">
        <v>8</v>
      </c>
      <c r="R2" s="86">
        <v>15</v>
      </c>
      <c r="S2" s="86">
        <v>30</v>
      </c>
      <c r="T2" s="86">
        <v>60</v>
      </c>
      <c r="U2" s="86">
        <v>120</v>
      </c>
      <c r="V2" s="86">
        <v>240</v>
      </c>
      <c r="W2" s="86">
        <v>480</v>
      </c>
      <c r="X2" s="86">
        <v>960</v>
      </c>
      <c r="Y2" s="86">
        <v>1440</v>
      </c>
      <c r="Z2" s="90">
        <v>0.5</v>
      </c>
      <c r="AA2" s="86">
        <v>1</v>
      </c>
      <c r="AB2" s="86">
        <v>2</v>
      </c>
      <c r="AC2" s="86">
        <v>4</v>
      </c>
      <c r="AD2" s="86">
        <v>8</v>
      </c>
      <c r="AE2" s="86">
        <v>15</v>
      </c>
      <c r="AF2" s="86">
        <v>30</v>
      </c>
      <c r="AG2" s="86">
        <v>60</v>
      </c>
      <c r="AH2" s="86">
        <v>120</v>
      </c>
      <c r="AI2" s="86">
        <v>240</v>
      </c>
      <c r="AJ2" s="86">
        <v>480</v>
      </c>
      <c r="AK2" s="86">
        <v>960</v>
      </c>
      <c r="AL2" s="86">
        <v>1440</v>
      </c>
      <c r="AM2" s="90">
        <v>0.5</v>
      </c>
      <c r="AN2" s="86">
        <v>1</v>
      </c>
      <c r="AO2" s="86">
        <v>2</v>
      </c>
      <c r="AP2" s="86">
        <v>4</v>
      </c>
      <c r="AQ2" s="86">
        <v>8</v>
      </c>
      <c r="AR2" s="86">
        <v>15</v>
      </c>
      <c r="AS2" s="86">
        <v>30</v>
      </c>
      <c r="AT2" s="86">
        <v>60</v>
      </c>
      <c r="AU2" s="86">
        <v>120</v>
      </c>
      <c r="AV2" s="86">
        <v>240</v>
      </c>
      <c r="AW2" s="86">
        <v>480</v>
      </c>
      <c r="AX2" s="86">
        <v>960</v>
      </c>
      <c r="AY2" s="86">
        <v>1440</v>
      </c>
      <c r="AZ2" s="22"/>
      <c r="BA2" s="22"/>
    </row>
    <row r="3" spans="1:53" x14ac:dyDescent="0.25">
      <c r="A3" s="81"/>
      <c r="B3" s="84"/>
      <c r="C3" s="84"/>
      <c r="D3" s="82"/>
      <c r="E3" s="82"/>
      <c r="F3" s="82"/>
      <c r="G3" s="82"/>
      <c r="H3" s="82"/>
      <c r="I3" s="89"/>
      <c r="J3" s="82"/>
      <c r="K3" s="82"/>
      <c r="L3" s="82"/>
      <c r="M3" s="90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90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90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22"/>
      <c r="BA3" s="22"/>
    </row>
    <row r="4" spans="1:53" x14ac:dyDescent="0.25">
      <c r="A4" s="82"/>
      <c r="B4" s="85"/>
      <c r="C4" s="85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91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3"/>
      <c r="Z4" s="91" t="s">
        <v>31</v>
      </c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3"/>
      <c r="AM4" s="89" t="s">
        <v>32</v>
      </c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20"/>
      <c r="BA4" s="20"/>
    </row>
    <row r="5" spans="1:53" x14ac:dyDescent="0.25">
      <c r="A5" s="30">
        <v>1</v>
      </c>
      <c r="B5" s="30" t="str">
        <f>GSD!B5</f>
        <v>RBH-11</v>
      </c>
      <c r="C5" s="34">
        <f>GSD!F5</f>
        <v>0.5</v>
      </c>
      <c r="D5" s="37" t="str">
        <f>GSD!E5</f>
        <v>SPT</v>
      </c>
      <c r="E5" s="34">
        <v>27</v>
      </c>
      <c r="F5" s="38">
        <f>(0.000000002615*E5^4) - (0.00000030607*E5^3) + (0.000016427499*E5^2) - (0.000618546309*E5) + 0.017919182437</f>
        <v>8.5594212700000009E-3</v>
      </c>
      <c r="G5" s="39"/>
      <c r="H5" s="30">
        <v>5.0000000000000001E-4</v>
      </c>
      <c r="I5" s="30">
        <v>1</v>
      </c>
      <c r="J5" s="30">
        <v>1</v>
      </c>
      <c r="K5" s="31">
        <f>(E5-27)*0.25</f>
        <v>0</v>
      </c>
      <c r="L5" s="30">
        <v>0.3</v>
      </c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21"/>
      <c r="BA5" s="21"/>
    </row>
    <row r="6" spans="1:53" x14ac:dyDescent="0.25">
      <c r="A6" s="30">
        <v>2</v>
      </c>
      <c r="B6" s="30" t="str">
        <f>B5</f>
        <v>RBH-11</v>
      </c>
      <c r="C6" s="34">
        <f>GSD!F6</f>
        <v>1.5</v>
      </c>
      <c r="D6" s="37" t="str">
        <f>GSD!E6</f>
        <v>UDS</v>
      </c>
      <c r="E6" s="34">
        <v>27</v>
      </c>
      <c r="F6" s="38">
        <f t="shared" ref="F6:F16" si="0">(0.000000002615*E6^4) - (0.00000030607*E6^3) + (0.000016427499*E6^2) - (0.000618546309*E6) + 0.017919182437</f>
        <v>8.5594212700000009E-3</v>
      </c>
      <c r="G6" s="39"/>
      <c r="H6" s="30">
        <v>5.0000000000000001E-4</v>
      </c>
      <c r="I6" s="30">
        <v>1</v>
      </c>
      <c r="J6" s="30">
        <v>1</v>
      </c>
      <c r="K6" s="31">
        <f t="shared" ref="K6:K16" si="1">(E6-27)*0.25</f>
        <v>0</v>
      </c>
      <c r="L6" s="30">
        <v>0.3</v>
      </c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21"/>
      <c r="BA6" s="21"/>
    </row>
    <row r="7" spans="1:53" s="41" customFormat="1" x14ac:dyDescent="0.25">
      <c r="A7" s="37">
        <v>3</v>
      </c>
      <c r="B7" s="37" t="str">
        <f t="shared" ref="B7:B23" si="2">B6</f>
        <v>RBH-11</v>
      </c>
      <c r="C7" s="34">
        <f>GSD!F7</f>
        <v>4.5</v>
      </c>
      <c r="D7" s="37" t="str">
        <f>GSD!E7</f>
        <v>UDS</v>
      </c>
      <c r="E7" s="34">
        <v>27</v>
      </c>
      <c r="F7" s="38">
        <f t="shared" si="0"/>
        <v>8.5594212700000009E-3</v>
      </c>
      <c r="G7" s="39">
        <v>2.7</v>
      </c>
      <c r="H7" s="37">
        <v>5.0000000000000001E-4</v>
      </c>
      <c r="I7" s="37">
        <v>1</v>
      </c>
      <c r="J7" s="37">
        <v>1</v>
      </c>
      <c r="K7" s="34">
        <f t="shared" si="1"/>
        <v>0</v>
      </c>
      <c r="L7" s="37">
        <v>0.3</v>
      </c>
      <c r="M7" s="39">
        <v>1.0189999999999999</v>
      </c>
      <c r="N7" s="39">
        <v>1.0189999999999999</v>
      </c>
      <c r="O7" s="39">
        <v>1.0189999999999999</v>
      </c>
      <c r="P7" s="39">
        <v>1.018</v>
      </c>
      <c r="Q7" s="39">
        <v>1.018</v>
      </c>
      <c r="R7" s="39">
        <v>1.0169999999999999</v>
      </c>
      <c r="S7" s="39">
        <v>1.0169999999999999</v>
      </c>
      <c r="T7" s="39">
        <v>1.016</v>
      </c>
      <c r="U7" s="39">
        <v>1.016</v>
      </c>
      <c r="V7" s="39">
        <v>1.0149999999999999</v>
      </c>
      <c r="W7" s="39">
        <v>1.014</v>
      </c>
      <c r="X7" s="39">
        <v>1.014</v>
      </c>
      <c r="Y7" s="39">
        <v>1.0129999999999999</v>
      </c>
      <c r="Z7" s="33">
        <v>5.887885652409839E-2</v>
      </c>
      <c r="AA7" s="33">
        <v>4.1633638716699763E-2</v>
      </c>
      <c r="AB7" s="33">
        <v>2.9439428262049195E-2</v>
      </c>
      <c r="AC7" s="33">
        <v>2.1103606434820382E-2</v>
      </c>
      <c r="AD7" s="33">
        <v>1.5665741587701239E-2</v>
      </c>
      <c r="AE7" s="33">
        <v>1.1579903918345074E-2</v>
      </c>
      <c r="AF7" s="33">
        <v>8.1882285861504759E-3</v>
      </c>
      <c r="AG7" s="33">
        <v>5.8587563623492111E-3</v>
      </c>
      <c r="AH7" s="33">
        <v>4.1427663531369563E-3</v>
      </c>
      <c r="AI7" s="33">
        <v>2.9633810309007253E-3</v>
      </c>
      <c r="AJ7" s="33">
        <v>2.1191976949145883E-3</v>
      </c>
      <c r="AK7" s="33">
        <v>1.4984990607490056E-3</v>
      </c>
      <c r="AL7" s="33">
        <v>1.2370912352654118E-3</v>
      </c>
      <c r="AM7" s="34">
        <v>59.401588235293815</v>
      </c>
      <c r="AN7" s="34">
        <v>59.401588235293815</v>
      </c>
      <c r="AO7" s="34">
        <v>59.401588235293815</v>
      </c>
      <c r="AP7" s="34">
        <v>56.225117647058866</v>
      </c>
      <c r="AQ7" s="34">
        <v>56.225117647058866</v>
      </c>
      <c r="AR7" s="34">
        <v>53.048647058823221</v>
      </c>
      <c r="AS7" s="34">
        <v>53.048647058823221</v>
      </c>
      <c r="AT7" s="34">
        <v>49.872176470588272</v>
      </c>
      <c r="AU7" s="34">
        <v>49.872176470588272</v>
      </c>
      <c r="AV7" s="34">
        <v>46.695705882352634</v>
      </c>
      <c r="AW7" s="34">
        <v>43.519235294117685</v>
      </c>
      <c r="AX7" s="34">
        <v>43.519235294117685</v>
      </c>
      <c r="AY7" s="34">
        <v>40.34276470588204</v>
      </c>
      <c r="AZ7" s="40"/>
      <c r="BA7" s="40"/>
    </row>
    <row r="8" spans="1:53" x14ac:dyDescent="0.25">
      <c r="A8" s="30">
        <v>4</v>
      </c>
      <c r="B8" s="30" t="str">
        <f t="shared" si="2"/>
        <v>RBH-11</v>
      </c>
      <c r="C8" s="34">
        <f>GSD!F8</f>
        <v>6.5</v>
      </c>
      <c r="D8" s="37" t="str">
        <f>GSD!E8</f>
        <v>SPT</v>
      </c>
      <c r="E8" s="34">
        <v>27</v>
      </c>
      <c r="F8" s="38">
        <f t="shared" si="0"/>
        <v>8.5594212700000009E-3</v>
      </c>
      <c r="G8" s="39">
        <v>2.74</v>
      </c>
      <c r="H8" s="30">
        <v>5.0000000000000001E-4</v>
      </c>
      <c r="I8" s="30">
        <v>1</v>
      </c>
      <c r="J8" s="30">
        <v>1</v>
      </c>
      <c r="K8" s="31">
        <f t="shared" si="1"/>
        <v>0</v>
      </c>
      <c r="L8" s="30">
        <v>0.3</v>
      </c>
      <c r="M8" s="32">
        <v>1.0229999999999999</v>
      </c>
      <c r="N8" s="32">
        <v>1.0229999999999999</v>
      </c>
      <c r="O8" s="32">
        <v>1.0229999999999999</v>
      </c>
      <c r="P8" s="32">
        <v>1.022</v>
      </c>
      <c r="Q8" s="32">
        <v>1.022</v>
      </c>
      <c r="R8" s="32">
        <v>1.0209999999999999</v>
      </c>
      <c r="S8" s="32">
        <v>1.02</v>
      </c>
      <c r="T8" s="32">
        <v>1.02</v>
      </c>
      <c r="U8" s="32">
        <v>1.0189999999999999</v>
      </c>
      <c r="V8" s="32">
        <v>1.018</v>
      </c>
      <c r="W8" s="32">
        <v>1.018</v>
      </c>
      <c r="X8" s="32">
        <v>1.018</v>
      </c>
      <c r="Y8" s="32">
        <v>1.0169999999999999</v>
      </c>
      <c r="Z8" s="33">
        <v>5.4874014062519398E-2</v>
      </c>
      <c r="AA8" s="33">
        <v>3.8801787454533436E-2</v>
      </c>
      <c r="AB8" s="33">
        <v>2.7437007031259699E-2</v>
      </c>
      <c r="AC8" s="33">
        <v>1.9701282712674278E-2</v>
      </c>
      <c r="AD8" s="33">
        <v>1.4706529113819039E-2</v>
      </c>
      <c r="AE8" s="33">
        <v>1.08849726413282E-2</v>
      </c>
      <c r="AF8" s="33">
        <v>7.7979118860308496E-3</v>
      </c>
      <c r="AG8" s="33">
        <v>5.5139563737075948E-3</v>
      </c>
      <c r="AH8" s="33">
        <v>3.9488461879190438E-3</v>
      </c>
      <c r="AI8" s="33">
        <v>2.8270934708734107E-3</v>
      </c>
      <c r="AJ8" s="33">
        <v>1.999056964302802E-3</v>
      </c>
      <c r="AK8" s="33">
        <v>1.4135467354367054E-3</v>
      </c>
      <c r="AL8" s="33">
        <v>1.1682053100225147E-3</v>
      </c>
      <c r="AM8" s="34">
        <v>71.493528735631884</v>
      </c>
      <c r="AN8" s="34">
        <v>71.493528735631884</v>
      </c>
      <c r="AO8" s="34">
        <v>71.493528735631884</v>
      </c>
      <c r="AP8" s="34">
        <v>68.344103448275916</v>
      </c>
      <c r="AQ8" s="34">
        <v>68.344103448275916</v>
      </c>
      <c r="AR8" s="34">
        <v>65.194678160919239</v>
      </c>
      <c r="AS8" s="34">
        <v>62.045252873563271</v>
      </c>
      <c r="AT8" s="34">
        <v>62.045252873563271</v>
      </c>
      <c r="AU8" s="34">
        <v>58.8958275862066</v>
      </c>
      <c r="AV8" s="34">
        <v>55.746402298850612</v>
      </c>
      <c r="AW8" s="34">
        <v>55.746402298850612</v>
      </c>
      <c r="AX8" s="34">
        <v>55.746402298850612</v>
      </c>
      <c r="AY8" s="34">
        <v>52.596977011493948</v>
      </c>
      <c r="AZ8" s="21"/>
      <c r="BA8" s="21"/>
    </row>
    <row r="9" spans="1:53" s="41" customFormat="1" x14ac:dyDescent="0.25">
      <c r="A9" s="37">
        <v>5</v>
      </c>
      <c r="B9" s="37" t="str">
        <f t="shared" si="2"/>
        <v>RBH-11</v>
      </c>
      <c r="C9" s="34">
        <f>GSD!F9</f>
        <v>7.5</v>
      </c>
      <c r="D9" s="37" t="str">
        <f>GSD!E9</f>
        <v>UDS</v>
      </c>
      <c r="E9" s="34">
        <v>27</v>
      </c>
      <c r="F9" s="38">
        <f t="shared" si="0"/>
        <v>8.5594212700000009E-3</v>
      </c>
      <c r="G9" s="39">
        <v>2.7</v>
      </c>
      <c r="H9" s="37">
        <v>5.0000000000000001E-4</v>
      </c>
      <c r="I9" s="37">
        <v>1</v>
      </c>
      <c r="J9" s="37">
        <v>1</v>
      </c>
      <c r="K9" s="34">
        <f t="shared" si="1"/>
        <v>0</v>
      </c>
      <c r="L9" s="37">
        <v>0.3</v>
      </c>
      <c r="M9" s="39">
        <v>1.02</v>
      </c>
      <c r="N9" s="39">
        <v>1.02</v>
      </c>
      <c r="O9" s="39">
        <v>1.02</v>
      </c>
      <c r="P9" s="39">
        <v>1.0189999999999999</v>
      </c>
      <c r="Q9" s="39">
        <v>1.0189999999999999</v>
      </c>
      <c r="R9" s="39">
        <v>1.018</v>
      </c>
      <c r="S9" s="39">
        <v>1.018</v>
      </c>
      <c r="T9" s="39">
        <v>1.0169999999999999</v>
      </c>
      <c r="U9" s="39">
        <v>1.016</v>
      </c>
      <c r="V9" s="39">
        <v>1.0149999999999999</v>
      </c>
      <c r="W9" s="39">
        <v>1.0149999999999999</v>
      </c>
      <c r="X9" s="39">
        <v>1.014</v>
      </c>
      <c r="Y9" s="39">
        <v>1.014</v>
      </c>
      <c r="Z9" s="33">
        <v>5.8056367908476403E-2</v>
      </c>
      <c r="AA9" s="33">
        <v>4.105205143914472E-2</v>
      </c>
      <c r="AB9" s="33">
        <v>2.9028183954238201E-2</v>
      </c>
      <c r="AC9" s="33">
        <v>2.0816819358349881E-2</v>
      </c>
      <c r="AD9" s="33">
        <v>1.5472696640011439E-2</v>
      </c>
      <c r="AE9" s="33">
        <v>1.1440640063507685E-2</v>
      </c>
      <c r="AF9" s="33">
        <v>8.0897541700207781E-3</v>
      </c>
      <c r="AG9" s="33">
        <v>5.7899519591725372E-3</v>
      </c>
      <c r="AH9" s="33">
        <v>4.1427663531369563E-3</v>
      </c>
      <c r="AI9" s="33">
        <v>2.9633810309007253E-3</v>
      </c>
      <c r="AJ9" s="33">
        <v>2.095426822189485E-3</v>
      </c>
      <c r="AK9" s="33">
        <v>1.4984990607490056E-3</v>
      </c>
      <c r="AL9" s="33">
        <v>1.2235193596249719E-3</v>
      </c>
      <c r="AM9" s="34">
        <v>62.57805882352946</v>
      </c>
      <c r="AN9" s="34">
        <v>62.57805882352946</v>
      </c>
      <c r="AO9" s="34">
        <v>62.57805882352946</v>
      </c>
      <c r="AP9" s="34">
        <v>59.401588235293815</v>
      </c>
      <c r="AQ9" s="34">
        <v>59.401588235293815</v>
      </c>
      <c r="AR9" s="34">
        <v>56.225117647058866</v>
      </c>
      <c r="AS9" s="34">
        <v>56.225117647058866</v>
      </c>
      <c r="AT9" s="34">
        <v>53.048647058823221</v>
      </c>
      <c r="AU9" s="34">
        <v>49.872176470588272</v>
      </c>
      <c r="AV9" s="34">
        <v>46.695705882352634</v>
      </c>
      <c r="AW9" s="34">
        <v>46.695705882352634</v>
      </c>
      <c r="AX9" s="34">
        <v>43.519235294117685</v>
      </c>
      <c r="AY9" s="34">
        <v>43.519235294117685</v>
      </c>
      <c r="AZ9" s="40"/>
      <c r="BA9" s="40"/>
    </row>
    <row r="10" spans="1:53" s="41" customFormat="1" x14ac:dyDescent="0.25">
      <c r="A10" s="37">
        <v>6</v>
      </c>
      <c r="B10" s="37" t="str">
        <f t="shared" si="2"/>
        <v>RBH-11</v>
      </c>
      <c r="C10" s="34">
        <f>GSD!F10</f>
        <v>9.5</v>
      </c>
      <c r="D10" s="37" t="str">
        <f>GSD!E10</f>
        <v>SPT</v>
      </c>
      <c r="E10" s="34">
        <v>27</v>
      </c>
      <c r="F10" s="38">
        <f t="shared" si="0"/>
        <v>8.5594212700000009E-3</v>
      </c>
      <c r="G10" s="39">
        <v>2.63</v>
      </c>
      <c r="H10" s="37">
        <v>5.0000000000000001E-4</v>
      </c>
      <c r="I10" s="37">
        <v>1</v>
      </c>
      <c r="J10" s="37">
        <v>1</v>
      </c>
      <c r="K10" s="34">
        <f t="shared" si="1"/>
        <v>0</v>
      </c>
      <c r="L10" s="37">
        <v>0.3</v>
      </c>
      <c r="M10" s="39">
        <v>1.0229999999999999</v>
      </c>
      <c r="N10" s="39">
        <v>1.0229999999999999</v>
      </c>
      <c r="O10" s="39">
        <v>1.0229999999999999</v>
      </c>
      <c r="P10" s="39">
        <v>1.022</v>
      </c>
      <c r="Q10" s="39">
        <v>1.022</v>
      </c>
      <c r="R10" s="39">
        <v>1.0209999999999999</v>
      </c>
      <c r="S10" s="39">
        <v>1.02</v>
      </c>
      <c r="T10" s="39">
        <v>1.02</v>
      </c>
      <c r="U10" s="39">
        <v>1.0189999999999999</v>
      </c>
      <c r="V10" s="39">
        <v>1.018</v>
      </c>
      <c r="W10" s="39">
        <v>1.018</v>
      </c>
      <c r="X10" s="39">
        <v>1.018</v>
      </c>
      <c r="Y10" s="39">
        <v>1.0169999999999999</v>
      </c>
      <c r="Z10" s="33">
        <v>5.669536455251515E-2</v>
      </c>
      <c r="AA10" s="33">
        <v>4.0089676736926871E-2</v>
      </c>
      <c r="AB10" s="33">
        <v>2.8347682276257575E-2</v>
      </c>
      <c r="AC10" s="33">
        <v>2.0355197712976458E-2</v>
      </c>
      <c r="AD10" s="33">
        <v>1.5194660781698727E-2</v>
      </c>
      <c r="AE10" s="33">
        <v>1.1246261141770067E-2</v>
      </c>
      <c r="AF10" s="33">
        <v>8.0567362289773025E-3</v>
      </c>
      <c r="AG10" s="33">
        <v>5.6969728217411836E-3</v>
      </c>
      <c r="AH10" s="33">
        <v>4.0799142911398124E-3</v>
      </c>
      <c r="AI10" s="33">
        <v>2.9209289258953918E-3</v>
      </c>
      <c r="AJ10" s="33">
        <v>2.0654086508645701E-3</v>
      </c>
      <c r="AK10" s="33">
        <v>1.4604644629476959E-3</v>
      </c>
      <c r="AL10" s="33">
        <v>1.2069797891667048E-3</v>
      </c>
      <c r="AM10" s="34">
        <v>73.25437423312853</v>
      </c>
      <c r="AN10" s="34">
        <v>73.25437423312853</v>
      </c>
      <c r="AO10" s="34">
        <v>73.25437423312853</v>
      </c>
      <c r="AP10" s="34">
        <v>70.027380368098221</v>
      </c>
      <c r="AQ10" s="34">
        <v>70.027380368098221</v>
      </c>
      <c r="AR10" s="34">
        <v>66.800386503067188</v>
      </c>
      <c r="AS10" s="34">
        <v>63.573392638036864</v>
      </c>
      <c r="AT10" s="34">
        <v>63.573392638036864</v>
      </c>
      <c r="AU10" s="34">
        <v>60.346398773005838</v>
      </c>
      <c r="AV10" s="34">
        <v>57.1194049079755</v>
      </c>
      <c r="AW10" s="34">
        <v>57.1194049079755</v>
      </c>
      <c r="AX10" s="34">
        <v>57.1194049079755</v>
      </c>
      <c r="AY10" s="34">
        <v>53.892411042944474</v>
      </c>
      <c r="AZ10" s="40"/>
      <c r="BA10" s="40"/>
    </row>
    <row r="11" spans="1:53" s="49" customFormat="1" x14ac:dyDescent="0.25">
      <c r="A11" s="30">
        <v>7</v>
      </c>
      <c r="B11" s="43" t="str">
        <f t="shared" si="2"/>
        <v>RBH-11</v>
      </c>
      <c r="C11" s="44">
        <f>GSD!F11</f>
        <v>10.5</v>
      </c>
      <c r="D11" s="43" t="str">
        <f>GSD!E11</f>
        <v>UDS</v>
      </c>
      <c r="E11" s="44">
        <v>27</v>
      </c>
      <c r="F11" s="45">
        <f t="shared" si="0"/>
        <v>8.5594212700000009E-3</v>
      </c>
      <c r="G11" s="46">
        <v>2.63</v>
      </c>
      <c r="H11" s="43">
        <v>5.0000000000000001E-4</v>
      </c>
      <c r="I11" s="43">
        <v>1</v>
      </c>
      <c r="J11" s="43">
        <v>1</v>
      </c>
      <c r="K11" s="44">
        <f t="shared" si="1"/>
        <v>0</v>
      </c>
      <c r="L11" s="43">
        <v>0.3</v>
      </c>
      <c r="M11" s="46">
        <v>1.0229999999999999</v>
      </c>
      <c r="N11" s="46">
        <v>1.0229999999999999</v>
      </c>
      <c r="O11" s="46">
        <v>1.0229999999999999</v>
      </c>
      <c r="P11" s="46">
        <v>1.022</v>
      </c>
      <c r="Q11" s="46">
        <v>1.022</v>
      </c>
      <c r="R11" s="46">
        <v>1.0209999999999999</v>
      </c>
      <c r="S11" s="46">
        <v>1.02</v>
      </c>
      <c r="T11" s="46">
        <v>1.02</v>
      </c>
      <c r="U11" s="46">
        <v>1.02</v>
      </c>
      <c r="V11" s="46">
        <v>1.018</v>
      </c>
      <c r="W11" s="46">
        <v>1.018</v>
      </c>
      <c r="X11" s="46">
        <v>1.018</v>
      </c>
      <c r="Y11" s="46">
        <v>1.0169999999999999</v>
      </c>
      <c r="Z11" s="47">
        <v>5.669536455251515E-2</v>
      </c>
      <c r="AA11" s="47">
        <v>4.0089676736926871E-2</v>
      </c>
      <c r="AB11" s="47">
        <v>2.8347682276257575E-2</v>
      </c>
      <c r="AC11" s="47">
        <v>2.0355197712976458E-2</v>
      </c>
      <c r="AD11" s="47">
        <v>1.5194660781698727E-2</v>
      </c>
      <c r="AE11" s="47">
        <v>1.1246261141770067E-2</v>
      </c>
      <c r="AF11" s="47">
        <v>8.0567362289773025E-3</v>
      </c>
      <c r="AG11" s="47">
        <v>5.6969728217411836E-3</v>
      </c>
      <c r="AH11" s="47">
        <v>4.0283681144886513E-3</v>
      </c>
      <c r="AI11" s="47">
        <v>2.9209289258953918E-3</v>
      </c>
      <c r="AJ11" s="47">
        <v>2.0654086508645701E-3</v>
      </c>
      <c r="AK11" s="47">
        <v>1.4604644629476959E-3</v>
      </c>
      <c r="AL11" s="47">
        <v>1.2069797891667048E-3</v>
      </c>
      <c r="AM11" s="44">
        <v>73.25437423312853</v>
      </c>
      <c r="AN11" s="44">
        <v>73.25437423312853</v>
      </c>
      <c r="AO11" s="44">
        <v>73.25437423312853</v>
      </c>
      <c r="AP11" s="44">
        <v>70.027380368098221</v>
      </c>
      <c r="AQ11" s="44">
        <v>70.027380368098221</v>
      </c>
      <c r="AR11" s="44">
        <v>66.800386503067188</v>
      </c>
      <c r="AS11" s="44">
        <v>63.573392638036864</v>
      </c>
      <c r="AT11" s="44">
        <v>63.573392638036864</v>
      </c>
      <c r="AU11" s="44">
        <v>63.573392638036864</v>
      </c>
      <c r="AV11" s="44">
        <v>57.1194049079755</v>
      </c>
      <c r="AW11" s="44">
        <v>57.1194049079755</v>
      </c>
      <c r="AX11" s="44">
        <v>57.1194049079755</v>
      </c>
      <c r="AY11" s="44">
        <v>53.892411042944474</v>
      </c>
      <c r="AZ11" s="48"/>
      <c r="BA11" s="48"/>
    </row>
    <row r="12" spans="1:53" s="41" customFormat="1" x14ac:dyDescent="0.25">
      <c r="A12" s="30">
        <v>8</v>
      </c>
      <c r="B12" s="37" t="str">
        <f t="shared" si="2"/>
        <v>RBH-11</v>
      </c>
      <c r="C12" s="34">
        <f>GSD!F12</f>
        <v>12.5</v>
      </c>
      <c r="D12" s="37" t="str">
        <f>GSD!E12</f>
        <v>SPT</v>
      </c>
      <c r="E12" s="34">
        <v>27</v>
      </c>
      <c r="F12" s="38">
        <f t="shared" si="0"/>
        <v>8.5594212700000009E-3</v>
      </c>
      <c r="G12" s="39">
        <v>2.72</v>
      </c>
      <c r="H12" s="37">
        <v>5.0000000000000001E-4</v>
      </c>
      <c r="I12" s="37">
        <v>1</v>
      </c>
      <c r="J12" s="37">
        <v>1</v>
      </c>
      <c r="K12" s="34">
        <f t="shared" si="1"/>
        <v>0</v>
      </c>
      <c r="L12" s="37">
        <v>0.3</v>
      </c>
      <c r="M12" s="39">
        <v>1.0229999999999999</v>
      </c>
      <c r="N12" s="39">
        <v>1.0229999999999999</v>
      </c>
      <c r="O12" s="39">
        <v>1.0229999999999999</v>
      </c>
      <c r="P12" s="39">
        <v>1.022</v>
      </c>
      <c r="Q12" s="39">
        <v>1.022</v>
      </c>
      <c r="R12" s="39">
        <v>1.0209999999999999</v>
      </c>
      <c r="S12" s="39">
        <v>1.02</v>
      </c>
      <c r="T12" s="39">
        <v>1.02</v>
      </c>
      <c r="U12" s="39">
        <v>1.02</v>
      </c>
      <c r="V12" s="39">
        <v>1.018</v>
      </c>
      <c r="W12" s="39">
        <v>1.018</v>
      </c>
      <c r="X12" s="39">
        <v>1.018</v>
      </c>
      <c r="Y12" s="39">
        <v>1.0169999999999999</v>
      </c>
      <c r="Z12" s="33">
        <v>5.5192126953922699E-2</v>
      </c>
      <c r="AA12" s="33">
        <v>3.9026727237227575E-2</v>
      </c>
      <c r="AB12" s="33">
        <v>2.7596063476961349E-2</v>
      </c>
      <c r="AC12" s="33">
        <v>1.9815494004032375E-2</v>
      </c>
      <c r="AD12" s="33">
        <v>1.4791785069280465E-2</v>
      </c>
      <c r="AE12" s="33">
        <v>1.0948074460630753E-2</v>
      </c>
      <c r="AF12" s="33">
        <v>7.8431175510319043E-3</v>
      </c>
      <c r="AG12" s="33">
        <v>5.5459216059778873E-3</v>
      </c>
      <c r="AH12" s="33">
        <v>3.9215587755159521E-3</v>
      </c>
      <c r="AI12" s="33">
        <v>2.8434825558283092E-3</v>
      </c>
      <c r="AJ12" s="33">
        <v>2.0106457974118533E-3</v>
      </c>
      <c r="AK12" s="33">
        <v>1.4217412779141546E-3</v>
      </c>
      <c r="AL12" s="33">
        <v>1.1749775714521335E-3</v>
      </c>
      <c r="AM12" s="34">
        <v>71.796930232557841</v>
      </c>
      <c r="AN12" s="34">
        <v>71.796930232557841</v>
      </c>
      <c r="AO12" s="34">
        <v>71.796930232557841</v>
      </c>
      <c r="AP12" s="34">
        <v>68.634139534883786</v>
      </c>
      <c r="AQ12" s="34">
        <v>68.634139534883786</v>
      </c>
      <c r="AR12" s="34">
        <v>65.471348837209007</v>
      </c>
      <c r="AS12" s="34">
        <v>62.308558139534931</v>
      </c>
      <c r="AT12" s="34">
        <v>62.308558139534931</v>
      </c>
      <c r="AU12" s="34">
        <v>62.308558139534931</v>
      </c>
      <c r="AV12" s="34">
        <v>55.982976744186082</v>
      </c>
      <c r="AW12" s="34">
        <v>55.982976744186082</v>
      </c>
      <c r="AX12" s="34">
        <v>55.982976744186082</v>
      </c>
      <c r="AY12" s="34">
        <v>52.820186046511317</v>
      </c>
      <c r="AZ12" s="40"/>
      <c r="BA12" s="40"/>
    </row>
    <row r="13" spans="1:53" s="49" customFormat="1" x14ac:dyDescent="0.25">
      <c r="A13" s="30">
        <v>9</v>
      </c>
      <c r="B13" s="43" t="str">
        <f t="shared" si="2"/>
        <v>RBH-11</v>
      </c>
      <c r="C13" s="44">
        <f>GSD!F13</f>
        <v>13.5</v>
      </c>
      <c r="D13" s="43" t="str">
        <f>GSD!E13</f>
        <v>UDS</v>
      </c>
      <c r="E13" s="44">
        <v>27</v>
      </c>
      <c r="F13" s="45">
        <f t="shared" si="0"/>
        <v>8.5594212700000009E-3</v>
      </c>
      <c r="G13" s="46">
        <v>2.5099999999999998</v>
      </c>
      <c r="H13" s="43">
        <v>5.0000000000000001E-4</v>
      </c>
      <c r="I13" s="43">
        <v>1</v>
      </c>
      <c r="J13" s="43">
        <v>1</v>
      </c>
      <c r="K13" s="44">
        <f t="shared" si="1"/>
        <v>0</v>
      </c>
      <c r="L13" s="43">
        <v>0.3</v>
      </c>
      <c r="M13" s="46">
        <v>1.022</v>
      </c>
      <c r="N13" s="46">
        <v>1.022</v>
      </c>
      <c r="O13" s="46">
        <v>1.0209999999999999</v>
      </c>
      <c r="P13" s="46">
        <v>1.0209999999999999</v>
      </c>
      <c r="Q13" s="46">
        <v>1.0189999999999999</v>
      </c>
      <c r="R13" s="46">
        <v>1.0189999999999999</v>
      </c>
      <c r="S13" s="46">
        <v>1.018</v>
      </c>
      <c r="T13" s="46">
        <v>1.018</v>
      </c>
      <c r="U13" s="46">
        <v>1.0169999999999999</v>
      </c>
      <c r="V13" s="46">
        <v>1.0169999999999999</v>
      </c>
      <c r="W13" s="46">
        <v>1.016</v>
      </c>
      <c r="X13" s="46">
        <v>1.016</v>
      </c>
      <c r="Y13" s="46">
        <v>1.0149999999999999</v>
      </c>
      <c r="Z13" s="47">
        <v>5.9817140360131138E-2</v>
      </c>
      <c r="AA13" s="47">
        <v>4.229710557983625E-2</v>
      </c>
      <c r="AB13" s="47">
        <v>3.0357742116063124E-2</v>
      </c>
      <c r="AC13" s="47">
        <v>2.1466165311780687E-2</v>
      </c>
      <c r="AD13" s="47">
        <v>1.641730996173852E-2</v>
      </c>
      <c r="AE13" s="47">
        <v>1.1989507999464617E-2</v>
      </c>
      <c r="AF13" s="47">
        <v>8.5836363766128663E-3</v>
      </c>
      <c r="AG13" s="47">
        <v>6.0695474891424833E-3</v>
      </c>
      <c r="AH13" s="47">
        <v>4.344061344445157E-3</v>
      </c>
      <c r="AI13" s="47">
        <v>3.0717152345475212E-3</v>
      </c>
      <c r="AJ13" s="47">
        <v>2.1978418145494074E-3</v>
      </c>
      <c r="AK13" s="47">
        <v>1.5541088510432322E-3</v>
      </c>
      <c r="AL13" s="47">
        <v>1.2836536451976989E-3</v>
      </c>
      <c r="AM13" s="44">
        <v>72.143384105960337</v>
      </c>
      <c r="AN13" s="44">
        <v>72.143384105960337</v>
      </c>
      <c r="AO13" s="44">
        <v>68.818880794701684</v>
      </c>
      <c r="AP13" s="44">
        <v>68.818880794701684</v>
      </c>
      <c r="AQ13" s="44">
        <v>62.169874172185125</v>
      </c>
      <c r="AR13" s="44">
        <v>62.169874172185125</v>
      </c>
      <c r="AS13" s="44">
        <v>58.845370860927197</v>
      </c>
      <c r="AT13" s="44">
        <v>58.845370860927197</v>
      </c>
      <c r="AU13" s="44">
        <v>55.520867549668552</v>
      </c>
      <c r="AV13" s="44">
        <v>55.520867549668552</v>
      </c>
      <c r="AW13" s="44">
        <v>52.196364238410645</v>
      </c>
      <c r="AX13" s="44">
        <v>52.196364238410645</v>
      </c>
      <c r="AY13" s="44">
        <v>48.871860927151999</v>
      </c>
      <c r="AZ13" s="48"/>
      <c r="BA13" s="48"/>
    </row>
    <row r="14" spans="1:53" s="49" customFormat="1" x14ac:dyDescent="0.25">
      <c r="A14" s="30">
        <v>10</v>
      </c>
      <c r="B14" s="43" t="str">
        <f t="shared" si="2"/>
        <v>RBH-11</v>
      </c>
      <c r="C14" s="44">
        <f>GSD!F14</f>
        <v>15.5</v>
      </c>
      <c r="D14" s="43" t="str">
        <f>GSD!E14</f>
        <v>SPT</v>
      </c>
      <c r="E14" s="44">
        <v>27</v>
      </c>
      <c r="F14" s="45">
        <f t="shared" si="0"/>
        <v>8.5594212700000009E-3</v>
      </c>
      <c r="G14" s="46">
        <v>2.67</v>
      </c>
      <c r="H14" s="43">
        <v>5.0000000000000001E-4</v>
      </c>
      <c r="I14" s="43">
        <v>1</v>
      </c>
      <c r="J14" s="43">
        <v>1</v>
      </c>
      <c r="K14" s="44">
        <f t="shared" si="1"/>
        <v>0</v>
      </c>
      <c r="L14" s="43">
        <v>0.3</v>
      </c>
      <c r="M14" s="32">
        <v>1.0229999999999999</v>
      </c>
      <c r="N14" s="32">
        <v>1.0229999999999999</v>
      </c>
      <c r="O14" s="32">
        <v>1.0229999999999999</v>
      </c>
      <c r="P14" s="32">
        <v>1.022</v>
      </c>
      <c r="Q14" s="32">
        <v>1.022</v>
      </c>
      <c r="R14" s="32">
        <v>1.022</v>
      </c>
      <c r="S14" s="32">
        <v>1.0209999999999999</v>
      </c>
      <c r="T14" s="32">
        <v>1.0209999999999999</v>
      </c>
      <c r="U14" s="32">
        <v>1.02</v>
      </c>
      <c r="V14" s="32">
        <v>1.0189999999999999</v>
      </c>
      <c r="W14" s="32">
        <v>1.0189999999999999</v>
      </c>
      <c r="X14" s="32">
        <v>1.018</v>
      </c>
      <c r="Y14" s="32">
        <v>1.0169999999999999</v>
      </c>
      <c r="Z14" s="47">
        <v>5.6012262930425161E-2</v>
      </c>
      <c r="AA14" s="47">
        <v>3.960665094770751E-2</v>
      </c>
      <c r="AB14" s="47">
        <v>2.800613146521258E-2</v>
      </c>
      <c r="AC14" s="47">
        <v>2.0109945412626271E-2</v>
      </c>
      <c r="AD14" s="47">
        <v>1.5011585895259442E-2</v>
      </c>
      <c r="AE14" s="47">
        <v>1.0962912291679974E-2</v>
      </c>
      <c r="AF14" s="47">
        <v>7.8564930841262797E-3</v>
      </c>
      <c r="AG14" s="47">
        <v>5.5553795361309053E-3</v>
      </c>
      <c r="AH14" s="47">
        <v>3.9798317867817557E-3</v>
      </c>
      <c r="AI14" s="47">
        <v>2.8501755390612344E-3</v>
      </c>
      <c r="AJ14" s="47">
        <v>2.0153784512422224E-3</v>
      </c>
      <c r="AK14" s="47">
        <v>1.4428678630930415E-3</v>
      </c>
      <c r="AL14" s="47">
        <v>1.1924373330361702E-3</v>
      </c>
      <c r="AM14" s="44">
        <v>72.587227544909879</v>
      </c>
      <c r="AN14" s="44">
        <v>72.587227544909879</v>
      </c>
      <c r="AO14" s="44">
        <v>72.587227544909879</v>
      </c>
      <c r="AP14" s="44">
        <v>69.389622754491086</v>
      </c>
      <c r="AQ14" s="44">
        <v>69.389622754491086</v>
      </c>
      <c r="AR14" s="44">
        <v>69.389622754491086</v>
      </c>
      <c r="AS14" s="44">
        <v>66.192017964071553</v>
      </c>
      <c r="AT14" s="44">
        <v>66.192017964071553</v>
      </c>
      <c r="AU14" s="44">
        <v>62.994413173652745</v>
      </c>
      <c r="AV14" s="44">
        <v>59.796808383233234</v>
      </c>
      <c r="AW14" s="44">
        <v>59.796808383233234</v>
      </c>
      <c r="AX14" s="44">
        <v>56.599203592814412</v>
      </c>
      <c r="AY14" s="44">
        <v>53.401598802394901</v>
      </c>
      <c r="AZ14" s="48"/>
      <c r="BA14" s="48"/>
    </row>
    <row r="15" spans="1:53" s="49" customFormat="1" x14ac:dyDescent="0.25">
      <c r="A15" s="30">
        <v>11</v>
      </c>
      <c r="B15" s="43" t="str">
        <f t="shared" si="2"/>
        <v>RBH-11</v>
      </c>
      <c r="C15" s="44">
        <f>GSD!F15</f>
        <v>16.5</v>
      </c>
      <c r="D15" s="43" t="str">
        <f>GSD!E15</f>
        <v>UDS</v>
      </c>
      <c r="E15" s="44">
        <v>27</v>
      </c>
      <c r="F15" s="45">
        <f t="shared" si="0"/>
        <v>8.5594212700000009E-3</v>
      </c>
      <c r="G15" s="46">
        <v>2.52</v>
      </c>
      <c r="H15" s="43">
        <v>5.0000000000000001E-4</v>
      </c>
      <c r="I15" s="43">
        <v>1</v>
      </c>
      <c r="J15" s="43">
        <v>1</v>
      </c>
      <c r="K15" s="44">
        <f t="shared" si="1"/>
        <v>0</v>
      </c>
      <c r="L15" s="43">
        <v>0.3</v>
      </c>
      <c r="M15" s="39">
        <v>1.0209999999999999</v>
      </c>
      <c r="N15" s="39">
        <v>1.0209999999999999</v>
      </c>
      <c r="O15" s="39">
        <v>1.02</v>
      </c>
      <c r="P15" s="39">
        <v>1.02</v>
      </c>
      <c r="Q15" s="39">
        <v>1.0189999999999999</v>
      </c>
      <c r="R15" s="39">
        <v>1.0189999999999999</v>
      </c>
      <c r="S15" s="39">
        <v>1.018</v>
      </c>
      <c r="T15" s="39">
        <v>1.018</v>
      </c>
      <c r="U15" s="39">
        <v>1.0169999999999999</v>
      </c>
      <c r="V15" s="39">
        <v>1.016</v>
      </c>
      <c r="W15" s="39">
        <v>1.016</v>
      </c>
      <c r="X15" s="39">
        <v>1.0149999999999999</v>
      </c>
      <c r="Y15" s="39">
        <v>1.0149999999999999</v>
      </c>
      <c r="Z15" s="47">
        <v>6.0515432669386138E-2</v>
      </c>
      <c r="AA15" s="47">
        <v>4.2790872806960874E-2</v>
      </c>
      <c r="AB15" s="47">
        <v>3.0698880146919134E-2</v>
      </c>
      <c r="AC15" s="47">
        <v>2.1707386326719594E-2</v>
      </c>
      <c r="AD15" s="47">
        <v>1.6363216536389592E-2</v>
      </c>
      <c r="AE15" s="47">
        <v>1.1950003747096177E-2</v>
      </c>
      <c r="AF15" s="47">
        <v>8.5553541370350806E-3</v>
      </c>
      <c r="AG15" s="47">
        <v>6.0495489257498892E-3</v>
      </c>
      <c r="AH15" s="47">
        <v>4.3297480885832315E-3</v>
      </c>
      <c r="AI15" s="47">
        <v>3.0979764297569615E-3</v>
      </c>
      <c r="AJ15" s="47">
        <v>2.1906001414372374E-3</v>
      </c>
      <c r="AK15" s="47">
        <v>1.5669681444882946E-3</v>
      </c>
      <c r="AL15" s="47">
        <v>1.2794241323973556E-3</v>
      </c>
      <c r="AM15" s="44">
        <v>68.638499999999695</v>
      </c>
      <c r="AN15" s="44">
        <v>68.638499999999695</v>
      </c>
      <c r="AO15" s="44">
        <v>65.322710526315845</v>
      </c>
      <c r="AP15" s="44">
        <v>65.322710526315845</v>
      </c>
      <c r="AQ15" s="44">
        <v>62.00692105263127</v>
      </c>
      <c r="AR15" s="44">
        <v>62.00692105263127</v>
      </c>
      <c r="AS15" s="44">
        <v>58.691131578947413</v>
      </c>
      <c r="AT15" s="44">
        <v>58.691131578947413</v>
      </c>
      <c r="AU15" s="44">
        <v>55.375342105262838</v>
      </c>
      <c r="AV15" s="44">
        <v>52.059552631578988</v>
      </c>
      <c r="AW15" s="44">
        <v>52.059552631578988</v>
      </c>
      <c r="AX15" s="44">
        <v>48.743763157894413</v>
      </c>
      <c r="AY15" s="44">
        <v>48.743763157894413</v>
      </c>
      <c r="AZ15" s="48"/>
      <c r="BA15" s="48"/>
    </row>
    <row r="16" spans="1:53" s="41" customFormat="1" x14ac:dyDescent="0.25">
      <c r="A16" s="30">
        <v>12</v>
      </c>
      <c r="B16" s="37" t="str">
        <f t="shared" si="2"/>
        <v>RBH-11</v>
      </c>
      <c r="C16" s="34">
        <f>GSD!F16</f>
        <v>17</v>
      </c>
      <c r="D16" s="37" t="str">
        <f>GSD!E16</f>
        <v>SPT</v>
      </c>
      <c r="E16" s="34">
        <v>27</v>
      </c>
      <c r="F16" s="38">
        <f t="shared" si="0"/>
        <v>8.5594212700000009E-3</v>
      </c>
      <c r="G16" s="39"/>
      <c r="H16" s="37">
        <v>5.0000000000000001E-4</v>
      </c>
      <c r="I16" s="37">
        <v>1</v>
      </c>
      <c r="J16" s="37">
        <v>1</v>
      </c>
      <c r="K16" s="34">
        <f t="shared" si="1"/>
        <v>0</v>
      </c>
      <c r="L16" s="37">
        <v>0.3</v>
      </c>
      <c r="M16" s="32">
        <v>1.024</v>
      </c>
      <c r="N16" s="32">
        <v>1.024</v>
      </c>
      <c r="O16" s="32">
        <v>1.024</v>
      </c>
      <c r="P16" s="32">
        <v>1.0229999999999999</v>
      </c>
      <c r="Q16" s="32">
        <v>1.0229999999999999</v>
      </c>
      <c r="R16" s="32">
        <v>1.022</v>
      </c>
      <c r="S16" s="32">
        <v>1.0209999999999999</v>
      </c>
      <c r="T16" s="32">
        <v>1.0209999999999999</v>
      </c>
      <c r="U16" s="32">
        <v>1.02</v>
      </c>
      <c r="V16" s="32">
        <v>1.0189999999999999</v>
      </c>
      <c r="W16" s="32">
        <v>1.0189999999999999</v>
      </c>
      <c r="X16" s="32">
        <v>1.018</v>
      </c>
      <c r="Y16" s="32">
        <v>1.0169999999999999</v>
      </c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40"/>
      <c r="BA16" s="40"/>
    </row>
    <row r="17" spans="1:53" s="61" customFormat="1" x14ac:dyDescent="0.25">
      <c r="A17" s="55">
        <v>13</v>
      </c>
      <c r="B17" s="55" t="str">
        <f t="shared" si="2"/>
        <v>RBH-11</v>
      </c>
      <c r="C17" s="56">
        <f>GSD!F17</f>
        <v>19.5</v>
      </c>
      <c r="D17" s="55" t="str">
        <f>GSD!E17</f>
        <v>UDS</v>
      </c>
      <c r="E17" s="56">
        <v>27</v>
      </c>
      <c r="F17" s="57">
        <f t="shared" ref="F17:F22" si="3">(0.000000002615*E17^4) - (0.00000030607*E17^3) + (0.000016427499*E17^2) - (0.000618546309*E17) + 0.017919182437</f>
        <v>8.5594212700000009E-3</v>
      </c>
      <c r="G17" s="58">
        <v>2.56</v>
      </c>
      <c r="H17" s="55">
        <v>5.0000000000000001E-4</v>
      </c>
      <c r="I17" s="55">
        <v>1</v>
      </c>
      <c r="J17" s="55">
        <v>1</v>
      </c>
      <c r="K17" s="56">
        <f t="shared" ref="K17:K22" si="4">(E17-27)*0.25</f>
        <v>0</v>
      </c>
      <c r="L17" s="55">
        <v>0.3</v>
      </c>
      <c r="M17" s="58">
        <v>1.018</v>
      </c>
      <c r="N17" s="58">
        <v>1.018</v>
      </c>
      <c r="O17" s="58">
        <v>1.018</v>
      </c>
      <c r="P17" s="58">
        <v>1.0169999999999999</v>
      </c>
      <c r="Q17" s="58">
        <v>1.016</v>
      </c>
      <c r="R17" s="58">
        <v>1.016</v>
      </c>
      <c r="S17" s="58">
        <v>1.0149999999999999</v>
      </c>
      <c r="T17" s="58">
        <v>1.0149999999999999</v>
      </c>
      <c r="U17" s="58">
        <v>1.014</v>
      </c>
      <c r="V17" s="58">
        <v>1.014</v>
      </c>
      <c r="W17" s="58">
        <v>1.0129999999999999</v>
      </c>
      <c r="X17" s="58">
        <v>1.012</v>
      </c>
      <c r="Y17" s="58">
        <v>1.012</v>
      </c>
      <c r="Z17" s="59">
        <v>6.2310872728842302E-2</v>
      </c>
      <c r="AA17" s="59">
        <v>4.4060440648216306E-2</v>
      </c>
      <c r="AB17" s="59">
        <v>3.1155436364421151E-2</v>
      </c>
      <c r="AC17" s="59">
        <v>2.2325585379421777E-2</v>
      </c>
      <c r="AD17" s="59">
        <v>1.6749360549321742E-2</v>
      </c>
      <c r="AE17" s="59">
        <v>1.223200346220085E-2</v>
      </c>
      <c r="AF17" s="59">
        <v>8.7497299968052698E-3</v>
      </c>
      <c r="AG17" s="59">
        <v>6.1869934142923548E-3</v>
      </c>
      <c r="AH17" s="59">
        <v>4.4244941994633887E-3</v>
      </c>
      <c r="AI17" s="59">
        <v>3.1285898517611072E-3</v>
      </c>
      <c r="AJ17" s="59">
        <v>2.2367864274401542E-3</v>
      </c>
      <c r="AK17" s="59">
        <v>1.5988104662044312E-3</v>
      </c>
      <c r="AL17" s="59">
        <v>1.3054232792073816E-3</v>
      </c>
      <c r="AM17" s="56">
        <v>58.093948717948763</v>
      </c>
      <c r="AN17" s="56">
        <v>58.093948717948763</v>
      </c>
      <c r="AO17" s="56">
        <v>58.093948717948763</v>
      </c>
      <c r="AP17" s="56">
        <v>54.811897435897116</v>
      </c>
      <c r="AQ17" s="56">
        <v>51.529846153846194</v>
      </c>
      <c r="AR17" s="56">
        <v>51.529846153846194</v>
      </c>
      <c r="AS17" s="56">
        <v>48.247794871794554</v>
      </c>
      <c r="AT17" s="56">
        <v>48.247794871794554</v>
      </c>
      <c r="AU17" s="56">
        <v>44.965743589743632</v>
      </c>
      <c r="AV17" s="56">
        <v>44.965743589743632</v>
      </c>
      <c r="AW17" s="56">
        <v>41.683692307691985</v>
      </c>
      <c r="AX17" s="56">
        <v>38.401641025641062</v>
      </c>
      <c r="AY17" s="56">
        <v>38.401641025641062</v>
      </c>
      <c r="AZ17" s="60"/>
      <c r="BA17" s="60"/>
    </row>
    <row r="18" spans="1:53" s="41" customFormat="1" x14ac:dyDescent="0.25">
      <c r="A18" s="37">
        <v>14</v>
      </c>
      <c r="B18" s="37" t="str">
        <f t="shared" si="2"/>
        <v>RBH-11</v>
      </c>
      <c r="C18" s="34">
        <f>GSD!F18</f>
        <v>20</v>
      </c>
      <c r="D18" s="37" t="str">
        <f>GSD!E18</f>
        <v>SPT</v>
      </c>
      <c r="E18" s="34">
        <v>27</v>
      </c>
      <c r="F18" s="38">
        <f t="shared" si="3"/>
        <v>8.5594212700000009E-3</v>
      </c>
      <c r="G18" s="39"/>
      <c r="H18" s="37">
        <v>5.0000000000000001E-4</v>
      </c>
      <c r="I18" s="37">
        <v>1</v>
      </c>
      <c r="J18" s="37">
        <v>1</v>
      </c>
      <c r="K18" s="34">
        <f t="shared" si="4"/>
        <v>0</v>
      </c>
      <c r="L18" s="37">
        <v>0.3</v>
      </c>
      <c r="M18" s="39">
        <v>1.024</v>
      </c>
      <c r="N18" s="39">
        <v>1.0229999999999999</v>
      </c>
      <c r="O18" s="39">
        <v>1.0229999999999999</v>
      </c>
      <c r="P18" s="39">
        <v>1.0229999999999999</v>
      </c>
      <c r="Q18" s="39">
        <v>1.0229999999999999</v>
      </c>
      <c r="R18" s="39">
        <v>1.022</v>
      </c>
      <c r="S18" s="39">
        <v>1.0209999999999999</v>
      </c>
      <c r="T18" s="39">
        <v>1.0209999999999999</v>
      </c>
      <c r="U18" s="39">
        <v>1.02</v>
      </c>
      <c r="V18" s="39">
        <v>1.0189999999999999</v>
      </c>
      <c r="W18" s="39">
        <v>1.0189999999999999</v>
      </c>
      <c r="X18" s="39">
        <v>1.0189999999999999</v>
      </c>
      <c r="Y18" s="39">
        <v>1.018</v>
      </c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40"/>
      <c r="BA18" s="40"/>
    </row>
    <row r="19" spans="1:53" s="61" customFormat="1" x14ac:dyDescent="0.25">
      <c r="A19" s="55">
        <v>15</v>
      </c>
      <c r="B19" s="55" t="str">
        <f t="shared" si="2"/>
        <v>RBH-11</v>
      </c>
      <c r="C19" s="56">
        <f>GSD!F19</f>
        <v>22.5</v>
      </c>
      <c r="D19" s="55" t="str">
        <f>GSD!E19</f>
        <v>UDS</v>
      </c>
      <c r="E19" s="56">
        <v>27</v>
      </c>
      <c r="F19" s="57">
        <f t="shared" si="3"/>
        <v>8.5594212700000009E-3</v>
      </c>
      <c r="G19" s="58">
        <v>2.48</v>
      </c>
      <c r="H19" s="55">
        <v>5.0000000000000001E-4</v>
      </c>
      <c r="I19" s="55">
        <v>1</v>
      </c>
      <c r="J19" s="55">
        <v>1</v>
      </c>
      <c r="K19" s="56">
        <f t="shared" si="4"/>
        <v>0</v>
      </c>
      <c r="L19" s="55">
        <v>0.3</v>
      </c>
      <c r="M19" s="58">
        <v>1.018</v>
      </c>
      <c r="N19" s="58">
        <v>1.018</v>
      </c>
      <c r="O19" s="58">
        <v>1.0169999999999999</v>
      </c>
      <c r="P19" s="58">
        <v>1.0169999999999999</v>
      </c>
      <c r="Q19" s="58">
        <v>1.016</v>
      </c>
      <c r="R19" s="58">
        <v>1.016</v>
      </c>
      <c r="S19" s="58">
        <v>1.0149999999999999</v>
      </c>
      <c r="T19" s="58">
        <v>1.0149999999999999</v>
      </c>
      <c r="U19" s="58">
        <v>1.014</v>
      </c>
      <c r="V19" s="58">
        <v>1.014</v>
      </c>
      <c r="W19" s="58">
        <v>1.0129999999999999</v>
      </c>
      <c r="X19" s="58">
        <v>1.012</v>
      </c>
      <c r="Y19" s="58">
        <v>1.0109999999999999</v>
      </c>
      <c r="Z19" s="59">
        <v>6.3972787616122767E-2</v>
      </c>
      <c r="AA19" s="59">
        <v>4.5235591934767193E-2</v>
      </c>
      <c r="AB19" s="59">
        <v>3.2415243943802539E-2</v>
      </c>
      <c r="AC19" s="59">
        <v>2.2921038806478944E-2</v>
      </c>
      <c r="AD19" s="59">
        <v>1.7196088550877418E-2</v>
      </c>
      <c r="AE19" s="59">
        <v>1.2558247466895848E-2</v>
      </c>
      <c r="AF19" s="59">
        <v>8.9830970787374131E-3</v>
      </c>
      <c r="AG19" s="59">
        <v>6.3520088604322907E-3</v>
      </c>
      <c r="AH19" s="59">
        <v>4.5425014180554444E-3</v>
      </c>
      <c r="AI19" s="59">
        <v>3.2120335562565126E-3</v>
      </c>
      <c r="AJ19" s="59">
        <v>2.2964445336523145E-3</v>
      </c>
      <c r="AK19" s="59">
        <v>1.6414528943932928E-3</v>
      </c>
      <c r="AL19" s="59">
        <v>1.3544756577001673E-3</v>
      </c>
      <c r="AM19" s="56">
        <v>59.320594594594638</v>
      </c>
      <c r="AN19" s="56">
        <v>59.320594594594638</v>
      </c>
      <c r="AO19" s="56">
        <v>55.969243243242921</v>
      </c>
      <c r="AP19" s="56">
        <v>55.969243243242921</v>
      </c>
      <c r="AQ19" s="56">
        <v>52.617891891891936</v>
      </c>
      <c r="AR19" s="56">
        <v>52.617891891891936</v>
      </c>
      <c r="AS19" s="56">
        <v>49.266540540540213</v>
      </c>
      <c r="AT19" s="56">
        <v>49.266540540540213</v>
      </c>
      <c r="AU19" s="56">
        <v>45.915189189189235</v>
      </c>
      <c r="AV19" s="56">
        <v>45.915189189189235</v>
      </c>
      <c r="AW19" s="56">
        <v>42.563837837837504</v>
      </c>
      <c r="AX19" s="56">
        <v>39.212486486486526</v>
      </c>
      <c r="AY19" s="56">
        <v>35.861135135134795</v>
      </c>
      <c r="AZ19" s="60"/>
      <c r="BA19" s="60"/>
    </row>
    <row r="20" spans="1:53" s="61" customFormat="1" x14ac:dyDescent="0.25">
      <c r="A20" s="55">
        <v>16</v>
      </c>
      <c r="B20" s="55" t="str">
        <f t="shared" si="2"/>
        <v>RBH-11</v>
      </c>
      <c r="C20" s="56">
        <f>GSD!F20</f>
        <v>25.5</v>
      </c>
      <c r="D20" s="55" t="str">
        <f>GSD!E20</f>
        <v>UDS</v>
      </c>
      <c r="E20" s="56">
        <v>27</v>
      </c>
      <c r="F20" s="57">
        <f t="shared" si="3"/>
        <v>8.5594212700000009E-3</v>
      </c>
      <c r="G20" s="58">
        <v>2.58</v>
      </c>
      <c r="H20" s="55">
        <v>5.0000000000000001E-4</v>
      </c>
      <c r="I20" s="55">
        <v>1</v>
      </c>
      <c r="J20" s="55">
        <v>1</v>
      </c>
      <c r="K20" s="56">
        <f t="shared" si="4"/>
        <v>0</v>
      </c>
      <c r="L20" s="55">
        <v>0.3</v>
      </c>
      <c r="M20" s="58">
        <v>1.018</v>
      </c>
      <c r="N20" s="58">
        <v>1.018</v>
      </c>
      <c r="O20" s="58">
        <v>1.018</v>
      </c>
      <c r="P20" s="58">
        <v>1.0169999999999999</v>
      </c>
      <c r="Q20" s="58">
        <v>1.0169999999999999</v>
      </c>
      <c r="R20" s="58">
        <v>1.016</v>
      </c>
      <c r="S20" s="58">
        <v>1.016</v>
      </c>
      <c r="T20" s="58">
        <v>1.0149999999999999</v>
      </c>
      <c r="U20" s="58">
        <v>1.014</v>
      </c>
      <c r="V20" s="58">
        <v>1.014</v>
      </c>
      <c r="W20" s="58">
        <v>1.0129999999999999</v>
      </c>
      <c r="X20" s="58">
        <v>1.0129999999999999</v>
      </c>
      <c r="Y20" s="58">
        <v>1.0109999999999999</v>
      </c>
      <c r="Z20" s="59">
        <v>6.1915244140162549E-2</v>
      </c>
      <c r="AA20" s="59">
        <v>4.3780688990329587E-2</v>
      </c>
      <c r="AB20" s="59">
        <v>3.0957622070081275E-2</v>
      </c>
      <c r="AC20" s="59">
        <v>2.2183834197833503E-2</v>
      </c>
      <c r="AD20" s="59">
        <v>1.6447561129688655E-2</v>
      </c>
      <c r="AE20" s="59">
        <v>1.2154339162945477E-2</v>
      </c>
      <c r="AF20" s="59">
        <v>8.5944156429599728E-3</v>
      </c>
      <c r="AG20" s="59">
        <v>6.1477105192618313E-3</v>
      </c>
      <c r="AH20" s="59">
        <v>4.3964018887783351E-3</v>
      </c>
      <c r="AI20" s="59">
        <v>3.1087255883765065E-3</v>
      </c>
      <c r="AJ20" s="59">
        <v>2.2225844652670815E-3</v>
      </c>
      <c r="AK20" s="59">
        <v>1.57160454715023E-3</v>
      </c>
      <c r="AL20" s="59">
        <v>1.3109119385517848E-3</v>
      </c>
      <c r="AM20" s="56">
        <v>57.80669620253169</v>
      </c>
      <c r="AN20" s="56">
        <v>57.80669620253169</v>
      </c>
      <c r="AO20" s="56">
        <v>57.80669620253169</v>
      </c>
      <c r="AP20" s="56">
        <v>54.540873417721201</v>
      </c>
      <c r="AQ20" s="56">
        <v>54.540873417721201</v>
      </c>
      <c r="AR20" s="56">
        <v>51.275050632911437</v>
      </c>
      <c r="AS20" s="56">
        <v>51.275050632911437</v>
      </c>
      <c r="AT20" s="56">
        <v>48.009227848100949</v>
      </c>
      <c r="AU20" s="56">
        <v>44.743405063291178</v>
      </c>
      <c r="AV20" s="56">
        <v>44.743405063291178</v>
      </c>
      <c r="AW20" s="56">
        <v>41.477582278480689</v>
      </c>
      <c r="AX20" s="56">
        <v>41.477582278480689</v>
      </c>
      <c r="AY20" s="56">
        <v>34.94593670886043</v>
      </c>
      <c r="AZ20" s="60"/>
      <c r="BA20" s="60"/>
    </row>
    <row r="21" spans="1:53" s="49" customFormat="1" x14ac:dyDescent="0.25">
      <c r="A21" s="30">
        <v>17</v>
      </c>
      <c r="B21" s="43" t="str">
        <f t="shared" si="2"/>
        <v>RBH-11</v>
      </c>
      <c r="C21" s="44">
        <f>GSD!F21</f>
        <v>27.5</v>
      </c>
      <c r="D21" s="43" t="str">
        <f>GSD!E21</f>
        <v>SPT</v>
      </c>
      <c r="E21" s="44">
        <v>27</v>
      </c>
      <c r="F21" s="45">
        <f t="shared" si="3"/>
        <v>8.5594212700000009E-3</v>
      </c>
      <c r="G21" s="46">
        <v>2.67</v>
      </c>
      <c r="H21" s="43">
        <v>5.0000000000000001E-4</v>
      </c>
      <c r="I21" s="43">
        <v>1</v>
      </c>
      <c r="J21" s="43">
        <v>1</v>
      </c>
      <c r="K21" s="44">
        <f t="shared" si="4"/>
        <v>0</v>
      </c>
      <c r="L21" s="43">
        <v>0.3</v>
      </c>
      <c r="M21" s="39">
        <v>1.022</v>
      </c>
      <c r="N21" s="39">
        <v>1.022</v>
      </c>
      <c r="O21" s="39">
        <v>1.0209999999999999</v>
      </c>
      <c r="P21" s="39">
        <v>1.02</v>
      </c>
      <c r="Q21" s="39">
        <v>1.02</v>
      </c>
      <c r="R21" s="39">
        <v>1.018</v>
      </c>
      <c r="S21" s="39">
        <v>1.018</v>
      </c>
      <c r="T21" s="39">
        <v>1.0169999999999999</v>
      </c>
      <c r="U21" s="39">
        <v>1.0169999999999999</v>
      </c>
      <c r="V21" s="39">
        <v>1.016</v>
      </c>
      <c r="W21" s="39">
        <v>1.016</v>
      </c>
      <c r="X21" s="39">
        <v>1.0149999999999999</v>
      </c>
      <c r="Y21" s="39">
        <v>1.0149999999999999</v>
      </c>
      <c r="Z21" s="47">
        <v>5.6879515082237354E-2</v>
      </c>
      <c r="AA21" s="47">
        <v>4.0219890825252541E-2</v>
      </c>
      <c r="AB21" s="47">
        <v>2.8866870601928239E-2</v>
      </c>
      <c r="AC21" s="47">
        <v>2.0709570585834409E-2</v>
      </c>
      <c r="AD21" s="47">
        <v>1.5413822230912646E-2</v>
      </c>
      <c r="AE21" s="47">
        <v>1.1542942904744332E-2</v>
      </c>
      <c r="AF21" s="47">
        <v>8.162093202793862E-3</v>
      </c>
      <c r="AG21" s="47">
        <v>5.8417260323676556E-3</v>
      </c>
      <c r="AH21" s="47">
        <v>4.1307240913211543E-3</v>
      </c>
      <c r="AI21" s="47">
        <v>2.9555728441766089E-3</v>
      </c>
      <c r="AJ21" s="47">
        <v>2.0899056004080913E-3</v>
      </c>
      <c r="AK21" s="47">
        <v>1.4949398746402793E-3</v>
      </c>
      <c r="AL21" s="47">
        <v>1.2206132963363113E-3</v>
      </c>
      <c r="AM21" s="44">
        <v>69.389622754491086</v>
      </c>
      <c r="AN21" s="44">
        <v>69.389622754491086</v>
      </c>
      <c r="AO21" s="44">
        <v>66.192017964071553</v>
      </c>
      <c r="AP21" s="44">
        <v>62.994413173652745</v>
      </c>
      <c r="AQ21" s="44">
        <v>62.994413173652745</v>
      </c>
      <c r="AR21" s="44">
        <v>56.599203592814412</v>
      </c>
      <c r="AS21" s="44">
        <v>56.599203592814412</v>
      </c>
      <c r="AT21" s="44">
        <v>53.401598802394901</v>
      </c>
      <c r="AU21" s="44">
        <v>53.401598802394901</v>
      </c>
      <c r="AV21" s="44">
        <v>50.203994011976093</v>
      </c>
      <c r="AW21" s="44">
        <v>50.203994011976093</v>
      </c>
      <c r="AX21" s="44">
        <v>47.006389221556574</v>
      </c>
      <c r="AY21" s="44">
        <v>47.006389221556574</v>
      </c>
      <c r="AZ21" s="48"/>
      <c r="BA21" s="48"/>
    </row>
    <row r="22" spans="1:53" s="41" customFormat="1" x14ac:dyDescent="0.25">
      <c r="A22" s="37">
        <v>18</v>
      </c>
      <c r="B22" s="37" t="str">
        <f t="shared" si="2"/>
        <v>RBH-11</v>
      </c>
      <c r="C22" s="34">
        <f>GSD!F22</f>
        <v>28.5</v>
      </c>
      <c r="D22" s="37" t="str">
        <f>GSD!E22</f>
        <v>UDS</v>
      </c>
      <c r="E22" s="34">
        <v>27</v>
      </c>
      <c r="F22" s="38">
        <f t="shared" si="3"/>
        <v>8.5594212700000009E-3</v>
      </c>
      <c r="G22" s="39"/>
      <c r="H22" s="37">
        <v>5.0000000000000001E-4</v>
      </c>
      <c r="I22" s="37">
        <v>1</v>
      </c>
      <c r="J22" s="37">
        <v>1</v>
      </c>
      <c r="K22" s="34">
        <f t="shared" si="4"/>
        <v>0</v>
      </c>
      <c r="L22" s="37">
        <v>0.3</v>
      </c>
      <c r="M22" s="39">
        <v>1.02</v>
      </c>
      <c r="N22" s="39">
        <v>1.02</v>
      </c>
      <c r="O22" s="39">
        <v>1.02</v>
      </c>
      <c r="P22" s="39">
        <v>1.02</v>
      </c>
      <c r="Q22" s="39">
        <v>1.0189999999999999</v>
      </c>
      <c r="R22" s="39">
        <v>1.0189999999999999</v>
      </c>
      <c r="S22" s="39">
        <v>1.0189999999999999</v>
      </c>
      <c r="T22" s="39">
        <v>1.018</v>
      </c>
      <c r="U22" s="39">
        <v>1.018</v>
      </c>
      <c r="V22" s="39">
        <v>1.0170999999999999</v>
      </c>
      <c r="W22" s="39">
        <v>1.016</v>
      </c>
      <c r="X22" s="39">
        <v>1.016</v>
      </c>
      <c r="Y22" s="39">
        <v>1.0149999999999999</v>
      </c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40"/>
      <c r="BA22" s="40"/>
    </row>
    <row r="23" spans="1:53" s="41" customFormat="1" x14ac:dyDescent="0.25">
      <c r="A23" s="37">
        <v>19</v>
      </c>
      <c r="B23" s="37" t="str">
        <f t="shared" si="2"/>
        <v>RBH-11</v>
      </c>
      <c r="C23" s="34">
        <f>GSD!F23</f>
        <v>30</v>
      </c>
      <c r="D23" s="37" t="str">
        <f>GSD!E23</f>
        <v>SPT</v>
      </c>
      <c r="E23" s="34">
        <v>27</v>
      </c>
      <c r="F23" s="38">
        <f t="shared" ref="F23" si="5">(0.000000002615*E23^4) - (0.00000030607*E23^3) + (0.000016427499*E23^2) - (0.000618546309*E23) + 0.017919182437</f>
        <v>8.5594212700000009E-3</v>
      </c>
      <c r="G23" s="39"/>
      <c r="H23" s="37">
        <v>5.0000000000000001E-4</v>
      </c>
      <c r="I23" s="37">
        <v>1</v>
      </c>
      <c r="J23" s="37">
        <v>1</v>
      </c>
      <c r="K23" s="34">
        <f t="shared" ref="K23" si="6">(E23-27)*0.25</f>
        <v>0</v>
      </c>
      <c r="L23" s="37">
        <v>0.3</v>
      </c>
      <c r="M23" s="32">
        <v>1.024</v>
      </c>
      <c r="N23" s="32">
        <v>1.024</v>
      </c>
      <c r="O23" s="32">
        <v>1.024</v>
      </c>
      <c r="P23" s="32">
        <v>1.0229999999999999</v>
      </c>
      <c r="Q23" s="32">
        <v>1.0229999999999999</v>
      </c>
      <c r="R23" s="32">
        <v>1.0229999999999999</v>
      </c>
      <c r="S23" s="32">
        <v>1.022</v>
      </c>
      <c r="T23" s="32">
        <v>1.022</v>
      </c>
      <c r="U23" s="32">
        <v>1.0209999999999999</v>
      </c>
      <c r="V23" s="32">
        <v>1.02</v>
      </c>
      <c r="W23" s="32">
        <v>1.02</v>
      </c>
      <c r="X23" s="32">
        <v>1.0189999999999999</v>
      </c>
      <c r="Y23" s="32">
        <v>1.018</v>
      </c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40"/>
      <c r="BA23" s="4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5" x14ac:dyDescent="0.25"/>
  <sheetData>
    <row r="1" spans="1:6" ht="30" x14ac:dyDescent="0.25">
      <c r="A1" s="17" t="s">
        <v>35</v>
      </c>
      <c r="B1" s="17" t="s">
        <v>36</v>
      </c>
      <c r="C1" s="17" t="s">
        <v>37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U36"/>
  <sheetViews>
    <sheetView topLeftCell="AI1" zoomScale="85" zoomScaleNormal="85" workbookViewId="0">
      <selection activeCell="AT26" sqref="AT26"/>
    </sheetView>
  </sheetViews>
  <sheetFormatPr defaultRowHeight="15" x14ac:dyDescent="0.25"/>
  <cols>
    <col min="4" max="27" width="9.140625" customWidth="1"/>
    <col min="28" max="28" width="9.140625" style="42"/>
  </cols>
  <sheetData>
    <row r="1" spans="1:47" x14ac:dyDescent="0.25">
      <c r="J1" s="25">
        <v>0.5</v>
      </c>
      <c r="K1" s="25">
        <v>1</v>
      </c>
      <c r="L1" s="25">
        <v>2</v>
      </c>
      <c r="M1" s="25">
        <v>4</v>
      </c>
      <c r="N1" s="25">
        <v>8</v>
      </c>
      <c r="O1" s="25">
        <v>15</v>
      </c>
      <c r="P1" s="25">
        <v>30</v>
      </c>
      <c r="Q1" s="25">
        <v>60</v>
      </c>
      <c r="R1" s="25">
        <v>120</v>
      </c>
      <c r="S1" s="25">
        <v>240</v>
      </c>
      <c r="T1" s="25">
        <v>480</v>
      </c>
      <c r="U1" s="25">
        <v>960</v>
      </c>
      <c r="V1" s="25">
        <v>1440</v>
      </c>
      <c r="W1" s="25">
        <v>4.75</v>
      </c>
      <c r="X1" s="50">
        <v>2</v>
      </c>
      <c r="Y1" s="28">
        <v>0.42499999999999999</v>
      </c>
      <c r="Z1" s="28">
        <v>0.21199999999999999</v>
      </c>
      <c r="AA1" s="28">
        <v>0.15</v>
      </c>
      <c r="AB1" s="25">
        <v>7.4999999999999997E-2</v>
      </c>
      <c r="AC1" s="25">
        <v>0.5</v>
      </c>
      <c r="AD1" s="25">
        <v>1</v>
      </c>
      <c r="AE1" s="25">
        <v>2</v>
      </c>
      <c r="AF1" s="25">
        <v>4</v>
      </c>
      <c r="AG1" s="25">
        <v>8</v>
      </c>
      <c r="AH1" s="25">
        <v>15</v>
      </c>
      <c r="AI1" s="25">
        <v>30</v>
      </c>
      <c r="AJ1" s="25">
        <v>60</v>
      </c>
      <c r="AK1" s="25">
        <v>120</v>
      </c>
      <c r="AL1" s="25">
        <v>240</v>
      </c>
      <c r="AM1" s="25">
        <v>480</v>
      </c>
      <c r="AN1" s="25">
        <v>960</v>
      </c>
      <c r="AO1" s="25">
        <v>1440</v>
      </c>
    </row>
    <row r="2" spans="1:47" x14ac:dyDescent="0.25">
      <c r="A2" s="29" t="s">
        <v>40</v>
      </c>
      <c r="B2" s="29" t="s">
        <v>5</v>
      </c>
      <c r="C2" s="29" t="s">
        <v>9</v>
      </c>
      <c r="D2" s="94" t="s">
        <v>41</v>
      </c>
      <c r="E2" s="94"/>
      <c r="F2" s="94"/>
      <c r="G2" s="94"/>
      <c r="H2" s="94"/>
      <c r="I2" s="94"/>
      <c r="J2" s="94" t="s">
        <v>42</v>
      </c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5" t="s">
        <v>43</v>
      </c>
      <c r="X2" s="95"/>
      <c r="Y2" s="95"/>
      <c r="Z2" s="95"/>
      <c r="AA2" s="95"/>
      <c r="AB2" s="95"/>
      <c r="AC2" s="94" t="s">
        <v>44</v>
      </c>
      <c r="AD2" s="9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29" t="s">
        <v>1</v>
      </c>
      <c r="AQ2" s="29" t="s">
        <v>45</v>
      </c>
      <c r="AR2" s="29" t="s">
        <v>46</v>
      </c>
      <c r="AS2" s="29" t="s">
        <v>2</v>
      </c>
    </row>
    <row r="3" spans="1:47" s="18" customFormat="1" x14ac:dyDescent="0.25">
      <c r="A3" s="35">
        <v>1</v>
      </c>
      <c r="B3" s="35" t="str">
        <f>GSD!B5</f>
        <v>RBH-11</v>
      </c>
      <c r="C3" s="27">
        <f>GSD!F5</f>
        <v>0.5</v>
      </c>
      <c r="D3" s="23">
        <v>4.75</v>
      </c>
      <c r="E3" s="23">
        <v>2</v>
      </c>
      <c r="F3" s="23">
        <v>0.42499999999999999</v>
      </c>
      <c r="G3" s="23">
        <v>0.21199999999999999</v>
      </c>
      <c r="H3" s="23">
        <v>0.15</v>
      </c>
      <c r="I3" s="23">
        <v>7.4999999999999997E-2</v>
      </c>
      <c r="J3" s="24">
        <f>HYD!Z5</f>
        <v>0</v>
      </c>
      <c r="K3" s="24">
        <f>HYD!AA5</f>
        <v>0</v>
      </c>
      <c r="L3" s="24">
        <f>HYD!AB5</f>
        <v>0</v>
      </c>
      <c r="M3" s="24">
        <f>HYD!AC5</f>
        <v>0</v>
      </c>
      <c r="N3" s="24">
        <f>HYD!AD5</f>
        <v>0</v>
      </c>
      <c r="O3" s="24">
        <f>HYD!AE5</f>
        <v>0</v>
      </c>
      <c r="P3" s="24">
        <f>HYD!AF5</f>
        <v>0</v>
      </c>
      <c r="Q3" s="24">
        <f>HYD!AG5</f>
        <v>0</v>
      </c>
      <c r="R3" s="24">
        <f>HYD!AH5</f>
        <v>0</v>
      </c>
      <c r="S3" s="24">
        <f>HYD!AI5</f>
        <v>0</v>
      </c>
      <c r="T3" s="24">
        <f>HYD!AJ5</f>
        <v>0</v>
      </c>
      <c r="U3" s="24">
        <f>HYD!AK5</f>
        <v>0</v>
      </c>
      <c r="V3" s="24">
        <f>HYD!AL5</f>
        <v>0</v>
      </c>
      <c r="W3" s="1">
        <f>GSD!Q5</f>
        <v>98.97</v>
      </c>
      <c r="X3" s="1">
        <f>GSD!R5</f>
        <v>98.48</v>
      </c>
      <c r="Y3" s="1">
        <f>GSD!S5</f>
        <v>79.83</v>
      </c>
      <c r="Z3" s="1">
        <f>GSD!T5</f>
        <v>32.010000000000005</v>
      </c>
      <c r="AA3" s="1">
        <f>GSD!U5</f>
        <v>24.810000000000002</v>
      </c>
      <c r="AB3" s="52">
        <f>GSD!V5</f>
        <v>21.269999999999996</v>
      </c>
      <c r="AC3" s="52">
        <f>HYD!AM5</f>
        <v>0</v>
      </c>
      <c r="AD3" s="51">
        <f>HYD!AN5</f>
        <v>0</v>
      </c>
      <c r="AE3" s="51">
        <f>HYD!AO5</f>
        <v>0</v>
      </c>
      <c r="AF3" s="51">
        <f>HYD!AP5</f>
        <v>0</v>
      </c>
      <c r="AG3" s="51">
        <f>HYD!AQ5</f>
        <v>0</v>
      </c>
      <c r="AH3" s="51">
        <f>HYD!AR5</f>
        <v>0</v>
      </c>
      <c r="AI3" s="51">
        <f>HYD!AS5</f>
        <v>0</v>
      </c>
      <c r="AJ3" s="51">
        <f>HYD!AT5</f>
        <v>0</v>
      </c>
      <c r="AK3" s="51">
        <f>HYD!AU5</f>
        <v>0</v>
      </c>
      <c r="AL3" s="51">
        <f>HYD!AV5</f>
        <v>0</v>
      </c>
      <c r="AM3" s="51">
        <f>HYD!AW5</f>
        <v>0</v>
      </c>
      <c r="AN3" s="51">
        <f>HYD!AX5</f>
        <v>0</v>
      </c>
      <c r="AO3" s="51">
        <f>HYD!AY5</f>
        <v>0</v>
      </c>
      <c r="AP3" s="1">
        <v>1.0300000000000011</v>
      </c>
      <c r="AQ3" s="1">
        <v>77.7</v>
      </c>
      <c r="AR3" s="1"/>
      <c r="AS3" s="1"/>
    </row>
    <row r="4" spans="1:47" x14ac:dyDescent="0.25">
      <c r="A4" s="35">
        <v>2</v>
      </c>
      <c r="B4" s="35" t="str">
        <f>B3</f>
        <v>RBH-11</v>
      </c>
      <c r="C4" s="27">
        <f>GSD!F6</f>
        <v>1.5</v>
      </c>
      <c r="D4" s="23">
        <v>4.75</v>
      </c>
      <c r="E4" s="23">
        <v>2</v>
      </c>
      <c r="F4" s="23">
        <v>0.42499999999999999</v>
      </c>
      <c r="G4" s="23">
        <v>0.21199999999999999</v>
      </c>
      <c r="H4" s="23">
        <v>0.15</v>
      </c>
      <c r="I4" s="23">
        <v>7.4999999999999997E-2</v>
      </c>
      <c r="J4" s="24">
        <f>HYD!Z6</f>
        <v>0</v>
      </c>
      <c r="K4" s="24">
        <f>HYD!AA6</f>
        <v>0</v>
      </c>
      <c r="L4" s="24">
        <f>HYD!AB6</f>
        <v>0</v>
      </c>
      <c r="M4" s="24">
        <f>HYD!AC6</f>
        <v>0</v>
      </c>
      <c r="N4" s="24">
        <f>HYD!AD6</f>
        <v>0</v>
      </c>
      <c r="O4" s="24">
        <f>HYD!AE6</f>
        <v>0</v>
      </c>
      <c r="P4" s="24">
        <f>HYD!AF6</f>
        <v>0</v>
      </c>
      <c r="Q4" s="24">
        <f>HYD!AG6</f>
        <v>0</v>
      </c>
      <c r="R4" s="24">
        <f>HYD!AH6</f>
        <v>0</v>
      </c>
      <c r="S4" s="24">
        <f>HYD!AI6</f>
        <v>0</v>
      </c>
      <c r="T4" s="24">
        <f>HYD!AJ6</f>
        <v>0</v>
      </c>
      <c r="U4" s="24">
        <f>HYD!AK6</f>
        <v>0</v>
      </c>
      <c r="V4" s="24">
        <f>HYD!AL6</f>
        <v>0</v>
      </c>
      <c r="W4" s="1">
        <f>GSD!Q6</f>
        <v>98.78</v>
      </c>
      <c r="X4" s="1">
        <f>GSD!R6</f>
        <v>98.254999999999995</v>
      </c>
      <c r="Y4" s="1">
        <f>GSD!S6</f>
        <v>96.855000000000004</v>
      </c>
      <c r="Z4" s="1">
        <f>GSD!T6</f>
        <v>94.09</v>
      </c>
      <c r="AA4" s="1">
        <f>GSD!U6</f>
        <v>93.62</v>
      </c>
      <c r="AB4" s="52">
        <f>GSD!V6</f>
        <v>93.31</v>
      </c>
      <c r="AC4" s="52">
        <f>HYD!AM6</f>
        <v>0</v>
      </c>
      <c r="AD4" s="51">
        <f>HYD!AN6</f>
        <v>0</v>
      </c>
      <c r="AE4" s="51">
        <f>HYD!AO6</f>
        <v>0</v>
      </c>
      <c r="AF4" s="51">
        <f>HYD!AP6</f>
        <v>0</v>
      </c>
      <c r="AG4" s="51">
        <f>HYD!AQ6</f>
        <v>0</v>
      </c>
      <c r="AH4" s="51">
        <f>HYD!AR6</f>
        <v>0</v>
      </c>
      <c r="AI4" s="51">
        <f>HYD!AS6</f>
        <v>0</v>
      </c>
      <c r="AJ4" s="51">
        <f>HYD!AT6</f>
        <v>0</v>
      </c>
      <c r="AK4" s="51">
        <f>HYD!AU6</f>
        <v>0</v>
      </c>
      <c r="AL4" s="51">
        <f>HYD!AV6</f>
        <v>0</v>
      </c>
      <c r="AM4" s="51">
        <f>HYD!AW6</f>
        <v>0</v>
      </c>
      <c r="AN4" s="51">
        <f>HYD!AX6</f>
        <v>0</v>
      </c>
      <c r="AO4" s="51">
        <f>HYD!AY6</f>
        <v>0</v>
      </c>
      <c r="AP4" s="1">
        <v>1.2199999999999989</v>
      </c>
      <c r="AQ4" s="1">
        <v>5.4699999999999989</v>
      </c>
      <c r="AR4" s="1"/>
      <c r="AS4" s="1"/>
      <c r="AT4" s="18"/>
      <c r="AU4" s="62"/>
    </row>
    <row r="5" spans="1:47" x14ac:dyDescent="0.25">
      <c r="A5" s="35">
        <v>3</v>
      </c>
      <c r="B5" s="35" t="str">
        <f t="shared" ref="B5:B21" si="0">B4</f>
        <v>RBH-11</v>
      </c>
      <c r="C5" s="27">
        <f>GSD!F7</f>
        <v>4.5</v>
      </c>
      <c r="D5" s="23">
        <v>4.75</v>
      </c>
      <c r="E5" s="23">
        <v>2</v>
      </c>
      <c r="F5" s="23">
        <v>0.42499999999999999</v>
      </c>
      <c r="G5" s="23">
        <v>0.21199999999999999</v>
      </c>
      <c r="H5" s="23">
        <v>0.15</v>
      </c>
      <c r="I5" s="23">
        <v>7.4999999999999997E-2</v>
      </c>
      <c r="J5" s="24">
        <f>HYD!Z7</f>
        <v>5.887885652409839E-2</v>
      </c>
      <c r="K5" s="24">
        <f>HYD!AA7</f>
        <v>4.1633638716699763E-2</v>
      </c>
      <c r="L5" s="24">
        <f>HYD!AB7</f>
        <v>2.9439428262049195E-2</v>
      </c>
      <c r="M5" s="24">
        <f>HYD!AC7</f>
        <v>2.1103606434820382E-2</v>
      </c>
      <c r="N5" s="24">
        <f>HYD!AD7</f>
        <v>1.5665741587701239E-2</v>
      </c>
      <c r="O5" s="24">
        <f>HYD!AE7</f>
        <v>1.1579903918345074E-2</v>
      </c>
      <c r="P5" s="24">
        <f>HYD!AF7</f>
        <v>8.1882285861504759E-3</v>
      </c>
      <c r="Q5" s="24">
        <f>HYD!AG7</f>
        <v>5.8587563623492111E-3</v>
      </c>
      <c r="R5" s="24">
        <f>HYD!AH7</f>
        <v>4.1427663531369563E-3</v>
      </c>
      <c r="S5" s="24">
        <f>HYD!AI7</f>
        <v>2.9633810309007253E-3</v>
      </c>
      <c r="T5" s="24">
        <f>HYD!AJ7</f>
        <v>2.1191976949145883E-3</v>
      </c>
      <c r="U5" s="24">
        <f>HYD!AK7</f>
        <v>1.4984990607490056E-3</v>
      </c>
      <c r="V5" s="24">
        <f>HYD!AL7</f>
        <v>1.2370912352654118E-3</v>
      </c>
      <c r="W5" s="1">
        <f>GSD!Q7</f>
        <v>99.5</v>
      </c>
      <c r="X5" s="1">
        <f>GSD!R7</f>
        <v>98.284999999999997</v>
      </c>
      <c r="Y5" s="1">
        <f>GSD!S7</f>
        <v>79.275000000000006</v>
      </c>
      <c r="Z5" s="1">
        <f>GSD!T7</f>
        <v>63.31</v>
      </c>
      <c r="AA5" s="1">
        <f>GSD!U7</f>
        <v>61.285000000000004</v>
      </c>
      <c r="AB5" s="52">
        <f>GSD!V7</f>
        <v>60.35</v>
      </c>
      <c r="AC5" s="52">
        <f>HYD!AM7</f>
        <v>59.401588235293815</v>
      </c>
      <c r="AD5" s="51">
        <f>HYD!AN7</f>
        <v>59.401588235293815</v>
      </c>
      <c r="AE5" s="51">
        <f>HYD!AO7</f>
        <v>59.401588235293815</v>
      </c>
      <c r="AF5" s="51">
        <f>HYD!AP7</f>
        <v>56.225117647058866</v>
      </c>
      <c r="AG5" s="51">
        <f>HYD!AQ7</f>
        <v>56.225117647058866</v>
      </c>
      <c r="AH5" s="51">
        <f>HYD!AR7</f>
        <v>53.048647058823221</v>
      </c>
      <c r="AI5" s="51">
        <f>HYD!AS7</f>
        <v>53.048647058823221</v>
      </c>
      <c r="AJ5" s="51">
        <f>HYD!AT7</f>
        <v>49.872176470588272</v>
      </c>
      <c r="AK5" s="51">
        <f>HYD!AU7</f>
        <v>49.872176470588272</v>
      </c>
      <c r="AL5" s="51">
        <f>HYD!AV7</f>
        <v>46.695705882352634</v>
      </c>
      <c r="AM5" s="51">
        <f>HYD!AW7</f>
        <v>43.519235294117685</v>
      </c>
      <c r="AN5" s="51">
        <f>HYD!AX7</f>
        <v>43.519235294117685</v>
      </c>
      <c r="AO5" s="51">
        <f>HYD!AY7</f>
        <v>40.34276470588204</v>
      </c>
      <c r="AP5" s="1">
        <v>0.5</v>
      </c>
      <c r="AQ5" s="1">
        <v>39.15</v>
      </c>
      <c r="AR5" s="1">
        <v>16.830764705882316</v>
      </c>
      <c r="AS5" s="1">
        <v>43.519235294117685</v>
      </c>
      <c r="AT5" s="18"/>
      <c r="AU5" s="62"/>
    </row>
    <row r="6" spans="1:47" x14ac:dyDescent="0.25">
      <c r="A6" s="35">
        <v>4</v>
      </c>
      <c r="B6" s="35" t="str">
        <f t="shared" si="0"/>
        <v>RBH-11</v>
      </c>
      <c r="C6" s="27">
        <f>GSD!F8</f>
        <v>6.5</v>
      </c>
      <c r="D6" s="23">
        <v>4.75</v>
      </c>
      <c r="E6" s="23">
        <v>2</v>
      </c>
      <c r="F6" s="23">
        <v>0.42499999999999999</v>
      </c>
      <c r="G6" s="23">
        <v>0.21199999999999999</v>
      </c>
      <c r="H6" s="23">
        <v>0.15</v>
      </c>
      <c r="I6" s="23">
        <v>7.4999999999999997E-2</v>
      </c>
      <c r="J6" s="24">
        <f>HYD!Z8</f>
        <v>5.4874014062519398E-2</v>
      </c>
      <c r="K6" s="24">
        <f>HYD!AA8</f>
        <v>3.8801787454533436E-2</v>
      </c>
      <c r="L6" s="24">
        <f>HYD!AB8</f>
        <v>2.7437007031259699E-2</v>
      </c>
      <c r="M6" s="24">
        <f>HYD!AC8</f>
        <v>1.9701282712674278E-2</v>
      </c>
      <c r="N6" s="24">
        <f>HYD!AD8</f>
        <v>1.4706529113819039E-2</v>
      </c>
      <c r="O6" s="24">
        <f>HYD!AE8</f>
        <v>1.08849726413282E-2</v>
      </c>
      <c r="P6" s="24">
        <f>HYD!AF8</f>
        <v>7.7979118860308496E-3</v>
      </c>
      <c r="Q6" s="24">
        <f>HYD!AG8</f>
        <v>5.5139563737075948E-3</v>
      </c>
      <c r="R6" s="24">
        <f>HYD!AH8</f>
        <v>3.9488461879190438E-3</v>
      </c>
      <c r="S6" s="24">
        <f>HYD!AI8</f>
        <v>2.8270934708734107E-3</v>
      </c>
      <c r="T6" s="24">
        <f>HYD!AJ8</f>
        <v>1.999056964302802E-3</v>
      </c>
      <c r="U6" s="24">
        <f>HYD!AK8</f>
        <v>1.4135467354367054E-3</v>
      </c>
      <c r="V6" s="24">
        <f>HYD!AL8</f>
        <v>1.1682053100225147E-3</v>
      </c>
      <c r="W6" s="1">
        <f>GSD!Q8</f>
        <v>100</v>
      </c>
      <c r="X6" s="1">
        <f>GSD!R8</f>
        <v>100</v>
      </c>
      <c r="Y6" s="1">
        <f>GSD!S8</f>
        <v>97.46</v>
      </c>
      <c r="Z6" s="1">
        <f>GSD!T8</f>
        <v>96.54</v>
      </c>
      <c r="AA6" s="1">
        <f>GSD!U8</f>
        <v>96.31</v>
      </c>
      <c r="AB6" s="52">
        <f>GSD!V8</f>
        <v>95.49</v>
      </c>
      <c r="AC6" s="52">
        <f>HYD!AM8</f>
        <v>71.493528735631884</v>
      </c>
      <c r="AD6" s="51">
        <f>HYD!AN8</f>
        <v>71.493528735631884</v>
      </c>
      <c r="AE6" s="51">
        <f>HYD!AO8</f>
        <v>71.493528735631884</v>
      </c>
      <c r="AF6" s="51">
        <f>HYD!AP8</f>
        <v>68.344103448275916</v>
      </c>
      <c r="AG6" s="51">
        <f>HYD!AQ8</f>
        <v>68.344103448275916</v>
      </c>
      <c r="AH6" s="51">
        <f>HYD!AR8</f>
        <v>65.194678160919239</v>
      </c>
      <c r="AI6" s="51">
        <f>HYD!AS8</f>
        <v>62.045252873563271</v>
      </c>
      <c r="AJ6" s="51">
        <f>HYD!AT8</f>
        <v>62.045252873563271</v>
      </c>
      <c r="AK6" s="51">
        <f>HYD!AU8</f>
        <v>58.8958275862066</v>
      </c>
      <c r="AL6" s="51">
        <f>HYD!AV8</f>
        <v>55.746402298850612</v>
      </c>
      <c r="AM6" s="51">
        <f>HYD!AW8</f>
        <v>55.746402298850612</v>
      </c>
      <c r="AN6" s="51">
        <f>HYD!AX8</f>
        <v>55.746402298850612</v>
      </c>
      <c r="AO6" s="51">
        <f>HYD!AY8</f>
        <v>52.596977011493948</v>
      </c>
      <c r="AP6" s="1">
        <v>0</v>
      </c>
      <c r="AQ6" s="1">
        <v>4.5100000000000051</v>
      </c>
      <c r="AR6" s="1">
        <v>39.743597701149383</v>
      </c>
      <c r="AS6" s="1">
        <v>55.746402298850612</v>
      </c>
      <c r="AT6" s="18"/>
      <c r="AU6" s="62"/>
    </row>
    <row r="7" spans="1:47" x14ac:dyDescent="0.25">
      <c r="A7" s="35">
        <v>5</v>
      </c>
      <c r="B7" s="35" t="str">
        <f t="shared" si="0"/>
        <v>RBH-11</v>
      </c>
      <c r="C7" s="27">
        <f>GSD!F9</f>
        <v>7.5</v>
      </c>
      <c r="D7" s="23">
        <v>4.75</v>
      </c>
      <c r="E7" s="23">
        <v>2</v>
      </c>
      <c r="F7" s="23">
        <v>0.42499999999999999</v>
      </c>
      <c r="G7" s="23">
        <v>0.21199999999999999</v>
      </c>
      <c r="H7" s="23">
        <v>0.15</v>
      </c>
      <c r="I7" s="23">
        <v>7.4999999999999997E-2</v>
      </c>
      <c r="J7" s="24">
        <f>HYD!Z9</f>
        <v>5.8056367908476403E-2</v>
      </c>
      <c r="K7" s="24">
        <f>HYD!AA9</f>
        <v>4.105205143914472E-2</v>
      </c>
      <c r="L7" s="24">
        <f>HYD!AB9</f>
        <v>2.9028183954238201E-2</v>
      </c>
      <c r="M7" s="24">
        <f>HYD!AC9</f>
        <v>2.0816819358349881E-2</v>
      </c>
      <c r="N7" s="24">
        <f>HYD!AD9</f>
        <v>1.5472696640011439E-2</v>
      </c>
      <c r="O7" s="24">
        <f>HYD!AE9</f>
        <v>1.1440640063507685E-2</v>
      </c>
      <c r="P7" s="24">
        <f>HYD!AF9</f>
        <v>8.0897541700207781E-3</v>
      </c>
      <c r="Q7" s="24">
        <f>HYD!AG9</f>
        <v>5.7899519591725372E-3</v>
      </c>
      <c r="R7" s="24">
        <f>HYD!AH9</f>
        <v>4.1427663531369563E-3</v>
      </c>
      <c r="S7" s="24">
        <f>HYD!AI9</f>
        <v>2.9633810309007253E-3</v>
      </c>
      <c r="T7" s="24">
        <f>HYD!AJ9</f>
        <v>2.095426822189485E-3</v>
      </c>
      <c r="U7" s="24">
        <f>HYD!AK9</f>
        <v>1.4984990607490056E-3</v>
      </c>
      <c r="V7" s="24">
        <f>HYD!AL9</f>
        <v>1.2235193596249719E-3</v>
      </c>
      <c r="W7" s="1">
        <f>GSD!Q9</f>
        <v>98.724999999999994</v>
      </c>
      <c r="X7" s="1">
        <f>GSD!R9</f>
        <v>95.94</v>
      </c>
      <c r="Y7" s="1">
        <f>GSD!S9</f>
        <v>85.094999999999999</v>
      </c>
      <c r="Z7" s="1">
        <f>GSD!T9</f>
        <v>79.305000000000007</v>
      </c>
      <c r="AA7" s="1">
        <f>GSD!U9</f>
        <v>78.364999999999995</v>
      </c>
      <c r="AB7" s="52">
        <f>GSD!V9</f>
        <v>77.56</v>
      </c>
      <c r="AC7" s="52">
        <f>HYD!AM9</f>
        <v>62.57805882352946</v>
      </c>
      <c r="AD7" s="51">
        <f>HYD!AN9</f>
        <v>62.57805882352946</v>
      </c>
      <c r="AE7" s="51">
        <f>HYD!AO9</f>
        <v>62.57805882352946</v>
      </c>
      <c r="AF7" s="51">
        <f>HYD!AP9</f>
        <v>59.401588235293815</v>
      </c>
      <c r="AG7" s="51">
        <f>HYD!AQ9</f>
        <v>59.401588235293815</v>
      </c>
      <c r="AH7" s="51">
        <f>HYD!AR9</f>
        <v>56.225117647058866</v>
      </c>
      <c r="AI7" s="51">
        <f>HYD!AS9</f>
        <v>56.225117647058866</v>
      </c>
      <c r="AJ7" s="51">
        <f>HYD!AT9</f>
        <v>53.048647058823221</v>
      </c>
      <c r="AK7" s="51">
        <f>HYD!AU9</f>
        <v>49.872176470588272</v>
      </c>
      <c r="AL7" s="51">
        <f>HYD!AV9</f>
        <v>46.695705882352634</v>
      </c>
      <c r="AM7" s="51">
        <f>HYD!AW9</f>
        <v>46.695705882352634</v>
      </c>
      <c r="AN7" s="51">
        <f>HYD!AX9</f>
        <v>43.519235294117685</v>
      </c>
      <c r="AO7" s="51">
        <f>HYD!AY9</f>
        <v>43.519235294117685</v>
      </c>
      <c r="AP7" s="1">
        <v>1.2750000000000057</v>
      </c>
      <c r="AQ7" s="1">
        <v>21.164999999999992</v>
      </c>
      <c r="AR7" s="1">
        <v>31.305864447651189</v>
      </c>
      <c r="AS7" s="1">
        <v>46.254135552348814</v>
      </c>
      <c r="AT7" s="18"/>
      <c r="AU7" s="62"/>
    </row>
    <row r="8" spans="1:47" x14ac:dyDescent="0.25">
      <c r="A8" s="35">
        <v>6</v>
      </c>
      <c r="B8" s="35" t="str">
        <f t="shared" si="0"/>
        <v>RBH-11</v>
      </c>
      <c r="C8" s="27">
        <f>GSD!F10</f>
        <v>9.5</v>
      </c>
      <c r="D8" s="23">
        <v>4.75</v>
      </c>
      <c r="E8" s="23">
        <v>2</v>
      </c>
      <c r="F8" s="23">
        <v>0.42499999999999999</v>
      </c>
      <c r="G8" s="23">
        <v>0.21199999999999999</v>
      </c>
      <c r="H8" s="23">
        <v>0.15</v>
      </c>
      <c r="I8" s="23">
        <v>7.4999999999999997E-2</v>
      </c>
      <c r="J8" s="24">
        <f>HYD!Z10</f>
        <v>5.669536455251515E-2</v>
      </c>
      <c r="K8" s="24">
        <f>HYD!AA10</f>
        <v>4.0089676736926871E-2</v>
      </c>
      <c r="L8" s="24">
        <f>HYD!AB10</f>
        <v>2.8347682276257575E-2</v>
      </c>
      <c r="M8" s="24">
        <f>HYD!AC10</f>
        <v>2.0355197712976458E-2</v>
      </c>
      <c r="N8" s="24">
        <f>HYD!AD10</f>
        <v>1.5194660781698727E-2</v>
      </c>
      <c r="O8" s="24">
        <f>HYD!AE10</f>
        <v>1.1246261141770067E-2</v>
      </c>
      <c r="P8" s="24">
        <f>HYD!AF10</f>
        <v>8.0567362289773025E-3</v>
      </c>
      <c r="Q8" s="24">
        <f>HYD!AG10</f>
        <v>5.6969728217411836E-3</v>
      </c>
      <c r="R8" s="24">
        <f>HYD!AH10</f>
        <v>4.0799142911398124E-3</v>
      </c>
      <c r="S8" s="24">
        <f>HYD!AI10</f>
        <v>2.9209289258953918E-3</v>
      </c>
      <c r="T8" s="24">
        <f>HYD!AJ10</f>
        <v>2.0654086508645701E-3</v>
      </c>
      <c r="U8" s="24">
        <f>HYD!AK10</f>
        <v>1.4604644629476959E-3</v>
      </c>
      <c r="V8" s="24">
        <f>HYD!AL10</f>
        <v>1.2069797891667048E-3</v>
      </c>
      <c r="W8" s="1">
        <f>GSD!Q10</f>
        <v>100</v>
      </c>
      <c r="X8" s="1">
        <f>GSD!R10</f>
        <v>100</v>
      </c>
      <c r="Y8" s="1">
        <f>GSD!S10</f>
        <v>99.47</v>
      </c>
      <c r="Z8" s="1">
        <f>GSD!T10</f>
        <v>96.43</v>
      </c>
      <c r="AA8" s="1">
        <f>GSD!U10</f>
        <v>94.94</v>
      </c>
      <c r="AB8" s="52">
        <f>GSD!V10</f>
        <v>91.98</v>
      </c>
      <c r="AC8" s="52">
        <f>HYD!AM10</f>
        <v>73.25437423312853</v>
      </c>
      <c r="AD8" s="51">
        <f>HYD!AN10</f>
        <v>73.25437423312853</v>
      </c>
      <c r="AE8" s="51">
        <f>HYD!AO10</f>
        <v>73.25437423312853</v>
      </c>
      <c r="AF8" s="51">
        <f>HYD!AP10</f>
        <v>70.027380368098221</v>
      </c>
      <c r="AG8" s="51">
        <f>HYD!AQ10</f>
        <v>70.027380368098221</v>
      </c>
      <c r="AH8" s="51">
        <f>HYD!AR10</f>
        <v>66.800386503067188</v>
      </c>
      <c r="AI8" s="51">
        <f>HYD!AS10</f>
        <v>63.573392638036864</v>
      </c>
      <c r="AJ8" s="51">
        <f>HYD!AT10</f>
        <v>63.573392638036864</v>
      </c>
      <c r="AK8" s="51">
        <f>HYD!AU10</f>
        <v>60.346398773005838</v>
      </c>
      <c r="AL8" s="51">
        <f>HYD!AV10</f>
        <v>57.1194049079755</v>
      </c>
      <c r="AM8" s="51">
        <f>HYD!AW10</f>
        <v>57.1194049079755</v>
      </c>
      <c r="AN8" s="51">
        <f>HYD!AX10</f>
        <v>57.1194049079755</v>
      </c>
      <c r="AO8" s="51">
        <f>HYD!AY10</f>
        <v>53.892411042944474</v>
      </c>
      <c r="AP8" s="1">
        <v>0</v>
      </c>
      <c r="AQ8" s="1">
        <v>8.019999999999996</v>
      </c>
      <c r="AR8" s="1">
        <v>34.860595092024504</v>
      </c>
      <c r="AS8" s="1">
        <v>57.1194049079755</v>
      </c>
      <c r="AT8" s="18"/>
      <c r="AU8" s="62"/>
    </row>
    <row r="9" spans="1:47" x14ac:dyDescent="0.25">
      <c r="A9" s="35">
        <v>7</v>
      </c>
      <c r="B9" s="35" t="str">
        <f t="shared" si="0"/>
        <v>RBH-11</v>
      </c>
      <c r="C9" s="27">
        <f>GSD!F11</f>
        <v>10.5</v>
      </c>
      <c r="D9" s="23">
        <v>4.75</v>
      </c>
      <c r="E9" s="23">
        <v>2</v>
      </c>
      <c r="F9" s="23">
        <v>0.42499999999999999</v>
      </c>
      <c r="G9" s="23">
        <v>0.21199999999999999</v>
      </c>
      <c r="H9" s="23">
        <v>0.15</v>
      </c>
      <c r="I9" s="23">
        <v>7.4999999999999997E-2</v>
      </c>
      <c r="J9" s="24">
        <f>HYD!Z11</f>
        <v>5.669536455251515E-2</v>
      </c>
      <c r="K9" s="24">
        <f>HYD!AA11</f>
        <v>4.0089676736926871E-2</v>
      </c>
      <c r="L9" s="24">
        <f>HYD!AB11</f>
        <v>2.8347682276257575E-2</v>
      </c>
      <c r="M9" s="24">
        <f>HYD!AC11</f>
        <v>2.0355197712976458E-2</v>
      </c>
      <c r="N9" s="24">
        <f>HYD!AD11</f>
        <v>1.5194660781698727E-2</v>
      </c>
      <c r="O9" s="24">
        <f>HYD!AE11</f>
        <v>1.1246261141770067E-2</v>
      </c>
      <c r="P9" s="24">
        <f>HYD!AF11</f>
        <v>8.0567362289773025E-3</v>
      </c>
      <c r="Q9" s="24">
        <f>HYD!AG11</f>
        <v>5.6969728217411836E-3</v>
      </c>
      <c r="R9" s="24">
        <f>HYD!AH11</f>
        <v>4.0283681144886513E-3</v>
      </c>
      <c r="S9" s="24">
        <f>HYD!AI11</f>
        <v>2.9209289258953918E-3</v>
      </c>
      <c r="T9" s="24">
        <f>HYD!AJ11</f>
        <v>2.0654086508645701E-3</v>
      </c>
      <c r="U9" s="24">
        <f>HYD!AK11</f>
        <v>1.4604644629476959E-3</v>
      </c>
      <c r="V9" s="24">
        <f>HYD!AL11</f>
        <v>1.2069797891667048E-3</v>
      </c>
      <c r="W9" s="1">
        <f>GSD!Q11</f>
        <v>99.54</v>
      </c>
      <c r="X9" s="1">
        <f>GSD!R11</f>
        <v>98.125</v>
      </c>
      <c r="Y9" s="1">
        <f>GSD!S11</f>
        <v>91.28</v>
      </c>
      <c r="Z9" s="1">
        <f>GSD!T11</f>
        <v>88.11</v>
      </c>
      <c r="AA9" s="1">
        <f>GSD!U11</f>
        <v>87.234999999999999</v>
      </c>
      <c r="AB9" s="52">
        <f>GSD!V11</f>
        <v>85.6</v>
      </c>
      <c r="AC9" s="52">
        <f>HYD!AM11</f>
        <v>73.25437423312853</v>
      </c>
      <c r="AD9" s="51">
        <f>HYD!AN11</f>
        <v>73.25437423312853</v>
      </c>
      <c r="AE9" s="51">
        <f>HYD!AO11</f>
        <v>73.25437423312853</v>
      </c>
      <c r="AF9" s="51">
        <f>HYD!AP11</f>
        <v>70.027380368098221</v>
      </c>
      <c r="AG9" s="51">
        <f>HYD!AQ11</f>
        <v>70.027380368098221</v>
      </c>
      <c r="AH9" s="51">
        <f>HYD!AR11</f>
        <v>66.800386503067188</v>
      </c>
      <c r="AI9" s="51">
        <f>HYD!AS11</f>
        <v>63.573392638036864</v>
      </c>
      <c r="AJ9" s="51">
        <f>HYD!AT11</f>
        <v>63.573392638036864</v>
      </c>
      <c r="AK9" s="51">
        <f>HYD!AU11</f>
        <v>63.573392638036864</v>
      </c>
      <c r="AL9" s="51">
        <f>HYD!AV11</f>
        <v>57.1194049079755</v>
      </c>
      <c r="AM9" s="51">
        <f>HYD!AW11</f>
        <v>57.1194049079755</v>
      </c>
      <c r="AN9" s="51">
        <f>HYD!AX11</f>
        <v>57.1194049079755</v>
      </c>
      <c r="AO9" s="51">
        <f>HYD!AY11</f>
        <v>53.892411042944474</v>
      </c>
      <c r="AP9" s="36">
        <v>0.45999999999999375</v>
      </c>
      <c r="AQ9" s="36">
        <v>13.940000000000012</v>
      </c>
      <c r="AR9" s="36">
        <v>28.480595092024494</v>
      </c>
      <c r="AS9" s="36">
        <v>57.1194049079755</v>
      </c>
      <c r="AT9" s="18"/>
      <c r="AU9" s="62"/>
    </row>
    <row r="10" spans="1:47" x14ac:dyDescent="0.25">
      <c r="A10" s="35">
        <v>8</v>
      </c>
      <c r="B10" s="35" t="str">
        <f t="shared" si="0"/>
        <v>RBH-11</v>
      </c>
      <c r="C10" s="27">
        <f>GSD!F12</f>
        <v>12.5</v>
      </c>
      <c r="D10" s="23">
        <v>4.75</v>
      </c>
      <c r="E10" s="23">
        <v>2</v>
      </c>
      <c r="F10" s="23">
        <v>0.42499999999999999</v>
      </c>
      <c r="G10" s="23">
        <v>0.21199999999999999</v>
      </c>
      <c r="H10" s="23">
        <v>0.15</v>
      </c>
      <c r="I10" s="23">
        <v>7.4999999999999997E-2</v>
      </c>
      <c r="J10" s="24">
        <f>HYD!Z12</f>
        <v>5.5192126953922699E-2</v>
      </c>
      <c r="K10" s="24">
        <f>HYD!AA12</f>
        <v>3.9026727237227575E-2</v>
      </c>
      <c r="L10" s="24">
        <f>HYD!AB12</f>
        <v>2.7596063476961349E-2</v>
      </c>
      <c r="M10" s="24">
        <f>HYD!AC12</f>
        <v>1.9815494004032375E-2</v>
      </c>
      <c r="N10" s="24">
        <f>HYD!AD12</f>
        <v>1.4791785069280465E-2</v>
      </c>
      <c r="O10" s="24">
        <f>HYD!AE12</f>
        <v>1.0948074460630753E-2</v>
      </c>
      <c r="P10" s="24">
        <f>HYD!AF12</f>
        <v>7.8431175510319043E-3</v>
      </c>
      <c r="Q10" s="24">
        <f>HYD!AG12</f>
        <v>5.5459216059778873E-3</v>
      </c>
      <c r="R10" s="24">
        <f>HYD!AH12</f>
        <v>3.9215587755159521E-3</v>
      </c>
      <c r="S10" s="24">
        <f>HYD!AI12</f>
        <v>2.8434825558283092E-3</v>
      </c>
      <c r="T10" s="24">
        <f>HYD!AJ12</f>
        <v>2.0106457974118533E-3</v>
      </c>
      <c r="U10" s="24">
        <f>HYD!AK12</f>
        <v>1.4217412779141546E-3</v>
      </c>
      <c r="V10" s="24">
        <f>HYD!AL12</f>
        <v>1.1749775714521335E-3</v>
      </c>
      <c r="W10" s="1">
        <f>GSD!Q12</f>
        <v>99.38</v>
      </c>
      <c r="X10" s="1">
        <f>GSD!R12</f>
        <v>96.94</v>
      </c>
      <c r="Y10" s="1">
        <f>GSD!S12</f>
        <v>91.7</v>
      </c>
      <c r="Z10" s="1">
        <f>GSD!T12</f>
        <v>90.07</v>
      </c>
      <c r="AA10" s="1">
        <f>GSD!U12</f>
        <v>89.73</v>
      </c>
      <c r="AB10" s="52">
        <f>GSD!V12</f>
        <v>89.32</v>
      </c>
      <c r="AC10" s="52">
        <f>HYD!AM12</f>
        <v>71.796930232557841</v>
      </c>
      <c r="AD10" s="51">
        <f>HYD!AN12</f>
        <v>71.796930232557841</v>
      </c>
      <c r="AE10" s="51">
        <f>HYD!AO12</f>
        <v>71.796930232557841</v>
      </c>
      <c r="AF10" s="51">
        <f>HYD!AP12</f>
        <v>68.634139534883786</v>
      </c>
      <c r="AG10" s="51">
        <f>HYD!AQ12</f>
        <v>68.634139534883786</v>
      </c>
      <c r="AH10" s="51">
        <f>HYD!AR12</f>
        <v>65.471348837209007</v>
      </c>
      <c r="AI10" s="51">
        <f>HYD!AS12</f>
        <v>62.308558139534931</v>
      </c>
      <c r="AJ10" s="51">
        <f>HYD!AT12</f>
        <v>62.308558139534931</v>
      </c>
      <c r="AK10" s="51">
        <f>HYD!AU12</f>
        <v>62.308558139534931</v>
      </c>
      <c r="AL10" s="51">
        <f>HYD!AV12</f>
        <v>55.982976744186082</v>
      </c>
      <c r="AM10" s="51">
        <f>HYD!AW12</f>
        <v>55.982976744186082</v>
      </c>
      <c r="AN10" s="51">
        <f>HYD!AX12</f>
        <v>55.982976744186082</v>
      </c>
      <c r="AO10" s="51">
        <f>HYD!AY12</f>
        <v>52.820186046511317</v>
      </c>
      <c r="AP10" s="36">
        <v>0.62000000000000455</v>
      </c>
      <c r="AQ10" s="36">
        <v>10.060000000000002</v>
      </c>
      <c r="AR10" s="36">
        <v>33.337023255813911</v>
      </c>
      <c r="AS10" s="36">
        <v>55.982976744186082</v>
      </c>
      <c r="AT10" s="18"/>
      <c r="AU10" s="62"/>
    </row>
    <row r="11" spans="1:47" x14ac:dyDescent="0.25">
      <c r="A11" s="35">
        <v>9</v>
      </c>
      <c r="B11" s="35" t="str">
        <f t="shared" si="0"/>
        <v>RBH-11</v>
      </c>
      <c r="C11" s="27">
        <f>GSD!F13</f>
        <v>13.5</v>
      </c>
      <c r="D11" s="23">
        <v>4.75</v>
      </c>
      <c r="E11" s="23">
        <v>2</v>
      </c>
      <c r="F11" s="23">
        <v>0.42499999999999999</v>
      </c>
      <c r="G11" s="23">
        <v>0.21199999999999999</v>
      </c>
      <c r="H11" s="23">
        <v>0.15</v>
      </c>
      <c r="I11" s="23">
        <v>7.4999999999999997E-2</v>
      </c>
      <c r="J11" s="24">
        <f>HYD!Z13</f>
        <v>5.9817140360131138E-2</v>
      </c>
      <c r="K11" s="24">
        <f>HYD!AA13</f>
        <v>4.229710557983625E-2</v>
      </c>
      <c r="L11" s="24">
        <f>HYD!AB13</f>
        <v>3.0357742116063124E-2</v>
      </c>
      <c r="M11" s="24">
        <f>HYD!AC13</f>
        <v>2.1466165311780687E-2</v>
      </c>
      <c r="N11" s="24">
        <f>HYD!AD13</f>
        <v>1.641730996173852E-2</v>
      </c>
      <c r="O11" s="24">
        <f>HYD!AE13</f>
        <v>1.1989507999464617E-2</v>
      </c>
      <c r="P11" s="24">
        <f>HYD!AF13</f>
        <v>8.5836363766128663E-3</v>
      </c>
      <c r="Q11" s="24">
        <f>HYD!AG13</f>
        <v>6.0695474891424833E-3</v>
      </c>
      <c r="R11" s="24">
        <f>HYD!AH13</f>
        <v>4.344061344445157E-3</v>
      </c>
      <c r="S11" s="24">
        <f>HYD!AI13</f>
        <v>3.0717152345475212E-3</v>
      </c>
      <c r="T11" s="24">
        <f>HYD!AJ13</f>
        <v>2.1978418145494074E-3</v>
      </c>
      <c r="U11" s="24">
        <f>HYD!AK13</f>
        <v>1.5541088510432322E-3</v>
      </c>
      <c r="V11" s="24">
        <f>HYD!AL13</f>
        <v>1.2836536451976989E-3</v>
      </c>
      <c r="W11" s="1">
        <f>GSD!Q13</f>
        <v>100</v>
      </c>
      <c r="X11" s="1">
        <f>GSD!R13</f>
        <v>99.795000000000002</v>
      </c>
      <c r="Y11" s="1">
        <f>GSD!S13</f>
        <v>99.4</v>
      </c>
      <c r="Z11" s="1">
        <f>GSD!T13</f>
        <v>99.245000000000005</v>
      </c>
      <c r="AA11" s="1">
        <f>GSD!U13</f>
        <v>99.2</v>
      </c>
      <c r="AB11" s="52">
        <f>GSD!V13</f>
        <v>99.144999999999996</v>
      </c>
      <c r="AC11" s="52">
        <f>HYD!AM13</f>
        <v>72.143384105960337</v>
      </c>
      <c r="AD11" s="51">
        <f>HYD!AN13</f>
        <v>72.143384105960337</v>
      </c>
      <c r="AE11" s="51">
        <f>HYD!AO13</f>
        <v>68.818880794701684</v>
      </c>
      <c r="AF11" s="51">
        <f>HYD!AP13</f>
        <v>68.818880794701684</v>
      </c>
      <c r="AG11" s="51">
        <f>HYD!AQ13</f>
        <v>62.169874172185125</v>
      </c>
      <c r="AH11" s="51">
        <f>HYD!AR13</f>
        <v>62.169874172185125</v>
      </c>
      <c r="AI11" s="51">
        <f>HYD!AS13</f>
        <v>58.845370860927197</v>
      </c>
      <c r="AJ11" s="51">
        <f>HYD!AT13</f>
        <v>58.845370860927197</v>
      </c>
      <c r="AK11" s="51">
        <f>HYD!AU13</f>
        <v>55.520867549668552</v>
      </c>
      <c r="AL11" s="51">
        <f>HYD!AV13</f>
        <v>55.520867549668552</v>
      </c>
      <c r="AM11" s="51">
        <f>HYD!AW13</f>
        <v>52.196364238410645</v>
      </c>
      <c r="AN11" s="51">
        <f>HYD!AX13</f>
        <v>52.196364238410645</v>
      </c>
      <c r="AO11" s="51">
        <f>HYD!AY13</f>
        <v>48.871860927151999</v>
      </c>
      <c r="AP11" s="36">
        <v>0</v>
      </c>
      <c r="AQ11" s="36">
        <v>0.85500000000000398</v>
      </c>
      <c r="AR11" s="36">
        <v>46.948635761589351</v>
      </c>
      <c r="AS11" s="36">
        <v>52.196364238410645</v>
      </c>
      <c r="AT11" s="18"/>
      <c r="AU11" s="62"/>
    </row>
    <row r="12" spans="1:47" x14ac:dyDescent="0.25">
      <c r="A12" s="35">
        <v>10</v>
      </c>
      <c r="B12" s="35" t="str">
        <f t="shared" si="0"/>
        <v>RBH-11</v>
      </c>
      <c r="C12" s="27">
        <f>GSD!F14</f>
        <v>15.5</v>
      </c>
      <c r="D12" s="23">
        <v>4.75</v>
      </c>
      <c r="E12" s="23">
        <v>2</v>
      </c>
      <c r="F12" s="23">
        <v>0.42499999999999999</v>
      </c>
      <c r="G12" s="23">
        <v>0.21199999999999999</v>
      </c>
      <c r="H12" s="23">
        <v>0.15</v>
      </c>
      <c r="I12" s="23">
        <v>7.4999999999999997E-2</v>
      </c>
      <c r="J12" s="24">
        <f>HYD!Z14</f>
        <v>5.6012262930425161E-2</v>
      </c>
      <c r="K12" s="24">
        <f>HYD!AA14</f>
        <v>3.960665094770751E-2</v>
      </c>
      <c r="L12" s="24">
        <f>HYD!AB14</f>
        <v>2.800613146521258E-2</v>
      </c>
      <c r="M12" s="24">
        <f>HYD!AC14</f>
        <v>2.0109945412626271E-2</v>
      </c>
      <c r="N12" s="24">
        <f>HYD!AD14</f>
        <v>1.5011585895259442E-2</v>
      </c>
      <c r="O12" s="24">
        <f>HYD!AE14</f>
        <v>1.0962912291679974E-2</v>
      </c>
      <c r="P12" s="24">
        <f>HYD!AF14</f>
        <v>7.8564930841262797E-3</v>
      </c>
      <c r="Q12" s="24">
        <f>HYD!AG14</f>
        <v>5.5553795361309053E-3</v>
      </c>
      <c r="R12" s="24">
        <f>HYD!AH14</f>
        <v>3.9798317867817557E-3</v>
      </c>
      <c r="S12" s="24">
        <f>HYD!AI14</f>
        <v>2.8501755390612344E-3</v>
      </c>
      <c r="T12" s="24">
        <f>HYD!AJ14</f>
        <v>2.0153784512422224E-3</v>
      </c>
      <c r="U12" s="24">
        <f>HYD!AK14</f>
        <v>1.4428678630930415E-3</v>
      </c>
      <c r="V12" s="24">
        <f>HYD!AL14</f>
        <v>1.1924373330361702E-3</v>
      </c>
      <c r="W12" s="1">
        <f>GSD!Q14</f>
        <v>97.82</v>
      </c>
      <c r="X12" s="1">
        <f>GSD!R14</f>
        <v>96.1</v>
      </c>
      <c r="Y12" s="1">
        <f>GSD!S14</f>
        <v>93.21</v>
      </c>
      <c r="Z12" s="1">
        <f>GSD!T14</f>
        <v>92.84</v>
      </c>
      <c r="AA12" s="1">
        <f>GSD!U14</f>
        <v>92.73</v>
      </c>
      <c r="AB12" s="52">
        <f>GSD!V14</f>
        <v>92.6</v>
      </c>
      <c r="AC12" s="52">
        <f>HYD!AM14</f>
        <v>72.587227544909879</v>
      </c>
      <c r="AD12" s="51">
        <f>HYD!AN14</f>
        <v>72.587227544909879</v>
      </c>
      <c r="AE12" s="51">
        <f>HYD!AO14</f>
        <v>72.587227544909879</v>
      </c>
      <c r="AF12" s="51">
        <f>HYD!AP14</f>
        <v>69.389622754491086</v>
      </c>
      <c r="AG12" s="51">
        <f>HYD!AQ14</f>
        <v>69.389622754491086</v>
      </c>
      <c r="AH12" s="51">
        <f>HYD!AR14</f>
        <v>69.389622754491086</v>
      </c>
      <c r="AI12" s="51">
        <f>HYD!AS14</f>
        <v>66.192017964071553</v>
      </c>
      <c r="AJ12" s="51">
        <f>HYD!AT14</f>
        <v>66.192017964071553</v>
      </c>
      <c r="AK12" s="51">
        <f>HYD!AU14</f>
        <v>62.994413173652745</v>
      </c>
      <c r="AL12" s="51">
        <f>HYD!AV14</f>
        <v>59.796808383233234</v>
      </c>
      <c r="AM12" s="51">
        <f>HYD!AW14</f>
        <v>59.796808383233234</v>
      </c>
      <c r="AN12" s="51">
        <f>HYD!AX14</f>
        <v>56.599203592814412</v>
      </c>
      <c r="AO12" s="51">
        <f>HYD!AY14</f>
        <v>53.401598802394901</v>
      </c>
      <c r="AP12" s="36">
        <v>2.1800000000000068</v>
      </c>
      <c r="AQ12" s="36">
        <v>5.2199999999999989</v>
      </c>
      <c r="AR12" s="36">
        <v>32.876485880549474</v>
      </c>
      <c r="AS12" s="36">
        <v>59.72351411945052</v>
      </c>
      <c r="AT12" s="18"/>
      <c r="AU12" s="62"/>
    </row>
    <row r="13" spans="1:47" x14ac:dyDescent="0.25">
      <c r="A13" s="35">
        <v>11</v>
      </c>
      <c r="B13" s="35" t="str">
        <f t="shared" si="0"/>
        <v>RBH-11</v>
      </c>
      <c r="C13" s="27">
        <f>GSD!F15</f>
        <v>16.5</v>
      </c>
      <c r="D13" s="23">
        <v>4.75</v>
      </c>
      <c r="E13" s="23">
        <v>2</v>
      </c>
      <c r="F13" s="23">
        <v>0.42499999999999999</v>
      </c>
      <c r="G13" s="23">
        <v>0.21199999999999999</v>
      </c>
      <c r="H13" s="23">
        <v>0.15</v>
      </c>
      <c r="I13" s="23">
        <v>7.4999999999999997E-2</v>
      </c>
      <c r="J13" s="24">
        <f>HYD!Z15</f>
        <v>6.0515432669386138E-2</v>
      </c>
      <c r="K13" s="24">
        <f>HYD!AA15</f>
        <v>4.2790872806960874E-2</v>
      </c>
      <c r="L13" s="24">
        <f>HYD!AB15</f>
        <v>3.0698880146919134E-2</v>
      </c>
      <c r="M13" s="24">
        <f>HYD!AC15</f>
        <v>2.1707386326719594E-2</v>
      </c>
      <c r="N13" s="24">
        <f>HYD!AD15</f>
        <v>1.6363216536389592E-2</v>
      </c>
      <c r="O13" s="24">
        <f>HYD!AE15</f>
        <v>1.1950003747096177E-2</v>
      </c>
      <c r="P13" s="24">
        <f>HYD!AF15</f>
        <v>8.5553541370350806E-3</v>
      </c>
      <c r="Q13" s="24">
        <f>HYD!AG15</f>
        <v>6.0495489257498892E-3</v>
      </c>
      <c r="R13" s="24">
        <f>HYD!AH15</f>
        <v>4.3297480885832315E-3</v>
      </c>
      <c r="S13" s="24">
        <f>HYD!AI15</f>
        <v>3.0979764297569615E-3</v>
      </c>
      <c r="T13" s="24">
        <f>HYD!AJ15</f>
        <v>2.1906001414372374E-3</v>
      </c>
      <c r="U13" s="24">
        <f>HYD!AK15</f>
        <v>1.5669681444882946E-3</v>
      </c>
      <c r="V13" s="24">
        <f>HYD!AL15</f>
        <v>1.2794241323973556E-3</v>
      </c>
      <c r="W13" s="1">
        <f>GSD!Q15</f>
        <v>100</v>
      </c>
      <c r="X13" s="1">
        <f>GSD!R15</f>
        <v>98.305000000000007</v>
      </c>
      <c r="Y13" s="1">
        <f>GSD!S15</f>
        <v>83.905000000000001</v>
      </c>
      <c r="Z13" s="1">
        <f>GSD!T15</f>
        <v>79.724999999999994</v>
      </c>
      <c r="AA13" s="1">
        <f>GSD!U15</f>
        <v>79.16</v>
      </c>
      <c r="AB13" s="52">
        <f>GSD!V15</f>
        <v>78.650000000000006</v>
      </c>
      <c r="AC13" s="52">
        <f>HYD!AM15</f>
        <v>68.638499999999695</v>
      </c>
      <c r="AD13" s="51">
        <f>HYD!AN15</f>
        <v>68.638499999999695</v>
      </c>
      <c r="AE13" s="51">
        <f>HYD!AO15</f>
        <v>65.322710526315845</v>
      </c>
      <c r="AF13" s="51">
        <f>HYD!AP15</f>
        <v>65.322710526315845</v>
      </c>
      <c r="AG13" s="51">
        <f>HYD!AQ15</f>
        <v>62.00692105263127</v>
      </c>
      <c r="AH13" s="51">
        <f>HYD!AR15</f>
        <v>62.00692105263127</v>
      </c>
      <c r="AI13" s="51">
        <f>HYD!AS15</f>
        <v>58.691131578947413</v>
      </c>
      <c r="AJ13" s="51">
        <f>HYD!AT15</f>
        <v>58.691131578947413</v>
      </c>
      <c r="AK13" s="51">
        <f>HYD!AU15</f>
        <v>55.375342105262838</v>
      </c>
      <c r="AL13" s="51">
        <f>HYD!AV15</f>
        <v>52.059552631578988</v>
      </c>
      <c r="AM13" s="51">
        <f>HYD!AW15</f>
        <v>52.059552631578988</v>
      </c>
      <c r="AN13" s="51">
        <f>HYD!AX15</f>
        <v>48.743763157894413</v>
      </c>
      <c r="AO13" s="51">
        <f>HYD!AY15</f>
        <v>48.743763157894413</v>
      </c>
      <c r="AP13" s="36">
        <v>0</v>
      </c>
      <c r="AQ13" s="36">
        <v>21.349999999999994</v>
      </c>
      <c r="AR13" s="36">
        <v>27.491346591119353</v>
      </c>
      <c r="AS13" s="36">
        <v>51.158653408880653</v>
      </c>
      <c r="AT13" s="18"/>
      <c r="AU13" s="62"/>
    </row>
    <row r="14" spans="1:47" x14ac:dyDescent="0.25">
      <c r="A14" s="35">
        <v>12</v>
      </c>
      <c r="B14" s="35" t="str">
        <f t="shared" si="0"/>
        <v>RBH-11</v>
      </c>
      <c r="C14" s="27">
        <f>GSD!F16</f>
        <v>17</v>
      </c>
      <c r="D14" s="23">
        <v>4.75</v>
      </c>
      <c r="E14" s="23">
        <v>2</v>
      </c>
      <c r="F14" s="23">
        <v>0.42499999999999999</v>
      </c>
      <c r="G14" s="23">
        <v>0.21199999999999999</v>
      </c>
      <c r="H14" s="23">
        <v>0.15</v>
      </c>
      <c r="I14" s="23">
        <v>7.4999999999999997E-2</v>
      </c>
      <c r="J14" s="24">
        <f>HYD!Z16</f>
        <v>0</v>
      </c>
      <c r="K14" s="24">
        <f>HYD!AA16</f>
        <v>0</v>
      </c>
      <c r="L14" s="24">
        <f>HYD!AB16</f>
        <v>0</v>
      </c>
      <c r="M14" s="24">
        <f>HYD!AC16</f>
        <v>0</v>
      </c>
      <c r="N14" s="24">
        <f>HYD!AD16</f>
        <v>0</v>
      </c>
      <c r="O14" s="24">
        <f>HYD!AE16</f>
        <v>0</v>
      </c>
      <c r="P14" s="24">
        <f>HYD!AF16</f>
        <v>0</v>
      </c>
      <c r="Q14" s="24">
        <f>HYD!AG16</f>
        <v>0</v>
      </c>
      <c r="R14" s="24">
        <f>HYD!AH16</f>
        <v>0</v>
      </c>
      <c r="S14" s="24">
        <f>HYD!AI16</f>
        <v>0</v>
      </c>
      <c r="T14" s="24">
        <f>HYD!AJ16</f>
        <v>0</v>
      </c>
      <c r="U14" s="24">
        <f>HYD!AK16</f>
        <v>0</v>
      </c>
      <c r="V14" s="24">
        <f>HYD!AL16</f>
        <v>0</v>
      </c>
      <c r="W14" s="1">
        <f>GSD!Q16</f>
        <v>94.52</v>
      </c>
      <c r="X14" s="1">
        <f>GSD!R16</f>
        <v>88.57</v>
      </c>
      <c r="Y14" s="1">
        <f>GSD!S16</f>
        <v>82.5</v>
      </c>
      <c r="Z14" s="1">
        <f>GSD!T16</f>
        <v>81.760000000000005</v>
      </c>
      <c r="AA14" s="1">
        <f>GSD!U16</f>
        <v>81.63</v>
      </c>
      <c r="AB14" s="52">
        <f>GSD!V16</f>
        <v>81.48</v>
      </c>
      <c r="AC14" s="52">
        <f>HYD!AM16</f>
        <v>0</v>
      </c>
      <c r="AD14" s="51">
        <f>HYD!AN16</f>
        <v>0</v>
      </c>
      <c r="AE14" s="51">
        <f>HYD!AO16</f>
        <v>0</v>
      </c>
      <c r="AF14" s="51">
        <f>HYD!AP16</f>
        <v>0</v>
      </c>
      <c r="AG14" s="51">
        <f>HYD!AQ16</f>
        <v>0</v>
      </c>
      <c r="AH14" s="51">
        <f>HYD!AR16</f>
        <v>0</v>
      </c>
      <c r="AI14" s="51">
        <f>HYD!AS16</f>
        <v>0</v>
      </c>
      <c r="AJ14" s="51">
        <f>HYD!AT16</f>
        <v>0</v>
      </c>
      <c r="AK14" s="51">
        <f>HYD!AU16</f>
        <v>0</v>
      </c>
      <c r="AL14" s="51">
        <f>HYD!AV16</f>
        <v>0</v>
      </c>
      <c r="AM14" s="51">
        <f>HYD!AW16</f>
        <v>0</v>
      </c>
      <c r="AN14" s="51">
        <f>HYD!AX16</f>
        <v>0</v>
      </c>
      <c r="AO14" s="51">
        <f>HYD!AY16</f>
        <v>0</v>
      </c>
      <c r="AP14" s="36">
        <v>5.480000000000004</v>
      </c>
      <c r="AQ14" s="36">
        <v>13.039999999999992</v>
      </c>
      <c r="AR14" s="36"/>
      <c r="AS14" s="36"/>
      <c r="AT14" s="18"/>
      <c r="AU14" s="62"/>
    </row>
    <row r="15" spans="1:47" x14ac:dyDescent="0.25">
      <c r="A15" s="35">
        <v>13</v>
      </c>
      <c r="B15" s="35" t="str">
        <f t="shared" si="0"/>
        <v>RBH-11</v>
      </c>
      <c r="C15" s="27">
        <f>GSD!F17</f>
        <v>19.5</v>
      </c>
      <c r="D15" s="23">
        <v>4.75</v>
      </c>
      <c r="E15" s="23">
        <v>2</v>
      </c>
      <c r="F15" s="23">
        <v>0.42499999999999999</v>
      </c>
      <c r="G15" s="23">
        <v>0.21199999999999999</v>
      </c>
      <c r="H15" s="23">
        <v>0.15</v>
      </c>
      <c r="I15" s="23">
        <v>7.4999999999999997E-2</v>
      </c>
      <c r="J15" s="24">
        <f>HYD!Z17</f>
        <v>6.2310872728842302E-2</v>
      </c>
      <c r="K15" s="24">
        <f>HYD!AA17</f>
        <v>4.4060440648216306E-2</v>
      </c>
      <c r="L15" s="24">
        <f>HYD!AB17</f>
        <v>3.1155436364421151E-2</v>
      </c>
      <c r="M15" s="24">
        <f>HYD!AC17</f>
        <v>2.2325585379421777E-2</v>
      </c>
      <c r="N15" s="24">
        <f>HYD!AD17</f>
        <v>1.6749360549321742E-2</v>
      </c>
      <c r="O15" s="24">
        <f>HYD!AE17</f>
        <v>1.223200346220085E-2</v>
      </c>
      <c r="P15" s="24">
        <f>HYD!AF17</f>
        <v>8.7497299968052698E-3</v>
      </c>
      <c r="Q15" s="24">
        <f>HYD!AG17</f>
        <v>6.1869934142923548E-3</v>
      </c>
      <c r="R15" s="24">
        <f>HYD!AH17</f>
        <v>4.4244941994633887E-3</v>
      </c>
      <c r="S15" s="24">
        <f>HYD!AI17</f>
        <v>3.1285898517611072E-3</v>
      </c>
      <c r="T15" s="24">
        <f>HYD!AJ17</f>
        <v>2.2367864274401542E-3</v>
      </c>
      <c r="U15" s="24">
        <f>HYD!AK17</f>
        <v>1.5988104662044312E-3</v>
      </c>
      <c r="V15" s="24">
        <f>HYD!AL17</f>
        <v>1.3054232792073816E-3</v>
      </c>
      <c r="W15" s="1">
        <f>GSD!Q17</f>
        <v>97.98</v>
      </c>
      <c r="X15" s="1">
        <f>GSD!R17</f>
        <v>93.15</v>
      </c>
      <c r="Y15" s="1">
        <f>GSD!S17</f>
        <v>69.125</v>
      </c>
      <c r="Z15" s="1">
        <f>GSD!T17</f>
        <v>61.519999999999996</v>
      </c>
      <c r="AA15" s="1">
        <f>GSD!U17</f>
        <v>59.98</v>
      </c>
      <c r="AB15" s="52">
        <f>GSD!V17</f>
        <v>58.135000000000005</v>
      </c>
      <c r="AC15" s="52">
        <f>HYD!AM17</f>
        <v>58.093948717948763</v>
      </c>
      <c r="AD15" s="51">
        <f>HYD!AN17</f>
        <v>58.093948717948763</v>
      </c>
      <c r="AE15" s="51">
        <f>HYD!AO17</f>
        <v>58.093948717948763</v>
      </c>
      <c r="AF15" s="51">
        <f>HYD!AP17</f>
        <v>54.811897435897116</v>
      </c>
      <c r="AG15" s="51">
        <f>HYD!AQ17</f>
        <v>51.529846153846194</v>
      </c>
      <c r="AH15" s="51">
        <f>HYD!AR17</f>
        <v>51.529846153846194</v>
      </c>
      <c r="AI15" s="51">
        <f>HYD!AS17</f>
        <v>48.247794871794554</v>
      </c>
      <c r="AJ15" s="51">
        <f>HYD!AT17</f>
        <v>48.247794871794554</v>
      </c>
      <c r="AK15" s="51">
        <f>HYD!AU17</f>
        <v>44.965743589743632</v>
      </c>
      <c r="AL15" s="51">
        <f>HYD!AV17</f>
        <v>44.965743589743632</v>
      </c>
      <c r="AM15" s="51">
        <f>HYD!AW17</f>
        <v>41.683692307691985</v>
      </c>
      <c r="AN15" s="51">
        <f>HYD!AX17</f>
        <v>38.401641025641062</v>
      </c>
      <c r="AO15" s="51">
        <f>HYD!AY17</f>
        <v>38.401641025641062</v>
      </c>
      <c r="AP15" s="36">
        <v>2.019999999999996</v>
      </c>
      <c r="AQ15" s="36">
        <v>39.844999999999999</v>
      </c>
      <c r="AR15" s="36">
        <v>17.544994942090902</v>
      </c>
      <c r="AS15" s="36">
        <v>40.590005057909103</v>
      </c>
      <c r="AT15" s="18"/>
      <c r="AU15" s="62"/>
    </row>
    <row r="16" spans="1:47" x14ac:dyDescent="0.25">
      <c r="A16" s="35">
        <v>14</v>
      </c>
      <c r="B16" s="35" t="str">
        <f t="shared" si="0"/>
        <v>RBH-11</v>
      </c>
      <c r="C16" s="27">
        <f>GSD!F18</f>
        <v>20</v>
      </c>
      <c r="D16" s="23">
        <v>4.75</v>
      </c>
      <c r="E16" s="23">
        <v>2</v>
      </c>
      <c r="F16" s="23">
        <v>0.42499999999999999</v>
      </c>
      <c r="G16" s="23">
        <v>0.21199999999999999</v>
      </c>
      <c r="H16" s="23">
        <v>0.15</v>
      </c>
      <c r="I16" s="23">
        <v>7.4999999999999997E-2</v>
      </c>
      <c r="J16" s="24">
        <f>HYD!Z18</f>
        <v>0</v>
      </c>
      <c r="K16" s="24">
        <f>HYD!AA18</f>
        <v>0</v>
      </c>
      <c r="L16" s="24">
        <f>HYD!AB18</f>
        <v>0</v>
      </c>
      <c r="M16" s="24">
        <f>HYD!AC18</f>
        <v>0</v>
      </c>
      <c r="N16" s="24">
        <f>HYD!AD18</f>
        <v>0</v>
      </c>
      <c r="O16" s="24">
        <f>HYD!AE18</f>
        <v>0</v>
      </c>
      <c r="P16" s="24">
        <f>HYD!AF18</f>
        <v>0</v>
      </c>
      <c r="Q16" s="24">
        <f>HYD!AG18</f>
        <v>0</v>
      </c>
      <c r="R16" s="24">
        <f>HYD!AH18</f>
        <v>0</v>
      </c>
      <c r="S16" s="24">
        <f>HYD!AI18</f>
        <v>0</v>
      </c>
      <c r="T16" s="24">
        <f>HYD!AJ18</f>
        <v>0</v>
      </c>
      <c r="U16" s="24">
        <f>HYD!AK18</f>
        <v>0</v>
      </c>
      <c r="V16" s="24">
        <f>HYD!AL18</f>
        <v>0</v>
      </c>
      <c r="W16" s="1">
        <f>GSD!Q18</f>
        <v>98.23</v>
      </c>
      <c r="X16" s="1">
        <f>GSD!R18</f>
        <v>94.39</v>
      </c>
      <c r="Y16" s="1">
        <f>GSD!S18</f>
        <v>88.77</v>
      </c>
      <c r="Z16" s="1">
        <f>GSD!T18</f>
        <v>87.15</v>
      </c>
      <c r="AA16" s="1">
        <f>GSD!U18</f>
        <v>86.759999999999991</v>
      </c>
      <c r="AB16" s="52">
        <f>GSD!V18</f>
        <v>86.41</v>
      </c>
      <c r="AC16" s="52">
        <f>HYD!AM18</f>
        <v>0</v>
      </c>
      <c r="AD16" s="51">
        <f>HYD!AN18</f>
        <v>0</v>
      </c>
      <c r="AE16" s="51">
        <f>HYD!AO18</f>
        <v>0</v>
      </c>
      <c r="AF16" s="51">
        <f>HYD!AP18</f>
        <v>0</v>
      </c>
      <c r="AG16" s="51">
        <f>HYD!AQ18</f>
        <v>0</v>
      </c>
      <c r="AH16" s="51">
        <f>HYD!AR18</f>
        <v>0</v>
      </c>
      <c r="AI16" s="51">
        <f>HYD!AS18</f>
        <v>0</v>
      </c>
      <c r="AJ16" s="51">
        <f>HYD!AT18</f>
        <v>0</v>
      </c>
      <c r="AK16" s="51">
        <f>HYD!AU18</f>
        <v>0</v>
      </c>
      <c r="AL16" s="51">
        <f>HYD!AV18</f>
        <v>0</v>
      </c>
      <c r="AM16" s="51">
        <f>HYD!AW18</f>
        <v>0</v>
      </c>
      <c r="AN16" s="51">
        <f>HYD!AX18</f>
        <v>0</v>
      </c>
      <c r="AO16" s="51">
        <f>HYD!AY18</f>
        <v>0</v>
      </c>
      <c r="AP16" s="36">
        <v>1.769999999999996</v>
      </c>
      <c r="AQ16" s="36">
        <v>11.820000000000007</v>
      </c>
      <c r="AR16" s="36"/>
      <c r="AS16" s="36"/>
      <c r="AT16" s="18"/>
      <c r="AU16" s="62"/>
    </row>
    <row r="17" spans="1:47" x14ac:dyDescent="0.25">
      <c r="A17" s="35">
        <v>15</v>
      </c>
      <c r="B17" s="35" t="str">
        <f t="shared" si="0"/>
        <v>RBH-11</v>
      </c>
      <c r="C17" s="27">
        <f>GSD!F19</f>
        <v>22.5</v>
      </c>
      <c r="D17" s="23">
        <v>4.75</v>
      </c>
      <c r="E17" s="23">
        <v>2</v>
      </c>
      <c r="F17" s="23">
        <v>0.42499999999999999</v>
      </c>
      <c r="G17" s="23">
        <v>0.21199999999999999</v>
      </c>
      <c r="H17" s="23">
        <v>0.15</v>
      </c>
      <c r="I17" s="23">
        <v>7.4999999999999997E-2</v>
      </c>
      <c r="J17" s="24">
        <f>HYD!Z19</f>
        <v>6.3972787616122767E-2</v>
      </c>
      <c r="K17" s="24">
        <f>HYD!AA19</f>
        <v>4.5235591934767193E-2</v>
      </c>
      <c r="L17" s="24">
        <f>HYD!AB19</f>
        <v>3.2415243943802539E-2</v>
      </c>
      <c r="M17" s="24">
        <f>HYD!AC19</f>
        <v>2.2921038806478944E-2</v>
      </c>
      <c r="N17" s="24">
        <f>HYD!AD19</f>
        <v>1.7196088550877418E-2</v>
      </c>
      <c r="O17" s="24">
        <f>HYD!AE19</f>
        <v>1.2558247466895848E-2</v>
      </c>
      <c r="P17" s="24">
        <f>HYD!AF19</f>
        <v>8.9830970787374131E-3</v>
      </c>
      <c r="Q17" s="24">
        <f>HYD!AG19</f>
        <v>6.3520088604322907E-3</v>
      </c>
      <c r="R17" s="24">
        <f>HYD!AH19</f>
        <v>4.5425014180554444E-3</v>
      </c>
      <c r="S17" s="24">
        <f>HYD!AI19</f>
        <v>3.2120335562565126E-3</v>
      </c>
      <c r="T17" s="24">
        <f>HYD!AJ19</f>
        <v>2.2964445336523145E-3</v>
      </c>
      <c r="U17" s="24">
        <f>HYD!AK19</f>
        <v>1.6414528943932928E-3</v>
      </c>
      <c r="V17" s="24">
        <f>HYD!AL19</f>
        <v>1.3544756577001673E-3</v>
      </c>
      <c r="W17" s="1">
        <f>GSD!Q19</f>
        <v>97.67</v>
      </c>
      <c r="X17" s="1">
        <f>GSD!R19</f>
        <v>95.194999999999993</v>
      </c>
      <c r="Y17" s="1">
        <f>GSD!S19</f>
        <v>73.694999999999993</v>
      </c>
      <c r="Z17" s="1">
        <f>GSD!T19</f>
        <v>63.834999999999994</v>
      </c>
      <c r="AA17" s="1">
        <f>GSD!U19</f>
        <v>62.31</v>
      </c>
      <c r="AB17" s="52">
        <f>GSD!V19</f>
        <v>61.510000000000012</v>
      </c>
      <c r="AC17" s="52">
        <f>HYD!AM19</f>
        <v>59.320594594594638</v>
      </c>
      <c r="AD17" s="51">
        <f>HYD!AN19</f>
        <v>59.320594594594638</v>
      </c>
      <c r="AE17" s="51">
        <f>HYD!AO19</f>
        <v>55.969243243242921</v>
      </c>
      <c r="AF17" s="51">
        <f>HYD!AP19</f>
        <v>55.969243243242921</v>
      </c>
      <c r="AG17" s="51">
        <f>HYD!AQ19</f>
        <v>52.617891891891936</v>
      </c>
      <c r="AH17" s="51">
        <f>HYD!AR19</f>
        <v>52.617891891891936</v>
      </c>
      <c r="AI17" s="51">
        <f>HYD!AS19</f>
        <v>49.266540540540213</v>
      </c>
      <c r="AJ17" s="51">
        <f>HYD!AT19</f>
        <v>49.266540540540213</v>
      </c>
      <c r="AK17" s="51">
        <f>HYD!AU19</f>
        <v>45.915189189189235</v>
      </c>
      <c r="AL17" s="51">
        <f>HYD!AV19</f>
        <v>45.915189189189235</v>
      </c>
      <c r="AM17" s="51">
        <f>HYD!AW19</f>
        <v>42.563837837837504</v>
      </c>
      <c r="AN17" s="51">
        <f>HYD!AX19</f>
        <v>39.212486486486526</v>
      </c>
      <c r="AO17" s="51">
        <f>HYD!AY19</f>
        <v>35.861135135134795</v>
      </c>
      <c r="AP17" s="36">
        <v>2.3299999999999983</v>
      </c>
      <c r="AQ17" s="36">
        <v>36.159999999999989</v>
      </c>
      <c r="AR17" s="36">
        <v>20.325655383514615</v>
      </c>
      <c r="AS17" s="36">
        <v>41.184344616485397</v>
      </c>
      <c r="AT17" s="18"/>
      <c r="AU17" s="62"/>
    </row>
    <row r="18" spans="1:47" x14ac:dyDescent="0.25">
      <c r="A18" s="35">
        <v>16</v>
      </c>
      <c r="B18" s="35" t="str">
        <f t="shared" si="0"/>
        <v>RBH-11</v>
      </c>
      <c r="C18" s="27">
        <f>GSD!F20</f>
        <v>25.5</v>
      </c>
      <c r="D18" s="23">
        <v>4.75</v>
      </c>
      <c r="E18" s="23">
        <v>2</v>
      </c>
      <c r="F18" s="23">
        <v>0.42499999999999999</v>
      </c>
      <c r="G18" s="23">
        <v>0.21199999999999999</v>
      </c>
      <c r="H18" s="23">
        <v>0.15</v>
      </c>
      <c r="I18" s="23">
        <v>7.4999999999999997E-2</v>
      </c>
      <c r="J18" s="24">
        <f>HYD!Z20</f>
        <v>6.1915244140162549E-2</v>
      </c>
      <c r="K18" s="24">
        <f>HYD!AA20</f>
        <v>4.3780688990329587E-2</v>
      </c>
      <c r="L18" s="24">
        <f>HYD!AB20</f>
        <v>3.0957622070081275E-2</v>
      </c>
      <c r="M18" s="24">
        <f>HYD!AC20</f>
        <v>2.2183834197833503E-2</v>
      </c>
      <c r="N18" s="24">
        <f>HYD!AD20</f>
        <v>1.6447561129688655E-2</v>
      </c>
      <c r="O18" s="24">
        <f>HYD!AE20</f>
        <v>1.2154339162945477E-2</v>
      </c>
      <c r="P18" s="24">
        <f>HYD!AF20</f>
        <v>8.5944156429599728E-3</v>
      </c>
      <c r="Q18" s="24">
        <f>HYD!AG20</f>
        <v>6.1477105192618313E-3</v>
      </c>
      <c r="R18" s="24">
        <f>HYD!AH20</f>
        <v>4.3964018887783351E-3</v>
      </c>
      <c r="S18" s="24">
        <f>HYD!AI20</f>
        <v>3.1087255883765065E-3</v>
      </c>
      <c r="T18" s="24">
        <f>HYD!AJ20</f>
        <v>2.2225844652670815E-3</v>
      </c>
      <c r="U18" s="24">
        <f>HYD!AK20</f>
        <v>1.57160454715023E-3</v>
      </c>
      <c r="V18" s="24">
        <f>HYD!AL20</f>
        <v>1.3109119385517848E-3</v>
      </c>
      <c r="W18" s="1">
        <f>GSD!Q20</f>
        <v>97.24</v>
      </c>
      <c r="X18" s="1">
        <f>GSD!R20</f>
        <v>92.325000000000003</v>
      </c>
      <c r="Y18" s="1">
        <f>GSD!S20</f>
        <v>66.52000000000001</v>
      </c>
      <c r="Z18" s="1">
        <f>GSD!T20</f>
        <v>61.38</v>
      </c>
      <c r="AA18" s="1">
        <f>GSD!U20</f>
        <v>60.74</v>
      </c>
      <c r="AB18" s="52">
        <f>GSD!V20</f>
        <v>60.345000000000006</v>
      </c>
      <c r="AC18" s="52">
        <f>HYD!AM20</f>
        <v>57.80669620253169</v>
      </c>
      <c r="AD18" s="51">
        <f>HYD!AN20</f>
        <v>57.80669620253169</v>
      </c>
      <c r="AE18" s="51">
        <f>HYD!AO20</f>
        <v>57.80669620253169</v>
      </c>
      <c r="AF18" s="51">
        <f>HYD!AP20</f>
        <v>54.540873417721201</v>
      </c>
      <c r="AG18" s="51">
        <f>HYD!AQ20</f>
        <v>54.540873417721201</v>
      </c>
      <c r="AH18" s="51">
        <f>HYD!AR20</f>
        <v>51.275050632911437</v>
      </c>
      <c r="AI18" s="51">
        <f>HYD!AS20</f>
        <v>51.275050632911437</v>
      </c>
      <c r="AJ18" s="51">
        <f>HYD!AT20</f>
        <v>48.009227848100949</v>
      </c>
      <c r="AK18" s="51">
        <f>HYD!AU20</f>
        <v>44.743405063291178</v>
      </c>
      <c r="AL18" s="51">
        <f>HYD!AV20</f>
        <v>44.743405063291178</v>
      </c>
      <c r="AM18" s="51">
        <f>HYD!AW20</f>
        <v>41.477582278480689</v>
      </c>
      <c r="AN18" s="51">
        <f>HYD!AX20</f>
        <v>41.477582278480689</v>
      </c>
      <c r="AO18" s="51">
        <f>HYD!AY20</f>
        <v>34.94593670886043</v>
      </c>
      <c r="AP18" s="36">
        <v>2.7600000000000051</v>
      </c>
      <c r="AQ18" s="36">
        <v>36.894999999999989</v>
      </c>
      <c r="AR18" s="36">
        <v>18.867417721519317</v>
      </c>
      <c r="AS18" s="36">
        <v>41.477582278480689</v>
      </c>
      <c r="AT18" s="18"/>
      <c r="AU18" s="62"/>
    </row>
    <row r="19" spans="1:47" x14ac:dyDescent="0.25">
      <c r="A19" s="35">
        <v>17</v>
      </c>
      <c r="B19" s="35" t="str">
        <f t="shared" si="0"/>
        <v>RBH-11</v>
      </c>
      <c r="C19" s="27">
        <f>GSD!F21</f>
        <v>27.5</v>
      </c>
      <c r="D19" s="23">
        <v>4.75</v>
      </c>
      <c r="E19" s="23">
        <v>2</v>
      </c>
      <c r="F19" s="23">
        <v>0.42499999999999999</v>
      </c>
      <c r="G19" s="23">
        <v>0.21199999999999999</v>
      </c>
      <c r="H19" s="23">
        <v>0.15</v>
      </c>
      <c r="I19" s="23">
        <v>7.4999999999999997E-2</v>
      </c>
      <c r="J19" s="24">
        <f>HYD!Z21</f>
        <v>5.6879515082237354E-2</v>
      </c>
      <c r="K19" s="24">
        <f>HYD!AA21</f>
        <v>4.0219890825252541E-2</v>
      </c>
      <c r="L19" s="24">
        <f>HYD!AB21</f>
        <v>2.8866870601928239E-2</v>
      </c>
      <c r="M19" s="24">
        <f>HYD!AC21</f>
        <v>2.0709570585834409E-2</v>
      </c>
      <c r="N19" s="24">
        <f>HYD!AD21</f>
        <v>1.5413822230912646E-2</v>
      </c>
      <c r="O19" s="24">
        <f>HYD!AE21</f>
        <v>1.1542942904744332E-2</v>
      </c>
      <c r="P19" s="24">
        <f>HYD!AF21</f>
        <v>8.162093202793862E-3</v>
      </c>
      <c r="Q19" s="24">
        <f>HYD!AG21</f>
        <v>5.8417260323676556E-3</v>
      </c>
      <c r="R19" s="24">
        <f>HYD!AH21</f>
        <v>4.1307240913211543E-3</v>
      </c>
      <c r="S19" s="24">
        <f>HYD!AI21</f>
        <v>2.9555728441766089E-3</v>
      </c>
      <c r="T19" s="24">
        <f>HYD!AJ21</f>
        <v>2.0899056004080913E-3</v>
      </c>
      <c r="U19" s="24">
        <f>HYD!AK21</f>
        <v>1.4949398746402793E-3</v>
      </c>
      <c r="V19" s="24">
        <f>HYD!AL21</f>
        <v>1.2206132963363113E-3</v>
      </c>
      <c r="W19" s="1">
        <f>GSD!Q21</f>
        <v>98.24</v>
      </c>
      <c r="X19" s="1">
        <f>GSD!R21</f>
        <v>95.49</v>
      </c>
      <c r="Y19" s="1">
        <f>GSD!S21</f>
        <v>91.47</v>
      </c>
      <c r="Z19" s="1">
        <f>GSD!T21</f>
        <v>89.98</v>
      </c>
      <c r="AA19" s="1">
        <f>GSD!U21</f>
        <v>89.55</v>
      </c>
      <c r="AB19" s="52">
        <f>GSD!V21</f>
        <v>88.94</v>
      </c>
      <c r="AC19" s="52">
        <f>HYD!AM21</f>
        <v>69.389622754491086</v>
      </c>
      <c r="AD19" s="51">
        <f>HYD!AN21</f>
        <v>69.389622754491086</v>
      </c>
      <c r="AE19" s="51">
        <f>HYD!AO21</f>
        <v>66.192017964071553</v>
      </c>
      <c r="AF19" s="51">
        <f>HYD!AP21</f>
        <v>62.994413173652745</v>
      </c>
      <c r="AG19" s="51">
        <f>HYD!AQ21</f>
        <v>62.994413173652745</v>
      </c>
      <c r="AH19" s="51">
        <f>HYD!AR21</f>
        <v>56.599203592814412</v>
      </c>
      <c r="AI19" s="51">
        <f>HYD!AS21</f>
        <v>56.599203592814412</v>
      </c>
      <c r="AJ19" s="51">
        <f>HYD!AT21</f>
        <v>53.401598802394901</v>
      </c>
      <c r="AK19" s="51">
        <f>HYD!AU21</f>
        <v>53.401598802394901</v>
      </c>
      <c r="AL19" s="51">
        <f>HYD!AV21</f>
        <v>50.203994011976093</v>
      </c>
      <c r="AM19" s="51">
        <f>HYD!AW21</f>
        <v>50.203994011976093</v>
      </c>
      <c r="AN19" s="51">
        <f>HYD!AX21</f>
        <v>47.006389221556574</v>
      </c>
      <c r="AO19" s="51">
        <f>HYD!AY21</f>
        <v>47.006389221556574</v>
      </c>
      <c r="AP19" s="36">
        <v>1.7600000000000051</v>
      </c>
      <c r="AQ19" s="36">
        <v>9.2999999999999972</v>
      </c>
      <c r="AR19" s="36">
        <v>39.15567871101311</v>
      </c>
      <c r="AS19" s="36">
        <v>49.784321288986888</v>
      </c>
      <c r="AT19" s="18"/>
      <c r="AU19" s="62"/>
    </row>
    <row r="20" spans="1:47" x14ac:dyDescent="0.25">
      <c r="A20" s="35">
        <v>18</v>
      </c>
      <c r="B20" s="35" t="str">
        <f t="shared" si="0"/>
        <v>RBH-11</v>
      </c>
      <c r="C20" s="27">
        <f>GSD!F22</f>
        <v>28.5</v>
      </c>
      <c r="D20" s="23">
        <v>4.75</v>
      </c>
      <c r="E20" s="23">
        <v>2</v>
      </c>
      <c r="F20" s="23">
        <v>0.42499999999999999</v>
      </c>
      <c r="G20" s="23">
        <v>0.21199999999999999</v>
      </c>
      <c r="H20" s="23">
        <v>0.15</v>
      </c>
      <c r="I20" s="23">
        <v>7.4999999999999997E-2</v>
      </c>
      <c r="J20" s="24">
        <f>HYD!Z22</f>
        <v>0</v>
      </c>
      <c r="K20" s="24">
        <f>HYD!AA22</f>
        <v>0</v>
      </c>
      <c r="L20" s="24">
        <f>HYD!AB22</f>
        <v>0</v>
      </c>
      <c r="M20" s="24">
        <f>HYD!AC22</f>
        <v>0</v>
      </c>
      <c r="N20" s="24">
        <f>HYD!AD22</f>
        <v>0</v>
      </c>
      <c r="O20" s="24">
        <f>HYD!AE22</f>
        <v>0</v>
      </c>
      <c r="P20" s="24">
        <f>HYD!AF22</f>
        <v>0</v>
      </c>
      <c r="Q20" s="24">
        <f>HYD!AG22</f>
        <v>0</v>
      </c>
      <c r="R20" s="24">
        <f>HYD!AH22</f>
        <v>0</v>
      </c>
      <c r="S20" s="24">
        <f>HYD!AI22</f>
        <v>0</v>
      </c>
      <c r="T20" s="24">
        <f>HYD!AJ22</f>
        <v>0</v>
      </c>
      <c r="U20" s="24">
        <f>HYD!AK22</f>
        <v>0</v>
      </c>
      <c r="V20" s="24">
        <f>HYD!AL22</f>
        <v>0</v>
      </c>
      <c r="W20" s="1">
        <f>GSD!Q22</f>
        <v>98.334999999999994</v>
      </c>
      <c r="X20" s="1">
        <f>GSD!R22</f>
        <v>94.14</v>
      </c>
      <c r="Y20" s="1">
        <f>GSD!S22</f>
        <v>68.97</v>
      </c>
      <c r="Z20" s="1">
        <f>GSD!T22</f>
        <v>59.014999999999993</v>
      </c>
      <c r="AA20" s="1">
        <f>GSD!U22</f>
        <v>57.13</v>
      </c>
      <c r="AB20" s="52">
        <f>GSD!V22</f>
        <v>55.83</v>
      </c>
      <c r="AC20" s="52">
        <f>HYD!AM22</f>
        <v>0</v>
      </c>
      <c r="AD20" s="51">
        <f>HYD!AN22</f>
        <v>0</v>
      </c>
      <c r="AE20" s="51">
        <f>HYD!AO22</f>
        <v>0</v>
      </c>
      <c r="AF20" s="51">
        <f>HYD!AP22</f>
        <v>0</v>
      </c>
      <c r="AG20" s="51">
        <f>HYD!AQ22</f>
        <v>0</v>
      </c>
      <c r="AH20" s="51">
        <f>HYD!AR22</f>
        <v>0</v>
      </c>
      <c r="AI20" s="51">
        <f>HYD!AS22</f>
        <v>0</v>
      </c>
      <c r="AJ20" s="51">
        <f>HYD!AT22</f>
        <v>0</v>
      </c>
      <c r="AK20" s="51">
        <f>HYD!AU22</f>
        <v>0</v>
      </c>
      <c r="AL20" s="51">
        <f>HYD!AV22</f>
        <v>0</v>
      </c>
      <c r="AM20" s="51">
        <f>HYD!AW22</f>
        <v>0</v>
      </c>
      <c r="AN20" s="51">
        <f>HYD!AX22</f>
        <v>0</v>
      </c>
      <c r="AO20" s="51">
        <f>HYD!AY22</f>
        <v>0</v>
      </c>
      <c r="AP20" s="36">
        <v>1.6650000000000063</v>
      </c>
      <c r="AQ20" s="36">
        <v>42.504999999999995</v>
      </c>
      <c r="AR20" s="36"/>
      <c r="AS20" s="36"/>
      <c r="AT20" s="18"/>
      <c r="AU20" s="62"/>
    </row>
    <row r="21" spans="1:47" x14ac:dyDescent="0.25">
      <c r="A21" s="35">
        <v>19</v>
      </c>
      <c r="B21" s="35" t="str">
        <f t="shared" si="0"/>
        <v>RBH-11</v>
      </c>
      <c r="C21" s="27">
        <f>GSD!F23</f>
        <v>30</v>
      </c>
      <c r="D21" s="23">
        <v>4.75</v>
      </c>
      <c r="E21" s="23">
        <v>2</v>
      </c>
      <c r="F21" s="23">
        <v>0.42499999999999999</v>
      </c>
      <c r="G21" s="23">
        <v>0.21199999999999999</v>
      </c>
      <c r="H21" s="23">
        <v>0.15</v>
      </c>
      <c r="I21" s="23">
        <v>7.4999999999999997E-2</v>
      </c>
      <c r="J21" s="24">
        <f>HYD!Z23</f>
        <v>0</v>
      </c>
      <c r="K21" s="24">
        <f>HYD!AA23</f>
        <v>0</v>
      </c>
      <c r="L21" s="24">
        <f>HYD!AB23</f>
        <v>0</v>
      </c>
      <c r="M21" s="24">
        <f>HYD!AC23</f>
        <v>0</v>
      </c>
      <c r="N21" s="24">
        <f>HYD!AD23</f>
        <v>0</v>
      </c>
      <c r="O21" s="24">
        <f>HYD!AE23</f>
        <v>0</v>
      </c>
      <c r="P21" s="24">
        <f>HYD!AF23</f>
        <v>0</v>
      </c>
      <c r="Q21" s="24">
        <f>HYD!AG23</f>
        <v>0</v>
      </c>
      <c r="R21" s="24">
        <f>HYD!AH23</f>
        <v>0</v>
      </c>
      <c r="S21" s="24">
        <f>HYD!AI23</f>
        <v>0</v>
      </c>
      <c r="T21" s="24">
        <f>HYD!AJ23</f>
        <v>0</v>
      </c>
      <c r="U21" s="24">
        <f>HYD!AK23</f>
        <v>0</v>
      </c>
      <c r="V21" s="24">
        <f>HYD!AL23</f>
        <v>0</v>
      </c>
      <c r="W21" s="1">
        <f>GSD!Q23</f>
        <v>100</v>
      </c>
      <c r="X21" s="1">
        <f>GSD!R23</f>
        <v>99.83</v>
      </c>
      <c r="Y21" s="1">
        <f>GSD!S23</f>
        <v>98.75</v>
      </c>
      <c r="Z21" s="1">
        <f>GSD!T23</f>
        <v>98.39</v>
      </c>
      <c r="AA21" s="1">
        <f>GSD!U23</f>
        <v>98.28</v>
      </c>
      <c r="AB21" s="52">
        <f>GSD!V23</f>
        <v>98.12</v>
      </c>
      <c r="AC21" s="52">
        <f>HYD!AM23</f>
        <v>0</v>
      </c>
      <c r="AD21" s="51">
        <f>HYD!AN23</f>
        <v>0</v>
      </c>
      <c r="AE21" s="51">
        <f>HYD!AO23</f>
        <v>0</v>
      </c>
      <c r="AF21" s="51">
        <f>HYD!AP23</f>
        <v>0</v>
      </c>
      <c r="AG21" s="51">
        <f>HYD!AQ23</f>
        <v>0</v>
      </c>
      <c r="AH21" s="51">
        <f>HYD!AR23</f>
        <v>0</v>
      </c>
      <c r="AI21" s="51">
        <f>HYD!AS23</f>
        <v>0</v>
      </c>
      <c r="AJ21" s="51">
        <f>HYD!AT23</f>
        <v>0</v>
      </c>
      <c r="AK21" s="51">
        <f>HYD!AU23</f>
        <v>0</v>
      </c>
      <c r="AL21" s="51">
        <f>HYD!AV23</f>
        <v>0</v>
      </c>
      <c r="AM21" s="51">
        <f>HYD!AW23</f>
        <v>0</v>
      </c>
      <c r="AN21" s="51">
        <f>HYD!AX23</f>
        <v>0</v>
      </c>
      <c r="AO21" s="51">
        <f>HYD!AY23</f>
        <v>0</v>
      </c>
      <c r="AP21" s="36">
        <v>0</v>
      </c>
      <c r="AQ21" s="36">
        <v>1.8799999999999955</v>
      </c>
      <c r="AR21" s="36"/>
      <c r="AS21" s="36"/>
      <c r="AT21" s="18"/>
      <c r="AU21" s="62"/>
    </row>
    <row r="22" spans="1:47" x14ac:dyDescent="0.25">
      <c r="AB22" s="1"/>
      <c r="AC22" s="36"/>
      <c r="AU22" s="62"/>
    </row>
    <row r="23" spans="1:47" x14ac:dyDescent="0.25">
      <c r="AB23" s="1"/>
      <c r="AC23" s="36"/>
      <c r="AU23" s="62"/>
    </row>
    <row r="24" spans="1:47" x14ac:dyDescent="0.25">
      <c r="AB24" s="1"/>
      <c r="AC24" s="36"/>
      <c r="AU24" s="62"/>
    </row>
    <row r="25" spans="1:47" x14ac:dyDescent="0.25">
      <c r="AB25" s="1"/>
      <c r="AC25" s="36"/>
      <c r="AU25" s="62"/>
    </row>
    <row r="26" spans="1:47" x14ac:dyDescent="0.25">
      <c r="AB26" s="1"/>
      <c r="AC26" s="36"/>
      <c r="AU26" s="62"/>
    </row>
    <row r="27" spans="1:47" x14ac:dyDescent="0.25">
      <c r="AB27" s="1"/>
      <c r="AC27" s="36"/>
      <c r="AU27" s="62"/>
    </row>
    <row r="28" spans="1:47" x14ac:dyDescent="0.25">
      <c r="AB28" s="1"/>
      <c r="AC28" s="36"/>
      <c r="AU28" s="62"/>
    </row>
    <row r="29" spans="1:47" x14ac:dyDescent="0.25">
      <c r="AB29" s="1"/>
      <c r="AC29" s="36"/>
      <c r="AU29" s="62"/>
    </row>
    <row r="30" spans="1:47" x14ac:dyDescent="0.25">
      <c r="AB30" s="1"/>
      <c r="AC30" s="36"/>
      <c r="AU30" s="62"/>
    </row>
    <row r="31" spans="1:47" x14ac:dyDescent="0.25">
      <c r="AB31" s="1"/>
      <c r="AC31" s="36"/>
      <c r="AU31" s="62"/>
    </row>
    <row r="32" spans="1:47" x14ac:dyDescent="0.25">
      <c r="AB32" s="1"/>
      <c r="AC32" s="36"/>
      <c r="AU32" s="62"/>
    </row>
    <row r="33" spans="28:47" x14ac:dyDescent="0.25">
      <c r="AB33" s="1"/>
      <c r="AC33" s="36"/>
      <c r="AU33" s="62"/>
    </row>
    <row r="34" spans="28:47" x14ac:dyDescent="0.25">
      <c r="AB34" s="1"/>
      <c r="AC34" s="36"/>
    </row>
    <row r="35" spans="28:47" x14ac:dyDescent="0.25">
      <c r="AB35" s="1"/>
      <c r="AC35" s="36"/>
    </row>
    <row r="36" spans="28:47" x14ac:dyDescent="0.25">
      <c r="AB36" s="1"/>
      <c r="AC36" s="36"/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2026-09-26T05:53:50Z</dcterms:modified>
</cp:coreProperties>
</file>