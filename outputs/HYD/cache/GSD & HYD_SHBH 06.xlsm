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6\04. SH-55_CH_ 290.617 km (SBH-05 &amp; SBH-06)\"/>
    </mc:Choice>
  </mc:AlternateContent>
  <xr:revisionPtr revIDLastSave="0" documentId="13_ncr:1_{A9EE9810-80F2-40B3-9117-803A003F92B4}" xr6:coauthVersionLast="47" xr6:coauthVersionMax="47" xr10:uidLastSave="{00000000-0000-0000-0000-000000000000}"/>
  <bookViews>
    <workbookView xWindow="0" yWindow="3270" windowWidth="12555" windowHeight="1077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definedNames>
    <definedName name="_xlnm.Print_Area" localSheetId="0">GSD!$A$1:$AC$11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5" i="7"/>
  <c r="C4" i="6" l="1"/>
  <c r="C5" i="6"/>
  <c r="C6" i="6"/>
  <c r="C7" i="6"/>
  <c r="C8" i="6"/>
  <c r="C9" i="6"/>
  <c r="C3" i="6"/>
  <c r="B3" i="6"/>
  <c r="B4" i="6" s="1"/>
  <c r="B5" i="6" s="1"/>
  <c r="B6" i="6" s="1"/>
  <c r="B7" i="6" s="1"/>
  <c r="B8" i="6" s="1"/>
  <c r="B9" i="6" s="1"/>
  <c r="D6" i="8"/>
  <c r="D7" i="8"/>
  <c r="D8" i="8"/>
  <c r="D9" i="8"/>
  <c r="D10" i="8"/>
  <c r="D11" i="8"/>
  <c r="C6" i="8"/>
  <c r="C7" i="8"/>
  <c r="C8" i="8"/>
  <c r="C9" i="8"/>
  <c r="C10" i="8"/>
  <c r="C11" i="8"/>
  <c r="D5" i="8"/>
  <c r="C5" i="8"/>
  <c r="B5" i="8"/>
  <c r="B6" i="8" s="1"/>
  <c r="B7" i="8" s="1"/>
  <c r="B8" i="8" s="1"/>
  <c r="B9" i="8" s="1"/>
  <c r="B10" i="8" s="1"/>
  <c r="B11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1" i="8" l="1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V7" i="7"/>
  <c r="AB5" i="6" s="1"/>
  <c r="X8" i="7"/>
  <c r="AD6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U6" i="7"/>
  <c r="AA4" i="6" s="1"/>
  <c r="W9" i="7"/>
  <c r="AC7" i="6" s="1"/>
  <c r="V10" i="7"/>
  <c r="AB8" i="6" s="1"/>
  <c r="U10" i="7"/>
  <c r="AA8" i="6" s="1"/>
  <c r="W6" i="7"/>
  <c r="AC4" i="6" s="1"/>
  <c r="X5" i="7"/>
  <c r="AD3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AB7" i="7" l="1"/>
  <c r="AF4" i="6"/>
  <c r="AF7" i="6"/>
  <c r="AB6" i="7"/>
  <c r="AA9" i="7"/>
  <c r="AB10" i="7"/>
  <c r="AB9" i="7"/>
  <c r="AF6" i="6"/>
  <c r="Y6" i="6"/>
  <c r="AA10" i="7"/>
  <c r="AF9" i="6"/>
  <c r="AF5" i="6"/>
  <c r="AB11" i="7"/>
  <c r="AF3" i="6"/>
  <c r="AC10" i="7"/>
  <c r="Y5" i="6"/>
  <c r="Y4" i="6"/>
  <c r="AB5" i="7"/>
  <c r="AA11" i="7"/>
  <c r="AA7" i="7"/>
  <c r="AA6" i="7"/>
  <c r="Y3" i="6"/>
  <c r="AB8" i="7"/>
</calcChain>
</file>

<file path=xl/sharedStrings.xml><?xml version="1.0" encoding="utf-8"?>
<sst xmlns="http://schemas.openxmlformats.org/spreadsheetml/2006/main" count="78" uniqueCount="57">
  <si>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</si>
  <si>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</si>
  <si>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</si>
  <si>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</si>
  <si>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</si>
  <si>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</si>
  <si>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</si>
  <si>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</si>
  <si>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</si>
  <si>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</si>
  <si>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</si>
  <si>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</si>
  <si>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</si>
  <si>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</si>
  <si>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</si>
  <si>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</si>
  <si>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</si>
  <si>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</si>
  <si>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</si>
  <si>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</si>
  <si>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</si>
  <si>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</si>
  <si>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</si>
  <si>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</si>
  <si>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</si>
  <si>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</si>
  <si>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</si>
  <si>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</si>
  <si>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</si>
  <si>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</si>
  <si>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</si>
  <si>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</si>
  <si>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</si>
  <si>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</si>
  <si>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</si>
  <si>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</si>
  <si>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</si>
  <si>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</si>
  <si>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</si>
  <si>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</si>
  <si>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</si>
  <si>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</si>
  <si>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</si>
  <si>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</si>
  <si>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</si>
  <si>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</si>
  <si>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</si>
  <si>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</si>
  <si>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</si>
  <si>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SHBH-06</t>
  </si>
  <si>
    <t>A004</t>
  </si>
  <si>
    <t>A137</t>
  </si>
  <si>
    <t>A053</t>
  </si>
  <si>
    <t>A047</t>
  </si>
  <si>
    <t>A007</t>
  </si>
  <si>
    <t>A072</t>
  </si>
  <si>
    <t>A111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</si>
</sst>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9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0" borderId="1" xfId="0" applyFont="1" applyFill="1" applyBorder="1" applyAlignment="1">
      <alignment horizontal="center" vertical="center"/>
    </xf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2" fontId="0" fillId="0" borderId="1" xfId="0" applyNumberFormat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GSD!$S$5:$Z$5</c:f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GSD!$S$6:$Z$6</c:f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GSD!$S$7:$Z$7</c:f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GSD!$S$8:$Z$8</c:f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GSD!$S$9:$Z$9</c:f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GSD!$S$10:$Z$10</c:f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GSD!$S$11:$Z$11</c:f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GSD!#REF!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GSD!#REF!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99.68</c:v>
                </c:pt>
                <c:pt idx="1">
                  <c:v>99.31</c:v>
                </c:pt>
                <c:pt idx="2">
                  <c:v>98.42</c:v>
                </c:pt>
                <c:pt idx="3">
                  <c:v>95.88</c:v>
                </c:pt>
                <c:pt idx="4">
                  <c:v>94.47</c:v>
                </c:pt>
                <c:pt idx="5">
                  <c:v>87.28</c:v>
                </c:pt>
                <c:pt idx="6">
                  <c:v>65.22</c:v>
                </c:pt>
                <c:pt idx="7">
                  <c:v>55.32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99.584999999999994</c:v>
                </c:pt>
                <c:pt idx="1">
                  <c:v>98.6</c:v>
                </c:pt>
                <c:pt idx="2">
                  <c:v>98.135000000000005</c:v>
                </c:pt>
                <c:pt idx="3">
                  <c:v>95.754999999999995</c:v>
                </c:pt>
                <c:pt idx="4">
                  <c:v>92.295000000000002</c:v>
                </c:pt>
                <c:pt idx="5">
                  <c:v>88.594999999999999</c:v>
                </c:pt>
                <c:pt idx="6">
                  <c:v>64.974999999999994</c:v>
                </c:pt>
                <c:pt idx="7">
                  <c:v>57.18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99.15</c:v>
                </c:pt>
                <c:pt idx="1">
                  <c:v>98.06</c:v>
                </c:pt>
                <c:pt idx="2">
                  <c:v>94.92</c:v>
                </c:pt>
                <c:pt idx="3">
                  <c:v>79.509999999999991</c:v>
                </c:pt>
                <c:pt idx="4">
                  <c:v>73.77</c:v>
                </c:pt>
                <c:pt idx="5">
                  <c:v>62.349999999999994</c:v>
                </c:pt>
                <c:pt idx="6">
                  <c:v>51.839999999999996</c:v>
                </c:pt>
                <c:pt idx="7">
                  <c:v>42.55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96.32</c:v>
                </c:pt>
                <c:pt idx="1">
                  <c:v>92.35</c:v>
                </c:pt>
                <c:pt idx="2">
                  <c:v>90.789999999999992</c:v>
                </c:pt>
                <c:pt idx="3">
                  <c:v>85.97</c:v>
                </c:pt>
                <c:pt idx="4">
                  <c:v>81.034999999999997</c:v>
                </c:pt>
                <c:pt idx="5">
                  <c:v>77.069999999999993</c:v>
                </c:pt>
                <c:pt idx="6">
                  <c:v>57.620000000000005</c:v>
                </c:pt>
                <c:pt idx="7">
                  <c:v>50.67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98.47</c:v>
                </c:pt>
                <c:pt idx="1">
                  <c:v>93.51</c:v>
                </c:pt>
                <c:pt idx="2">
                  <c:v>92.09</c:v>
                </c:pt>
                <c:pt idx="3">
                  <c:v>88.289999999999992</c:v>
                </c:pt>
                <c:pt idx="4">
                  <c:v>84.88</c:v>
                </c:pt>
                <c:pt idx="5">
                  <c:v>81.99</c:v>
                </c:pt>
                <c:pt idx="6">
                  <c:v>67.2</c:v>
                </c:pt>
                <c:pt idx="7">
                  <c:v>60.61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93.01</c:v>
                </c:pt>
                <c:pt idx="1">
                  <c:v>90.34</c:v>
                </c:pt>
                <c:pt idx="2">
                  <c:v>86.444999999999993</c:v>
                </c:pt>
                <c:pt idx="3">
                  <c:v>72.914999999999992</c:v>
                </c:pt>
                <c:pt idx="4">
                  <c:v>69.680000000000007</c:v>
                </c:pt>
                <c:pt idx="5">
                  <c:v>62.11</c:v>
                </c:pt>
                <c:pt idx="6">
                  <c:v>48.55</c:v>
                </c:pt>
                <c:pt idx="7">
                  <c:v>40.229999999999997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100</c:v>
                </c:pt>
                <c:pt idx="1">
                  <c:v>99.23</c:v>
                </c:pt>
                <c:pt idx="2">
                  <c:v>99.14</c:v>
                </c:pt>
                <c:pt idx="3">
                  <c:v>96.17</c:v>
                </c:pt>
                <c:pt idx="4">
                  <c:v>80.47</c:v>
                </c:pt>
                <c:pt idx="5">
                  <c:v>64.13</c:v>
                </c:pt>
                <c:pt idx="6">
                  <c:v>24.299999999999997</c:v>
                </c:pt>
                <c:pt idx="7">
                  <c:v>20.599999999999994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1"/>
  <sheetViews>
    <sheetView tabSelected="1" view="pageBreakPreview" zoomScale="130" zoomScaleNormal="85" zoomScaleSheetLayoutView="130" zoomScalePageLayoutView="85" workbookViewId="0">
      <selection activeCell="AH3" sqref="AH3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hidden="1" customWidth="1"/>
    <col min="8" max="8" width="11.28515625" style="1" hidden="1" customWidth="1"/>
    <col min="9" max="9" width="13" style="1" hidden="1" customWidth="1"/>
    <col min="10" max="18" width="7.7109375" style="1" hidden="1" customWidth="1"/>
    <col min="19" max="26" width="0" style="1" hidden="1" customWidth="1"/>
    <col min="27" max="16384" width="9" style="1"/>
  </cols>
  <sheetData>
    <row r="1" spans="1:29" ht="25.15" customHeight="1" x14ac:dyDescent="0.25">
      <c r="A1" s="57" t="s">
        <v>3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</row>
    <row r="2" spans="1:29" ht="24.6" customHeight="1" x14ac:dyDescent="0.25">
      <c r="A2" s="58" t="s">
        <v>4</v>
      </c>
      <c r="B2" s="61" t="s">
        <v>5</v>
      </c>
      <c r="C2" s="61" t="s">
        <v>6</v>
      </c>
      <c r="D2" s="61" t="s">
        <v>7</v>
      </c>
      <c r="E2" s="64" t="s">
        <v>8</v>
      </c>
      <c r="F2" s="64" t="s">
        <v>9</v>
      </c>
      <c r="G2" s="64" t="s">
        <v>10</v>
      </c>
      <c r="H2" s="64" t="s">
        <v>11</v>
      </c>
      <c r="I2" s="65" t="s">
        <v>12</v>
      </c>
      <c r="J2" s="68" t="s">
        <v>13</v>
      </c>
      <c r="K2" s="68"/>
      <c r="L2" s="68"/>
      <c r="M2" s="68"/>
      <c r="N2" s="68"/>
      <c r="O2" s="68"/>
      <c r="P2" s="68"/>
      <c r="Q2" s="68"/>
      <c r="R2" s="68"/>
      <c r="S2" s="68" t="s">
        <v>0</v>
      </c>
      <c r="T2" s="68"/>
      <c r="U2" s="68"/>
      <c r="V2" s="68"/>
      <c r="W2" s="68"/>
      <c r="X2" s="68"/>
      <c r="Y2" s="68"/>
      <c r="Z2" s="68"/>
      <c r="AA2" s="67" t="s">
        <v>14</v>
      </c>
      <c r="AB2" s="67" t="s">
        <v>15</v>
      </c>
      <c r="AC2" s="67" t="s">
        <v>16</v>
      </c>
    </row>
    <row r="3" spans="1:29" ht="40.5" customHeight="1" x14ac:dyDescent="0.25">
      <c r="A3" s="59"/>
      <c r="B3" s="62"/>
      <c r="C3" s="62"/>
      <c r="D3" s="62"/>
      <c r="E3" s="64"/>
      <c r="F3" s="64"/>
      <c r="G3" s="64"/>
      <c r="H3" s="64"/>
      <c r="I3" s="66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7"/>
      <c r="AB3" s="67"/>
      <c r="AC3" s="67"/>
    </row>
    <row r="4" spans="1:29" ht="21.6" customHeight="1" x14ac:dyDescent="0.25">
      <c r="A4" s="60"/>
      <c r="B4" s="63"/>
      <c r="C4" s="63"/>
      <c r="D4" s="63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68" t="s">
        <v>20</v>
      </c>
      <c r="K4" s="68"/>
      <c r="L4" s="68"/>
      <c r="M4" s="68"/>
      <c r="N4" s="68"/>
      <c r="O4" s="68"/>
      <c r="P4" s="68"/>
      <c r="Q4" s="68"/>
      <c r="R4" s="68"/>
      <c r="S4" s="68" t="s">
        <v>20</v>
      </c>
      <c r="T4" s="68"/>
      <c r="U4" s="68"/>
      <c r="V4" s="68"/>
      <c r="W4" s="68"/>
      <c r="X4" s="68"/>
      <c r="Y4" s="68"/>
      <c r="Z4" s="68"/>
      <c r="AA4" s="69" t="s">
        <v>21</v>
      </c>
      <c r="AB4" s="70"/>
      <c r="AC4" s="70"/>
    </row>
    <row r="5" spans="1:29" ht="30" customHeight="1" x14ac:dyDescent="0.25">
      <c r="A5" s="9">
        <v>1</v>
      </c>
      <c r="B5" s="71" t="s">
        <v>49</v>
      </c>
      <c r="C5" s="71"/>
      <c r="D5" s="72"/>
      <c r="E5" s="47" t="s">
        <v>22</v>
      </c>
      <c r="F5" s="24">
        <v>0.5</v>
      </c>
      <c r="G5" s="47" t="s">
        <v>50</v>
      </c>
      <c r="H5" s="33">
        <v>100</v>
      </c>
      <c r="I5" s="24">
        <f>H5-SUM(J5:Q5)</f>
        <v>55.32</v>
      </c>
      <c r="J5" s="24">
        <v>0.32</v>
      </c>
      <c r="K5" s="24">
        <v>0.37</v>
      </c>
      <c r="L5" s="24">
        <v>0.89</v>
      </c>
      <c r="M5" s="24">
        <v>2.54</v>
      </c>
      <c r="N5" s="24">
        <v>1.41</v>
      </c>
      <c r="O5" s="24">
        <v>7.19</v>
      </c>
      <c r="P5" s="24">
        <v>22.06</v>
      </c>
      <c r="Q5" s="24">
        <v>9.9</v>
      </c>
      <c r="R5" s="10"/>
      <c r="S5" s="11">
        <f t="shared" ref="S5:S11" si="0">((H5-(SUM(J5)))/H5)*100</f>
        <v>99.68</v>
      </c>
      <c r="T5" s="11">
        <f t="shared" ref="T5:T11" si="1">((H5-(SUM(J5:K5)))/H5)*100</f>
        <v>99.31</v>
      </c>
      <c r="U5" s="11">
        <f t="shared" ref="U5:U11" si="2">((H5-(SUM(J5:L5)))/H5)*100</f>
        <v>98.42</v>
      </c>
      <c r="V5" s="11">
        <f t="shared" ref="V5:V11" si="3">((H5-(SUM(J5:M5)))/H5)*100</f>
        <v>95.88</v>
      </c>
      <c r="W5" s="11">
        <f t="shared" ref="W5:W11" si="4">((H5-(SUM(J5:N5)))/H5)*100</f>
        <v>94.47</v>
      </c>
      <c r="X5" s="11">
        <f t="shared" ref="X5:X11" si="5">((H5-(SUM(J5:O5)))/H5)*100</f>
        <v>87.28</v>
      </c>
      <c r="Y5" s="11">
        <f t="shared" ref="Y5:Y11" si="6">((H5-(SUM(J5:P5)))/H5)*100</f>
        <v>65.22</v>
      </c>
      <c r="Z5" s="11">
        <f t="shared" ref="Z5:Z11" si="7">((H5-(SUM(J5:Q5)))/H5)*100</f>
        <v>55.32</v>
      </c>
      <c r="AA5" s="11">
        <f t="shared" ref="AA5:AA11" si="8">100-S5</f>
        <v>0.31999999999999318</v>
      </c>
      <c r="AB5" s="11">
        <f t="shared" ref="AB5:AB11" si="9">S5-Z5</f>
        <v>44.360000000000007</v>
      </c>
      <c r="AC5" s="11">
        <f t="shared" ref="AC5:AC11" si="10">Z5</f>
        <v>55.32</v>
      </c>
    </row>
    <row r="6" spans="1:29" ht="30" customHeight="1" x14ac:dyDescent="0.25">
      <c r="A6" s="9">
        <v>2</v>
      </c>
      <c r="B6" s="71"/>
      <c r="C6" s="71"/>
      <c r="D6" s="72"/>
      <c r="E6" s="47" t="s">
        <v>48</v>
      </c>
      <c r="F6" s="24">
        <v>1.5</v>
      </c>
      <c r="G6" s="47" t="s">
        <v>51</v>
      </c>
      <c r="H6" s="33">
        <v>200</v>
      </c>
      <c r="I6" s="24">
        <f t="shared" ref="I6:I11" si="11">H6-SUM(J6:Q6)</f>
        <v>114.35999999999999</v>
      </c>
      <c r="J6" s="24">
        <v>0.83</v>
      </c>
      <c r="K6" s="24">
        <v>1.97</v>
      </c>
      <c r="L6" s="24">
        <v>0.93</v>
      </c>
      <c r="M6" s="24">
        <v>4.76</v>
      </c>
      <c r="N6" s="24">
        <v>6.92</v>
      </c>
      <c r="O6" s="24">
        <v>7.4</v>
      </c>
      <c r="P6" s="24">
        <v>47.24</v>
      </c>
      <c r="Q6" s="24">
        <v>15.59</v>
      </c>
      <c r="R6" s="10"/>
      <c r="S6" s="11">
        <f t="shared" si="0"/>
        <v>99.584999999999994</v>
      </c>
      <c r="T6" s="11">
        <f t="shared" si="1"/>
        <v>98.6</v>
      </c>
      <c r="U6" s="11">
        <f t="shared" si="2"/>
        <v>98.135000000000005</v>
      </c>
      <c r="V6" s="11">
        <f t="shared" si="3"/>
        <v>95.754999999999995</v>
      </c>
      <c r="W6" s="11">
        <f t="shared" si="4"/>
        <v>92.295000000000002</v>
      </c>
      <c r="X6" s="11">
        <f t="shared" si="5"/>
        <v>88.594999999999999</v>
      </c>
      <c r="Y6" s="11">
        <f t="shared" si="6"/>
        <v>64.974999999999994</v>
      </c>
      <c r="Z6" s="11">
        <f t="shared" si="7"/>
        <v>57.18</v>
      </c>
      <c r="AA6" s="11">
        <f t="shared" si="8"/>
        <v>0.41500000000000625</v>
      </c>
      <c r="AB6" s="11">
        <f t="shared" si="9"/>
        <v>42.404999999999994</v>
      </c>
      <c r="AC6" s="11">
        <f t="shared" si="10"/>
        <v>57.18</v>
      </c>
    </row>
    <row r="7" spans="1:29" ht="30" customHeight="1" x14ac:dyDescent="0.25">
      <c r="A7" s="9">
        <v>3</v>
      </c>
      <c r="B7" s="71"/>
      <c r="C7" s="71"/>
      <c r="D7" s="72"/>
      <c r="E7" s="47" t="s">
        <v>22</v>
      </c>
      <c r="F7" s="56">
        <v>3.5</v>
      </c>
      <c r="G7" s="47" t="s">
        <v>52</v>
      </c>
      <c r="H7" s="33">
        <v>100</v>
      </c>
      <c r="I7" s="24">
        <f t="shared" si="11"/>
        <v>42.55</v>
      </c>
      <c r="J7" s="24">
        <v>0.85</v>
      </c>
      <c r="K7" s="24">
        <v>1.0900000000000001</v>
      </c>
      <c r="L7" s="24">
        <v>3.14</v>
      </c>
      <c r="M7" s="24">
        <v>15.41</v>
      </c>
      <c r="N7" s="24">
        <v>5.74</v>
      </c>
      <c r="O7" s="24">
        <v>11.42</v>
      </c>
      <c r="P7" s="24">
        <v>10.51</v>
      </c>
      <c r="Q7" s="24">
        <v>9.2899999999999991</v>
      </c>
      <c r="R7" s="10"/>
      <c r="S7" s="11">
        <f t="shared" si="0"/>
        <v>99.15</v>
      </c>
      <c r="T7" s="11">
        <f t="shared" si="1"/>
        <v>98.06</v>
      </c>
      <c r="U7" s="11">
        <f t="shared" si="2"/>
        <v>94.92</v>
      </c>
      <c r="V7" s="11">
        <f t="shared" si="3"/>
        <v>79.509999999999991</v>
      </c>
      <c r="W7" s="11">
        <f t="shared" si="4"/>
        <v>73.77</v>
      </c>
      <c r="X7" s="11">
        <f t="shared" si="5"/>
        <v>62.349999999999994</v>
      </c>
      <c r="Y7" s="11">
        <f t="shared" si="6"/>
        <v>51.839999999999996</v>
      </c>
      <c r="Z7" s="11">
        <f t="shared" si="7"/>
        <v>42.55</v>
      </c>
      <c r="AA7" s="11">
        <f t="shared" si="8"/>
        <v>0.84999999999999432</v>
      </c>
      <c r="AB7" s="11">
        <f t="shared" si="9"/>
        <v>56.600000000000009</v>
      </c>
      <c r="AC7" s="11">
        <f t="shared" si="10"/>
        <v>42.55</v>
      </c>
    </row>
    <row r="8" spans="1:29" ht="30" customHeight="1" x14ac:dyDescent="0.25">
      <c r="A8" s="9">
        <v>4</v>
      </c>
      <c r="B8" s="71"/>
      <c r="C8" s="71"/>
      <c r="D8" s="72"/>
      <c r="E8" s="47" t="s">
        <v>48</v>
      </c>
      <c r="F8" s="24">
        <v>4.5</v>
      </c>
      <c r="G8" s="47" t="s">
        <v>53</v>
      </c>
      <c r="H8" s="33">
        <v>200</v>
      </c>
      <c r="I8" s="24">
        <f t="shared" si="11"/>
        <v>101.34</v>
      </c>
      <c r="J8" s="24">
        <v>7.36</v>
      </c>
      <c r="K8" s="24">
        <v>7.94</v>
      </c>
      <c r="L8" s="24">
        <v>3.12</v>
      </c>
      <c r="M8" s="24">
        <v>9.64</v>
      </c>
      <c r="N8" s="24">
        <v>9.8699999999999992</v>
      </c>
      <c r="O8" s="24">
        <v>7.93</v>
      </c>
      <c r="P8" s="24">
        <v>38.9</v>
      </c>
      <c r="Q8" s="24">
        <v>13.9</v>
      </c>
      <c r="R8" s="10"/>
      <c r="S8" s="11">
        <f t="shared" si="0"/>
        <v>96.32</v>
      </c>
      <c r="T8" s="11">
        <f t="shared" si="1"/>
        <v>92.35</v>
      </c>
      <c r="U8" s="11">
        <f t="shared" si="2"/>
        <v>90.789999999999992</v>
      </c>
      <c r="V8" s="11">
        <f t="shared" si="3"/>
        <v>85.97</v>
      </c>
      <c r="W8" s="11">
        <f t="shared" si="4"/>
        <v>81.034999999999997</v>
      </c>
      <c r="X8" s="11">
        <f t="shared" si="5"/>
        <v>77.069999999999993</v>
      </c>
      <c r="Y8" s="11">
        <f t="shared" si="6"/>
        <v>57.620000000000005</v>
      </c>
      <c r="Z8" s="11">
        <f t="shared" si="7"/>
        <v>50.67</v>
      </c>
      <c r="AA8" s="11">
        <f t="shared" si="8"/>
        <v>3.6800000000000068</v>
      </c>
      <c r="AB8" s="11">
        <f t="shared" si="9"/>
        <v>45.649999999999991</v>
      </c>
      <c r="AC8" s="11">
        <f t="shared" si="10"/>
        <v>50.67</v>
      </c>
    </row>
    <row r="9" spans="1:29" ht="30" customHeight="1" x14ac:dyDescent="0.25">
      <c r="A9" s="9">
        <v>5</v>
      </c>
      <c r="B9" s="71"/>
      <c r="C9" s="71"/>
      <c r="D9" s="72"/>
      <c r="E9" s="47" t="s">
        <v>22</v>
      </c>
      <c r="F9" s="24">
        <v>6.5</v>
      </c>
      <c r="G9" s="47" t="s">
        <v>54</v>
      </c>
      <c r="H9" s="33">
        <v>100</v>
      </c>
      <c r="I9" s="24">
        <f t="shared" si="11"/>
        <v>60.61</v>
      </c>
      <c r="J9" s="24">
        <v>1.53</v>
      </c>
      <c r="K9" s="24">
        <v>4.96</v>
      </c>
      <c r="L9" s="24">
        <v>1.42</v>
      </c>
      <c r="M9" s="24">
        <v>3.8</v>
      </c>
      <c r="N9" s="24">
        <v>3.41</v>
      </c>
      <c r="O9" s="24">
        <v>2.89</v>
      </c>
      <c r="P9" s="24">
        <v>14.79</v>
      </c>
      <c r="Q9" s="24">
        <v>6.59</v>
      </c>
      <c r="R9" s="10"/>
      <c r="S9" s="11">
        <f t="shared" si="0"/>
        <v>98.47</v>
      </c>
      <c r="T9" s="11">
        <f t="shared" si="1"/>
        <v>93.51</v>
      </c>
      <c r="U9" s="11">
        <f t="shared" si="2"/>
        <v>92.09</v>
      </c>
      <c r="V9" s="11">
        <f t="shared" si="3"/>
        <v>88.289999999999992</v>
      </c>
      <c r="W9" s="11">
        <f t="shared" si="4"/>
        <v>84.88</v>
      </c>
      <c r="X9" s="11">
        <f>((H9-(SUM(J9:O9)))/H9)*100</f>
        <v>81.99</v>
      </c>
      <c r="Y9" s="11">
        <f t="shared" si="6"/>
        <v>67.2</v>
      </c>
      <c r="Z9" s="11">
        <f t="shared" si="7"/>
        <v>60.61</v>
      </c>
      <c r="AA9" s="11">
        <f t="shared" si="8"/>
        <v>1.5300000000000011</v>
      </c>
      <c r="AB9" s="11">
        <f t="shared" si="9"/>
        <v>37.86</v>
      </c>
      <c r="AC9" s="11">
        <f t="shared" si="10"/>
        <v>60.61</v>
      </c>
    </row>
    <row r="10" spans="1:29" s="34" customFormat="1" ht="30" customHeight="1" x14ac:dyDescent="0.25">
      <c r="A10" s="43"/>
      <c r="B10" s="71"/>
      <c r="C10" s="71"/>
      <c r="D10" s="72"/>
      <c r="E10" s="47" t="s">
        <v>48</v>
      </c>
      <c r="F10" s="44">
        <v>7.5</v>
      </c>
      <c r="G10" s="48" t="s">
        <v>55</v>
      </c>
      <c r="H10" s="42">
        <v>200</v>
      </c>
      <c r="I10" s="24">
        <f t="shared" si="11"/>
        <v>80.459999999999994</v>
      </c>
      <c r="J10" s="44">
        <v>13.98</v>
      </c>
      <c r="K10" s="44">
        <v>5.34</v>
      </c>
      <c r="L10" s="44">
        <v>7.79</v>
      </c>
      <c r="M10" s="44">
        <v>27.06</v>
      </c>
      <c r="N10" s="44">
        <v>6.47</v>
      </c>
      <c r="O10" s="44">
        <v>15.14</v>
      </c>
      <c r="P10" s="44">
        <v>27.12</v>
      </c>
      <c r="Q10" s="44">
        <v>16.64</v>
      </c>
      <c r="R10" s="45"/>
      <c r="S10" s="46">
        <f t="shared" si="0"/>
        <v>93.01</v>
      </c>
      <c r="T10" s="46">
        <f t="shared" si="1"/>
        <v>90.34</v>
      </c>
      <c r="U10" s="46">
        <f t="shared" si="2"/>
        <v>86.444999999999993</v>
      </c>
      <c r="V10" s="46">
        <f t="shared" si="3"/>
        <v>72.914999999999992</v>
      </c>
      <c r="W10" s="46">
        <f t="shared" si="4"/>
        <v>69.680000000000007</v>
      </c>
      <c r="X10" s="46">
        <f t="shared" si="5"/>
        <v>62.11</v>
      </c>
      <c r="Y10" s="46">
        <f t="shared" si="6"/>
        <v>48.55</v>
      </c>
      <c r="Z10" s="46">
        <f t="shared" si="7"/>
        <v>40.229999999999997</v>
      </c>
      <c r="AA10" s="46">
        <f t="shared" si="8"/>
        <v>6.9899999999999949</v>
      </c>
      <c r="AB10" s="46">
        <f t="shared" si="9"/>
        <v>52.780000000000008</v>
      </c>
      <c r="AC10" s="46">
        <f t="shared" si="10"/>
        <v>40.229999999999997</v>
      </c>
    </row>
    <row r="11" spans="1:29" ht="30" customHeight="1" x14ac:dyDescent="0.25">
      <c r="A11" s="9">
        <v>7</v>
      </c>
      <c r="B11" s="71"/>
      <c r="C11" s="71"/>
      <c r="D11" s="72"/>
      <c r="E11" s="47" t="s">
        <v>22</v>
      </c>
      <c r="F11" s="24">
        <v>10</v>
      </c>
      <c r="G11" s="47" t="s">
        <v>56</v>
      </c>
      <c r="H11" s="33">
        <v>100</v>
      </c>
      <c r="I11" s="24">
        <f t="shared" si="11"/>
        <v>20.599999999999994</v>
      </c>
      <c r="J11" s="24">
        <v>0</v>
      </c>
      <c r="K11" s="24">
        <v>0.77</v>
      </c>
      <c r="L11" s="24">
        <v>0.09</v>
      </c>
      <c r="M11" s="24">
        <v>2.97</v>
      </c>
      <c r="N11" s="24">
        <v>15.7</v>
      </c>
      <c r="O11" s="24">
        <v>16.34</v>
      </c>
      <c r="P11" s="24">
        <v>39.83</v>
      </c>
      <c r="Q11" s="24">
        <v>3.7</v>
      </c>
      <c r="R11" s="10"/>
      <c r="S11" s="11">
        <f t="shared" si="0"/>
        <v>100</v>
      </c>
      <c r="T11" s="11">
        <f t="shared" si="1"/>
        <v>99.23</v>
      </c>
      <c r="U11" s="11">
        <f t="shared" si="2"/>
        <v>99.14</v>
      </c>
      <c r="V11" s="11">
        <f t="shared" si="3"/>
        <v>96.17</v>
      </c>
      <c r="W11" s="11">
        <f t="shared" si="4"/>
        <v>80.47</v>
      </c>
      <c r="X11" s="11">
        <f t="shared" si="5"/>
        <v>64.13</v>
      </c>
      <c r="Y11" s="11">
        <f t="shared" si="6"/>
        <v>24.299999999999997</v>
      </c>
      <c r="Z11" s="11">
        <f t="shared" si="7"/>
        <v>20.599999999999994</v>
      </c>
      <c r="AA11" s="11">
        <f t="shared" si="8"/>
        <v>0</v>
      </c>
      <c r="AB11" s="11">
        <f t="shared" si="9"/>
        <v>79.400000000000006</v>
      </c>
      <c r="AC11" s="11">
        <f t="shared" si="10"/>
        <v>20.599999999999994</v>
      </c>
    </row>
  </sheetData>
  <mergeCells count="21">
    <mergeCell ref="J2:R2"/>
    <mergeCell ref="S2:Z2"/>
    <mergeCell ref="B5:B11"/>
    <mergeCell ref="C5:C11"/>
    <mergeCell ref="D5:D11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L17" sqref="L17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73" t="s">
        <v>4</v>
      </c>
      <c r="B1" s="76" t="s">
        <v>5</v>
      </c>
      <c r="C1" s="76" t="s">
        <v>9</v>
      </c>
      <c r="D1" s="73" t="s">
        <v>8</v>
      </c>
      <c r="E1" s="73" t="s">
        <v>23</v>
      </c>
      <c r="F1" s="73" t="s">
        <v>40</v>
      </c>
      <c r="G1" s="73" t="s">
        <v>24</v>
      </c>
      <c r="H1" s="73" t="s">
        <v>25</v>
      </c>
      <c r="I1" s="82" t="s">
        <v>34</v>
      </c>
      <c r="J1" s="73" t="s">
        <v>35</v>
      </c>
      <c r="K1" s="73" t="s">
        <v>26</v>
      </c>
      <c r="L1" s="73" t="s">
        <v>27</v>
      </c>
      <c r="M1" s="80" t="s">
        <v>28</v>
      </c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0" t="s">
        <v>29</v>
      </c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 t="s">
        <v>30</v>
      </c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22"/>
      <c r="BA1" s="22"/>
    </row>
    <row r="2" spans="1:53" x14ac:dyDescent="0.25">
      <c r="A2" s="74"/>
      <c r="B2" s="77"/>
      <c r="C2" s="77"/>
      <c r="D2" s="74"/>
      <c r="E2" s="74"/>
      <c r="F2" s="74"/>
      <c r="G2" s="74"/>
      <c r="H2" s="74"/>
      <c r="I2" s="82"/>
      <c r="J2" s="74"/>
      <c r="K2" s="74"/>
      <c r="L2" s="74"/>
      <c r="M2" s="83">
        <v>0.5</v>
      </c>
      <c r="N2" s="79">
        <v>1</v>
      </c>
      <c r="O2" s="79">
        <v>2</v>
      </c>
      <c r="P2" s="79">
        <v>4</v>
      </c>
      <c r="Q2" s="79">
        <v>8</v>
      </c>
      <c r="R2" s="79">
        <v>15</v>
      </c>
      <c r="S2" s="79">
        <v>30</v>
      </c>
      <c r="T2" s="79">
        <v>60</v>
      </c>
      <c r="U2" s="79">
        <v>120</v>
      </c>
      <c r="V2" s="79">
        <v>240</v>
      </c>
      <c r="W2" s="79">
        <v>480</v>
      </c>
      <c r="X2" s="79">
        <v>960</v>
      </c>
      <c r="Y2" s="79">
        <v>1440</v>
      </c>
      <c r="Z2" s="83">
        <v>0.5</v>
      </c>
      <c r="AA2" s="79">
        <v>1</v>
      </c>
      <c r="AB2" s="79">
        <v>2</v>
      </c>
      <c r="AC2" s="79">
        <v>4</v>
      </c>
      <c r="AD2" s="79">
        <v>8</v>
      </c>
      <c r="AE2" s="79">
        <v>15</v>
      </c>
      <c r="AF2" s="79">
        <v>30</v>
      </c>
      <c r="AG2" s="79">
        <v>60</v>
      </c>
      <c r="AH2" s="79">
        <v>120</v>
      </c>
      <c r="AI2" s="79">
        <v>240</v>
      </c>
      <c r="AJ2" s="79">
        <v>480</v>
      </c>
      <c r="AK2" s="79">
        <v>960</v>
      </c>
      <c r="AL2" s="79">
        <v>1440</v>
      </c>
      <c r="AM2" s="83">
        <v>0.5</v>
      </c>
      <c r="AN2" s="79">
        <v>1</v>
      </c>
      <c r="AO2" s="79">
        <v>2</v>
      </c>
      <c r="AP2" s="79">
        <v>4</v>
      </c>
      <c r="AQ2" s="79">
        <v>8</v>
      </c>
      <c r="AR2" s="79">
        <v>15</v>
      </c>
      <c r="AS2" s="79">
        <v>30</v>
      </c>
      <c r="AT2" s="79">
        <v>60</v>
      </c>
      <c r="AU2" s="79">
        <v>120</v>
      </c>
      <c r="AV2" s="79">
        <v>240</v>
      </c>
      <c r="AW2" s="79">
        <v>480</v>
      </c>
      <c r="AX2" s="79">
        <v>960</v>
      </c>
      <c r="AY2" s="79">
        <v>1440</v>
      </c>
      <c r="AZ2" s="22"/>
      <c r="BA2" s="22"/>
    </row>
    <row r="3" spans="1:53" x14ac:dyDescent="0.25">
      <c r="A3" s="74"/>
      <c r="B3" s="77"/>
      <c r="C3" s="77"/>
      <c r="D3" s="75"/>
      <c r="E3" s="75"/>
      <c r="F3" s="75"/>
      <c r="G3" s="75"/>
      <c r="H3" s="75"/>
      <c r="I3" s="82"/>
      <c r="J3" s="75"/>
      <c r="K3" s="75"/>
      <c r="L3" s="75"/>
      <c r="M3" s="83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83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83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22"/>
      <c r="BA3" s="22"/>
    </row>
    <row r="4" spans="1:53" x14ac:dyDescent="0.25">
      <c r="A4" s="75"/>
      <c r="B4" s="78"/>
      <c r="C4" s="78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84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6"/>
      <c r="Z4" s="84" t="s">
        <v>32</v>
      </c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6"/>
      <c r="AM4" s="82" t="s">
        <v>33</v>
      </c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20"/>
      <c r="BA4" s="20"/>
    </row>
    <row r="5" spans="1:53" x14ac:dyDescent="0.25">
      <c r="A5" s="27">
        <v>1</v>
      </c>
      <c r="B5" s="27" t="str">
        <f>GSD!B5</f>
        <v>SHBH-06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SHBH-06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1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1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1" si="2">B6</f>
        <v>SHBH-06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SHBH-06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SHBH-06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SHBH-06</v>
      </c>
      <c r="C10" s="36">
        <f>GSD!F10</f>
        <v>7.5</v>
      </c>
      <c r="D10" s="35" t="str">
        <f>GSD!E10</f>
        <v>UDS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SHBH-06</v>
      </c>
      <c r="C11" s="36">
        <f>GSD!F11</f>
        <v>10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25">
      <c r="A12" s="27"/>
      <c r="B12" s="27"/>
      <c r="C12" s="36"/>
      <c r="D12" s="35"/>
      <c r="E12" s="36"/>
      <c r="F12" s="37"/>
      <c r="G12" s="38"/>
      <c r="H12" s="35"/>
      <c r="I12" s="35"/>
      <c r="J12" s="35"/>
      <c r="K12" s="36"/>
      <c r="L12" s="35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25">
      <c r="A13" s="27"/>
      <c r="B13" s="27"/>
      <c r="C13" s="36"/>
      <c r="D13" s="35"/>
      <c r="E13" s="36"/>
      <c r="F13" s="37"/>
      <c r="G13" s="38"/>
      <c r="H13" s="35"/>
      <c r="I13" s="35"/>
      <c r="J13" s="35"/>
      <c r="K13" s="36"/>
      <c r="L13" s="35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K16" sqref="K16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7" t="s">
        <v>42</v>
      </c>
      <c r="E2" s="87"/>
      <c r="F2" s="87"/>
      <c r="G2" s="87"/>
      <c r="H2" s="87"/>
      <c r="I2" s="87"/>
      <c r="J2" s="87"/>
      <c r="K2" s="87"/>
      <c r="L2" s="87" t="s">
        <v>43</v>
      </c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8" t="s">
        <v>44</v>
      </c>
      <c r="Z2" s="88"/>
      <c r="AA2" s="88"/>
      <c r="AB2" s="88"/>
      <c r="AC2" s="88"/>
      <c r="AD2" s="88"/>
      <c r="AE2" s="88"/>
      <c r="AF2" s="88"/>
      <c r="AG2" s="87" t="s">
        <v>45</v>
      </c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4" customFormat="1" x14ac:dyDescent="0.25">
      <c r="A3" s="49">
        <v>1</v>
      </c>
      <c r="B3" s="49" t="str">
        <f>GSD!B5</f>
        <v>SHBH-06</v>
      </c>
      <c r="C3" s="50">
        <f>GSD!F5</f>
        <v>0.5</v>
      </c>
      <c r="D3" s="51">
        <v>4.75</v>
      </c>
      <c r="E3" s="51">
        <v>2</v>
      </c>
      <c r="F3" s="51">
        <v>1.18</v>
      </c>
      <c r="G3" s="51">
        <v>0.6</v>
      </c>
      <c r="H3" s="51">
        <v>0.42499999999999999</v>
      </c>
      <c r="I3" s="51">
        <v>0.3</v>
      </c>
      <c r="J3" s="51">
        <v>0.15</v>
      </c>
      <c r="K3" s="51">
        <v>7.4999999999999997E-2</v>
      </c>
      <c r="L3" s="52">
        <f>HYD!Z5</f>
        <v>0</v>
      </c>
      <c r="M3" s="52">
        <f>HYD!AA5</f>
        <v>0</v>
      </c>
      <c r="N3" s="52">
        <f>HYD!AB5</f>
        <v>0</v>
      </c>
      <c r="O3" s="52">
        <f>HYD!AC5</f>
        <v>0</v>
      </c>
      <c r="P3" s="52">
        <f>HYD!AD5</f>
        <v>0</v>
      </c>
      <c r="Q3" s="52">
        <f>HYD!AE5</f>
        <v>0</v>
      </c>
      <c r="R3" s="52">
        <f>HYD!AF5</f>
        <v>0</v>
      </c>
      <c r="S3" s="52">
        <f>HYD!AG5</f>
        <v>0</v>
      </c>
      <c r="T3" s="52">
        <f>HYD!AH5</f>
        <v>0</v>
      </c>
      <c r="U3" s="52">
        <f>HYD!AI5</f>
        <v>0</v>
      </c>
      <c r="V3" s="52">
        <f>HYD!AJ5</f>
        <v>0</v>
      </c>
      <c r="W3" s="52">
        <f>HYD!AK5</f>
        <v>0</v>
      </c>
      <c r="X3" s="52">
        <f>HYD!AL5</f>
        <v>0</v>
      </c>
      <c r="Y3" s="53">
        <f>GSD!S5</f>
        <v>99.68</v>
      </c>
      <c r="Z3" s="53">
        <f>GSD!T5</f>
        <v>99.31</v>
      </c>
      <c r="AA3" s="53">
        <f>GSD!U5</f>
        <v>98.42</v>
      </c>
      <c r="AB3" s="53">
        <f>GSD!V5</f>
        <v>95.88</v>
      </c>
      <c r="AC3" s="53">
        <f>GSD!W5</f>
        <v>94.47</v>
      </c>
      <c r="AD3" s="53">
        <f>GSD!X5</f>
        <v>87.28</v>
      </c>
      <c r="AE3" s="53">
        <f>GSD!Y5</f>
        <v>65.22</v>
      </c>
      <c r="AF3" s="53">
        <f>GSD!Z5</f>
        <v>55.32</v>
      </c>
      <c r="AG3" s="53">
        <f>HYD!AM5</f>
        <v>0</v>
      </c>
      <c r="AH3" s="53">
        <f>HYD!AN5</f>
        <v>0</v>
      </c>
      <c r="AI3" s="53">
        <f>HYD!AO5</f>
        <v>0</v>
      </c>
      <c r="AJ3" s="53">
        <f>HYD!AP5</f>
        <v>0</v>
      </c>
      <c r="AK3" s="53">
        <f>HYD!AQ5</f>
        <v>0</v>
      </c>
      <c r="AL3" s="53">
        <f>HYD!AR5</f>
        <v>0</v>
      </c>
      <c r="AM3" s="53">
        <f>HYD!AS5</f>
        <v>0</v>
      </c>
      <c r="AN3" s="53">
        <f>HYD!AT5</f>
        <v>0</v>
      </c>
      <c r="AO3" s="53">
        <f>HYD!AU5</f>
        <v>0</v>
      </c>
      <c r="AP3" s="53">
        <f>HYD!AV5</f>
        <v>0</v>
      </c>
      <c r="AQ3" s="53">
        <f>HYD!AW5</f>
        <v>0</v>
      </c>
      <c r="AR3" s="53">
        <f>HYD!AX5</f>
        <v>0</v>
      </c>
      <c r="AS3" s="53">
        <f>HYD!AY5</f>
        <v>0</v>
      </c>
      <c r="AT3" s="53"/>
      <c r="AU3" s="53"/>
      <c r="AV3" s="53"/>
      <c r="AW3" s="53"/>
    </row>
    <row r="4" spans="1:49" s="41" customFormat="1" x14ac:dyDescent="0.25">
      <c r="A4" s="49">
        <v>2</v>
      </c>
      <c r="B4" s="49" t="str">
        <f>B3</f>
        <v>SHBH-06</v>
      </c>
      <c r="C4" s="50">
        <f>GSD!F6</f>
        <v>1.5</v>
      </c>
      <c r="D4" s="51">
        <v>4.75</v>
      </c>
      <c r="E4" s="51">
        <v>2</v>
      </c>
      <c r="F4" s="51">
        <v>1.18</v>
      </c>
      <c r="G4" s="51">
        <v>0.6</v>
      </c>
      <c r="H4" s="51">
        <v>0.42499999999999999</v>
      </c>
      <c r="I4" s="51">
        <v>0.3</v>
      </c>
      <c r="J4" s="51">
        <v>0.15</v>
      </c>
      <c r="K4" s="51">
        <v>7.4999999999999997E-2</v>
      </c>
      <c r="L4" s="52">
        <f>HYD!Z6</f>
        <v>0</v>
      </c>
      <c r="M4" s="52">
        <f>HYD!AA6</f>
        <v>0</v>
      </c>
      <c r="N4" s="52">
        <f>HYD!AB6</f>
        <v>0</v>
      </c>
      <c r="O4" s="52">
        <f>HYD!AC6</f>
        <v>0</v>
      </c>
      <c r="P4" s="52">
        <f>HYD!AD6</f>
        <v>0</v>
      </c>
      <c r="Q4" s="52">
        <f>HYD!AE6</f>
        <v>0</v>
      </c>
      <c r="R4" s="52">
        <f>HYD!AF6</f>
        <v>0</v>
      </c>
      <c r="S4" s="52">
        <f>HYD!AG6</f>
        <v>0</v>
      </c>
      <c r="T4" s="52">
        <f>HYD!AH6</f>
        <v>0</v>
      </c>
      <c r="U4" s="52">
        <f>HYD!AI6</f>
        <v>0</v>
      </c>
      <c r="V4" s="52">
        <f>HYD!AJ6</f>
        <v>0</v>
      </c>
      <c r="W4" s="52">
        <f>HYD!AK6</f>
        <v>0</v>
      </c>
      <c r="X4" s="52">
        <f>HYD!AL6</f>
        <v>0</v>
      </c>
      <c r="Y4" s="53">
        <f>GSD!S6</f>
        <v>99.584999999999994</v>
      </c>
      <c r="Z4" s="53">
        <f>GSD!T6</f>
        <v>98.6</v>
      </c>
      <c r="AA4" s="53">
        <f>GSD!U6</f>
        <v>98.135000000000005</v>
      </c>
      <c r="AB4" s="53">
        <f>GSD!V6</f>
        <v>95.754999999999995</v>
      </c>
      <c r="AC4" s="53">
        <f>GSD!W6</f>
        <v>92.295000000000002</v>
      </c>
      <c r="AD4" s="53">
        <f>GSD!X6</f>
        <v>88.594999999999999</v>
      </c>
      <c r="AE4" s="53">
        <f>GSD!Y6</f>
        <v>64.974999999999994</v>
      </c>
      <c r="AF4" s="53">
        <f>GSD!Z6</f>
        <v>57.18</v>
      </c>
      <c r="AG4" s="53">
        <f>HYD!AM6</f>
        <v>0</v>
      </c>
      <c r="AH4" s="53">
        <f>HYD!AN6</f>
        <v>0</v>
      </c>
      <c r="AI4" s="53">
        <f>HYD!AO6</f>
        <v>0</v>
      </c>
      <c r="AJ4" s="53">
        <f>HYD!AP6</f>
        <v>0</v>
      </c>
      <c r="AK4" s="53">
        <f>HYD!AQ6</f>
        <v>0</v>
      </c>
      <c r="AL4" s="53">
        <f>HYD!AR6</f>
        <v>0</v>
      </c>
      <c r="AM4" s="53">
        <f>HYD!AS6</f>
        <v>0</v>
      </c>
      <c r="AN4" s="53">
        <f>HYD!AT6</f>
        <v>0</v>
      </c>
      <c r="AO4" s="53">
        <f>HYD!AU6</f>
        <v>0</v>
      </c>
      <c r="AP4" s="53">
        <f>HYD!AV6</f>
        <v>0</v>
      </c>
      <c r="AQ4" s="53">
        <f>HYD!AW6</f>
        <v>0</v>
      </c>
      <c r="AR4" s="53">
        <f>HYD!AX6</f>
        <v>0</v>
      </c>
      <c r="AS4" s="53">
        <f>HYD!AY6</f>
        <v>0</v>
      </c>
      <c r="AT4" s="53"/>
      <c r="AU4" s="53"/>
      <c r="AV4" s="53"/>
      <c r="AW4" s="53"/>
    </row>
    <row r="5" spans="1:49" s="41" customFormat="1" x14ac:dyDescent="0.25">
      <c r="A5" s="49">
        <v>3</v>
      </c>
      <c r="B5" s="49" t="str">
        <f t="shared" ref="B5:B9" si="0">B4</f>
        <v>SHBH-06</v>
      </c>
      <c r="C5" s="50">
        <f>GSD!F7</f>
        <v>3.5</v>
      </c>
      <c r="D5" s="51">
        <v>4.75</v>
      </c>
      <c r="E5" s="51">
        <v>2</v>
      </c>
      <c r="F5" s="51">
        <v>1.18</v>
      </c>
      <c r="G5" s="51">
        <v>0.6</v>
      </c>
      <c r="H5" s="51">
        <v>0.42499999999999999</v>
      </c>
      <c r="I5" s="51">
        <v>0.3</v>
      </c>
      <c r="J5" s="51">
        <v>0.15</v>
      </c>
      <c r="K5" s="51">
        <v>7.4999999999999997E-2</v>
      </c>
      <c r="L5" s="52">
        <f>HYD!Z7</f>
        <v>0</v>
      </c>
      <c r="M5" s="52">
        <f>HYD!AA7</f>
        <v>0</v>
      </c>
      <c r="N5" s="52">
        <f>HYD!AB7</f>
        <v>0</v>
      </c>
      <c r="O5" s="52">
        <f>HYD!AC7</f>
        <v>0</v>
      </c>
      <c r="P5" s="52">
        <f>HYD!AD7</f>
        <v>0</v>
      </c>
      <c r="Q5" s="52">
        <f>HYD!AE7</f>
        <v>0</v>
      </c>
      <c r="R5" s="52">
        <f>HYD!AF7</f>
        <v>0</v>
      </c>
      <c r="S5" s="52">
        <f>HYD!AG7</f>
        <v>0</v>
      </c>
      <c r="T5" s="52">
        <f>HYD!AH7</f>
        <v>0</v>
      </c>
      <c r="U5" s="52">
        <f>HYD!AI7</f>
        <v>0</v>
      </c>
      <c r="V5" s="52">
        <f>HYD!AJ7</f>
        <v>0</v>
      </c>
      <c r="W5" s="52">
        <f>HYD!AK7</f>
        <v>0</v>
      </c>
      <c r="X5" s="52">
        <f>HYD!AL7</f>
        <v>0</v>
      </c>
      <c r="Y5" s="53">
        <f>GSD!S7</f>
        <v>99.15</v>
      </c>
      <c r="Z5" s="53">
        <f>GSD!T7</f>
        <v>98.06</v>
      </c>
      <c r="AA5" s="53">
        <f>GSD!U7</f>
        <v>94.92</v>
      </c>
      <c r="AB5" s="53">
        <f>GSD!V7</f>
        <v>79.509999999999991</v>
      </c>
      <c r="AC5" s="53">
        <f>GSD!W7</f>
        <v>73.77</v>
      </c>
      <c r="AD5" s="53">
        <f>GSD!X7</f>
        <v>62.349999999999994</v>
      </c>
      <c r="AE5" s="53">
        <f>GSD!Y7</f>
        <v>51.839999999999996</v>
      </c>
      <c r="AF5" s="53">
        <f>GSD!Z7</f>
        <v>42.55</v>
      </c>
      <c r="AG5" s="53">
        <f>HYD!AM7</f>
        <v>0</v>
      </c>
      <c r="AH5" s="53">
        <f>HYD!AN7</f>
        <v>0</v>
      </c>
      <c r="AI5" s="53">
        <f>HYD!AO7</f>
        <v>0</v>
      </c>
      <c r="AJ5" s="53">
        <f>HYD!AP7</f>
        <v>0</v>
      </c>
      <c r="AK5" s="53">
        <f>HYD!AQ7</f>
        <v>0</v>
      </c>
      <c r="AL5" s="53">
        <f>HYD!AR7</f>
        <v>0</v>
      </c>
      <c r="AM5" s="53">
        <f>HYD!AS7</f>
        <v>0</v>
      </c>
      <c r="AN5" s="53">
        <f>HYD!AT7</f>
        <v>0</v>
      </c>
      <c r="AO5" s="53">
        <f>HYD!AU7</f>
        <v>0</v>
      </c>
      <c r="AP5" s="53">
        <f>HYD!AV7</f>
        <v>0</v>
      </c>
      <c r="AQ5" s="53">
        <f>HYD!AW7</f>
        <v>0</v>
      </c>
      <c r="AR5" s="53">
        <f>HYD!AX7</f>
        <v>0</v>
      </c>
      <c r="AS5" s="53">
        <f>HYD!AY7</f>
        <v>0</v>
      </c>
      <c r="AT5" s="53"/>
      <c r="AU5" s="53"/>
      <c r="AV5" s="53"/>
      <c r="AW5" s="53"/>
    </row>
    <row r="6" spans="1:49" s="41" customFormat="1" x14ac:dyDescent="0.25">
      <c r="A6" s="49">
        <v>4</v>
      </c>
      <c r="B6" s="49" t="str">
        <f t="shared" si="0"/>
        <v>SHBH-06</v>
      </c>
      <c r="C6" s="50">
        <f>GSD!F8</f>
        <v>4.5</v>
      </c>
      <c r="D6" s="51">
        <v>4.75</v>
      </c>
      <c r="E6" s="51">
        <v>2</v>
      </c>
      <c r="F6" s="51">
        <v>1.18</v>
      </c>
      <c r="G6" s="51">
        <v>0.6</v>
      </c>
      <c r="H6" s="51">
        <v>0.42499999999999999</v>
      </c>
      <c r="I6" s="51">
        <v>0.3</v>
      </c>
      <c r="J6" s="51">
        <v>0.15</v>
      </c>
      <c r="K6" s="51">
        <v>7.4999999999999997E-2</v>
      </c>
      <c r="L6" s="52">
        <f>HYD!Z8</f>
        <v>0</v>
      </c>
      <c r="M6" s="52">
        <f>HYD!AA8</f>
        <v>0</v>
      </c>
      <c r="N6" s="52">
        <f>HYD!AB8</f>
        <v>0</v>
      </c>
      <c r="O6" s="52">
        <f>HYD!AC8</f>
        <v>0</v>
      </c>
      <c r="P6" s="52">
        <f>HYD!AD8</f>
        <v>0</v>
      </c>
      <c r="Q6" s="52">
        <f>HYD!AE8</f>
        <v>0</v>
      </c>
      <c r="R6" s="52">
        <f>HYD!AF8</f>
        <v>0</v>
      </c>
      <c r="S6" s="52">
        <f>HYD!AG8</f>
        <v>0</v>
      </c>
      <c r="T6" s="52">
        <f>HYD!AH8</f>
        <v>0</v>
      </c>
      <c r="U6" s="52">
        <f>HYD!AI8</f>
        <v>0</v>
      </c>
      <c r="V6" s="52">
        <f>HYD!AJ8</f>
        <v>0</v>
      </c>
      <c r="W6" s="52">
        <f>HYD!AK8</f>
        <v>0</v>
      </c>
      <c r="X6" s="52">
        <f>HYD!AL8</f>
        <v>0</v>
      </c>
      <c r="Y6" s="53">
        <f>GSD!S8</f>
        <v>96.32</v>
      </c>
      <c r="Z6" s="53">
        <f>GSD!T8</f>
        <v>92.35</v>
      </c>
      <c r="AA6" s="53">
        <f>GSD!U8</f>
        <v>90.789999999999992</v>
      </c>
      <c r="AB6" s="53">
        <f>GSD!V8</f>
        <v>85.97</v>
      </c>
      <c r="AC6" s="53">
        <f>GSD!W8</f>
        <v>81.034999999999997</v>
      </c>
      <c r="AD6" s="53">
        <f>GSD!X8</f>
        <v>77.069999999999993</v>
      </c>
      <c r="AE6" s="53">
        <f>GSD!Y8</f>
        <v>57.620000000000005</v>
      </c>
      <c r="AF6" s="53">
        <f>GSD!Z8</f>
        <v>50.67</v>
      </c>
      <c r="AG6" s="53">
        <f>HYD!AM8</f>
        <v>0</v>
      </c>
      <c r="AH6" s="53">
        <f>HYD!AN8</f>
        <v>0</v>
      </c>
      <c r="AI6" s="53">
        <f>HYD!AO8</f>
        <v>0</v>
      </c>
      <c r="AJ6" s="53">
        <f>HYD!AP8</f>
        <v>0</v>
      </c>
      <c r="AK6" s="53">
        <f>HYD!AQ8</f>
        <v>0</v>
      </c>
      <c r="AL6" s="53">
        <f>HYD!AR8</f>
        <v>0</v>
      </c>
      <c r="AM6" s="53">
        <f>HYD!AS8</f>
        <v>0</v>
      </c>
      <c r="AN6" s="53">
        <f>HYD!AT8</f>
        <v>0</v>
      </c>
      <c r="AO6" s="53">
        <f>HYD!AU8</f>
        <v>0</v>
      </c>
      <c r="AP6" s="53">
        <f>HYD!AV8</f>
        <v>0</v>
      </c>
      <c r="AQ6" s="53">
        <f>HYD!AW8</f>
        <v>0</v>
      </c>
      <c r="AR6" s="53">
        <f>HYD!AX8</f>
        <v>0</v>
      </c>
      <c r="AS6" s="53">
        <f>HYD!AY8</f>
        <v>0</v>
      </c>
      <c r="AT6" s="53"/>
      <c r="AU6" s="53"/>
      <c r="AV6" s="53"/>
      <c r="AW6" s="53"/>
    </row>
    <row r="7" spans="1:49" s="41" customFormat="1" x14ac:dyDescent="0.25">
      <c r="A7" s="49">
        <v>5</v>
      </c>
      <c r="B7" s="49" t="str">
        <f t="shared" si="0"/>
        <v>SHBH-06</v>
      </c>
      <c r="C7" s="50">
        <f>GSD!F9</f>
        <v>6.5</v>
      </c>
      <c r="D7" s="51">
        <v>4.75</v>
      </c>
      <c r="E7" s="51">
        <v>2</v>
      </c>
      <c r="F7" s="51">
        <v>1.18</v>
      </c>
      <c r="G7" s="51">
        <v>0.6</v>
      </c>
      <c r="H7" s="51">
        <v>0.42499999999999999</v>
      </c>
      <c r="I7" s="51">
        <v>0.3</v>
      </c>
      <c r="J7" s="51">
        <v>0.15</v>
      </c>
      <c r="K7" s="51">
        <v>7.4999999999999997E-2</v>
      </c>
      <c r="L7" s="52">
        <f>HYD!Z9</f>
        <v>0</v>
      </c>
      <c r="M7" s="52">
        <f>HYD!AA9</f>
        <v>0</v>
      </c>
      <c r="N7" s="52">
        <f>HYD!AB9</f>
        <v>0</v>
      </c>
      <c r="O7" s="52">
        <f>HYD!AC9</f>
        <v>0</v>
      </c>
      <c r="P7" s="52">
        <f>HYD!AD9</f>
        <v>0</v>
      </c>
      <c r="Q7" s="52">
        <f>HYD!AE9</f>
        <v>0</v>
      </c>
      <c r="R7" s="52">
        <f>HYD!AF9</f>
        <v>0</v>
      </c>
      <c r="S7" s="52">
        <f>HYD!AG9</f>
        <v>0</v>
      </c>
      <c r="T7" s="52">
        <f>HYD!AH9</f>
        <v>0</v>
      </c>
      <c r="U7" s="52">
        <f>HYD!AI9</f>
        <v>0</v>
      </c>
      <c r="V7" s="52">
        <f>HYD!AJ9</f>
        <v>0</v>
      </c>
      <c r="W7" s="52">
        <f>HYD!AK9</f>
        <v>0</v>
      </c>
      <c r="X7" s="52">
        <f>HYD!AL9</f>
        <v>0</v>
      </c>
      <c r="Y7" s="53">
        <f>GSD!S9</f>
        <v>98.47</v>
      </c>
      <c r="Z7" s="53">
        <f>GSD!T9</f>
        <v>93.51</v>
      </c>
      <c r="AA7" s="53">
        <f>GSD!U9</f>
        <v>92.09</v>
      </c>
      <c r="AB7" s="53">
        <f>GSD!V9</f>
        <v>88.289999999999992</v>
      </c>
      <c r="AC7" s="53">
        <f>GSD!W9</f>
        <v>84.88</v>
      </c>
      <c r="AD7" s="53">
        <f>GSD!X9</f>
        <v>81.99</v>
      </c>
      <c r="AE7" s="53">
        <f>GSD!Y9</f>
        <v>67.2</v>
      </c>
      <c r="AF7" s="53">
        <f>GSD!Z9</f>
        <v>60.61</v>
      </c>
      <c r="AG7" s="53">
        <f>HYD!AM9</f>
        <v>0</v>
      </c>
      <c r="AH7" s="53">
        <f>HYD!AN9</f>
        <v>0</v>
      </c>
      <c r="AI7" s="53">
        <f>HYD!AO9</f>
        <v>0</v>
      </c>
      <c r="AJ7" s="53">
        <f>HYD!AP9</f>
        <v>0</v>
      </c>
      <c r="AK7" s="53">
        <f>HYD!AQ9</f>
        <v>0</v>
      </c>
      <c r="AL7" s="53">
        <f>HYD!AR9</f>
        <v>0</v>
      </c>
      <c r="AM7" s="53">
        <f>HYD!AS9</f>
        <v>0</v>
      </c>
      <c r="AN7" s="53">
        <f>HYD!AT9</f>
        <v>0</v>
      </c>
      <c r="AO7" s="53">
        <f>HYD!AU9</f>
        <v>0</v>
      </c>
      <c r="AP7" s="53">
        <f>HYD!AV9</f>
        <v>0</v>
      </c>
      <c r="AQ7" s="53">
        <f>HYD!AW9</f>
        <v>0</v>
      </c>
      <c r="AR7" s="53">
        <f>HYD!AX9</f>
        <v>0</v>
      </c>
      <c r="AS7" s="53">
        <f>HYD!AY9</f>
        <v>0</v>
      </c>
      <c r="AT7" s="53"/>
      <c r="AU7" s="53"/>
      <c r="AV7" s="53"/>
      <c r="AW7" s="53"/>
    </row>
    <row r="8" spans="1:49" s="41" customFormat="1" x14ac:dyDescent="0.25">
      <c r="A8" s="49">
        <v>6</v>
      </c>
      <c r="B8" s="49" t="str">
        <f t="shared" si="0"/>
        <v>SHBH-06</v>
      </c>
      <c r="C8" s="50">
        <f>GSD!F10</f>
        <v>7.5</v>
      </c>
      <c r="D8" s="51">
        <v>4.75</v>
      </c>
      <c r="E8" s="51">
        <v>2</v>
      </c>
      <c r="F8" s="51">
        <v>1.18</v>
      </c>
      <c r="G8" s="51">
        <v>0.6</v>
      </c>
      <c r="H8" s="51">
        <v>0.42499999999999999</v>
      </c>
      <c r="I8" s="51">
        <v>0.3</v>
      </c>
      <c r="J8" s="51">
        <v>0.15</v>
      </c>
      <c r="K8" s="51">
        <v>7.4999999999999997E-2</v>
      </c>
      <c r="L8" s="52">
        <f>HYD!Z10</f>
        <v>0</v>
      </c>
      <c r="M8" s="52">
        <f>HYD!AA10</f>
        <v>0</v>
      </c>
      <c r="N8" s="52">
        <f>HYD!AB10</f>
        <v>0</v>
      </c>
      <c r="O8" s="52">
        <f>HYD!AC10</f>
        <v>0</v>
      </c>
      <c r="P8" s="52">
        <f>HYD!AD10</f>
        <v>0</v>
      </c>
      <c r="Q8" s="52">
        <f>HYD!AE10</f>
        <v>0</v>
      </c>
      <c r="R8" s="52">
        <f>HYD!AF10</f>
        <v>0</v>
      </c>
      <c r="S8" s="52">
        <f>HYD!AG10</f>
        <v>0</v>
      </c>
      <c r="T8" s="52">
        <f>HYD!AH10</f>
        <v>0</v>
      </c>
      <c r="U8" s="52">
        <f>HYD!AI10</f>
        <v>0</v>
      </c>
      <c r="V8" s="52">
        <f>HYD!AJ10</f>
        <v>0</v>
      </c>
      <c r="W8" s="52">
        <f>HYD!AK10</f>
        <v>0</v>
      </c>
      <c r="X8" s="52">
        <f>HYD!AL10</f>
        <v>0</v>
      </c>
      <c r="Y8" s="53">
        <f>GSD!S10</f>
        <v>93.01</v>
      </c>
      <c r="Z8" s="53">
        <f>GSD!T10</f>
        <v>90.34</v>
      </c>
      <c r="AA8" s="53">
        <f>GSD!U10</f>
        <v>86.444999999999993</v>
      </c>
      <c r="AB8" s="53">
        <f>GSD!V10</f>
        <v>72.914999999999992</v>
      </c>
      <c r="AC8" s="53">
        <f>GSD!W10</f>
        <v>69.680000000000007</v>
      </c>
      <c r="AD8" s="53">
        <f>GSD!X10</f>
        <v>62.11</v>
      </c>
      <c r="AE8" s="53">
        <f>GSD!Y10</f>
        <v>48.55</v>
      </c>
      <c r="AF8" s="53">
        <f>GSD!Z10</f>
        <v>40.229999999999997</v>
      </c>
      <c r="AG8" s="53">
        <f>HYD!AM10</f>
        <v>0</v>
      </c>
      <c r="AH8" s="53">
        <f>HYD!AN10</f>
        <v>0</v>
      </c>
      <c r="AI8" s="53">
        <f>HYD!AO10</f>
        <v>0</v>
      </c>
      <c r="AJ8" s="53">
        <f>HYD!AP10</f>
        <v>0</v>
      </c>
      <c r="AK8" s="53">
        <f>HYD!AQ10</f>
        <v>0</v>
      </c>
      <c r="AL8" s="53">
        <f>HYD!AR10</f>
        <v>0</v>
      </c>
      <c r="AM8" s="53">
        <f>HYD!AS10</f>
        <v>0</v>
      </c>
      <c r="AN8" s="53">
        <f>HYD!AT10</f>
        <v>0</v>
      </c>
      <c r="AO8" s="53">
        <f>HYD!AU10</f>
        <v>0</v>
      </c>
      <c r="AP8" s="53">
        <f>HYD!AV10</f>
        <v>0</v>
      </c>
      <c r="AQ8" s="53">
        <f>HYD!AW10</f>
        <v>0</v>
      </c>
      <c r="AR8" s="53">
        <f>HYD!AX10</f>
        <v>0</v>
      </c>
      <c r="AS8" s="53">
        <f>HYD!AY10</f>
        <v>0</v>
      </c>
      <c r="AT8" s="53"/>
      <c r="AU8" s="53"/>
      <c r="AV8" s="53"/>
      <c r="AW8" s="53"/>
    </row>
    <row r="9" spans="1:49" s="41" customFormat="1" x14ac:dyDescent="0.25">
      <c r="A9" s="49">
        <v>7</v>
      </c>
      <c r="B9" s="49" t="str">
        <f t="shared" si="0"/>
        <v>SHBH-06</v>
      </c>
      <c r="C9" s="50">
        <f>GSD!F11</f>
        <v>10</v>
      </c>
      <c r="D9" s="51">
        <v>4.75</v>
      </c>
      <c r="E9" s="51">
        <v>2</v>
      </c>
      <c r="F9" s="51">
        <v>1.18</v>
      </c>
      <c r="G9" s="51">
        <v>0.6</v>
      </c>
      <c r="H9" s="51">
        <v>0.42499999999999999</v>
      </c>
      <c r="I9" s="51">
        <v>0.3</v>
      </c>
      <c r="J9" s="51">
        <v>0.15</v>
      </c>
      <c r="K9" s="51">
        <v>7.4999999999999997E-2</v>
      </c>
      <c r="L9" s="52">
        <f>HYD!Z11</f>
        <v>0</v>
      </c>
      <c r="M9" s="52">
        <f>HYD!AA11</f>
        <v>0</v>
      </c>
      <c r="N9" s="52">
        <f>HYD!AB11</f>
        <v>0</v>
      </c>
      <c r="O9" s="52">
        <f>HYD!AC11</f>
        <v>0</v>
      </c>
      <c r="P9" s="52">
        <f>HYD!AD11</f>
        <v>0</v>
      </c>
      <c r="Q9" s="52">
        <f>HYD!AE11</f>
        <v>0</v>
      </c>
      <c r="R9" s="52">
        <f>HYD!AF11</f>
        <v>0</v>
      </c>
      <c r="S9" s="52">
        <f>HYD!AG11</f>
        <v>0</v>
      </c>
      <c r="T9" s="52">
        <f>HYD!AH11</f>
        <v>0</v>
      </c>
      <c r="U9" s="52">
        <f>HYD!AI11</f>
        <v>0</v>
      </c>
      <c r="V9" s="52">
        <f>HYD!AJ11</f>
        <v>0</v>
      </c>
      <c r="W9" s="52">
        <f>HYD!AK11</f>
        <v>0</v>
      </c>
      <c r="X9" s="52">
        <f>HYD!AL11</f>
        <v>0</v>
      </c>
      <c r="Y9" s="53">
        <f>GSD!S11</f>
        <v>100</v>
      </c>
      <c r="Z9" s="53">
        <f>GSD!T11</f>
        <v>99.23</v>
      </c>
      <c r="AA9" s="53">
        <f>GSD!U11</f>
        <v>99.14</v>
      </c>
      <c r="AB9" s="53">
        <f>GSD!V11</f>
        <v>96.17</v>
      </c>
      <c r="AC9" s="53">
        <f>GSD!W11</f>
        <v>80.47</v>
      </c>
      <c r="AD9" s="53">
        <f>GSD!X11</f>
        <v>64.13</v>
      </c>
      <c r="AE9" s="53">
        <f>GSD!Y11</f>
        <v>24.299999999999997</v>
      </c>
      <c r="AF9" s="53">
        <f>GSD!Z11</f>
        <v>20.599999999999994</v>
      </c>
      <c r="AG9" s="53">
        <f>HYD!AM11</f>
        <v>0</v>
      </c>
      <c r="AH9" s="53">
        <f>HYD!AN11</f>
        <v>0</v>
      </c>
      <c r="AI9" s="53">
        <f>HYD!AO11</f>
        <v>0</v>
      </c>
      <c r="AJ9" s="53">
        <f>HYD!AP11</f>
        <v>0</v>
      </c>
      <c r="AK9" s="53">
        <f>HYD!AQ11</f>
        <v>0</v>
      </c>
      <c r="AL9" s="53">
        <f>HYD!AR11</f>
        <v>0</v>
      </c>
      <c r="AM9" s="53">
        <f>HYD!AS11</f>
        <v>0</v>
      </c>
      <c r="AN9" s="53">
        <f>HYD!AT11</f>
        <v>0</v>
      </c>
      <c r="AO9" s="53">
        <f>HYD!AU11</f>
        <v>0</v>
      </c>
      <c r="AP9" s="53">
        <f>HYD!AV11</f>
        <v>0</v>
      </c>
      <c r="AQ9" s="53">
        <f>HYD!AW11</f>
        <v>0</v>
      </c>
      <c r="AR9" s="53">
        <f>HYD!AX11</f>
        <v>0</v>
      </c>
      <c r="AS9" s="53">
        <f>HYD!AY11</f>
        <v>0</v>
      </c>
      <c r="AT9" s="55"/>
      <c r="AU9" s="55"/>
      <c r="AV9" s="55"/>
      <c r="AW9" s="55"/>
    </row>
    <row r="10" spans="1:49" s="41" customFormat="1" x14ac:dyDescent="0.25">
      <c r="A10" s="49"/>
      <c r="B10" s="49"/>
      <c r="C10" s="50"/>
      <c r="D10" s="51"/>
      <c r="E10" s="51"/>
      <c r="F10" s="51"/>
      <c r="G10" s="51"/>
      <c r="H10" s="51"/>
      <c r="I10" s="51"/>
      <c r="J10" s="51"/>
      <c r="K10" s="51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5"/>
      <c r="AU10" s="55"/>
      <c r="AV10" s="55"/>
      <c r="AW10" s="55"/>
    </row>
    <row r="11" spans="1:49" s="41" customFormat="1" x14ac:dyDescent="0.25">
      <c r="A11" s="49"/>
      <c r="B11" s="49"/>
      <c r="C11" s="50"/>
      <c r="D11" s="51"/>
      <c r="E11" s="51"/>
      <c r="F11" s="51"/>
      <c r="G11" s="51"/>
      <c r="H11" s="51"/>
      <c r="I11" s="51"/>
      <c r="J11" s="51"/>
      <c r="K11" s="51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5"/>
      <c r="AU11" s="55"/>
      <c r="AV11" s="55"/>
      <c r="AW11" s="55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2026-09-17T12:53:21Z</dcterms:modified>
</cp:coreProperties>
</file>