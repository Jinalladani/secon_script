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2\6. Nala_30.828km (NBH-02)\GSD &amp; HYD_TEST\"/>
    </mc:Choice>
  </mc:AlternateContent>
  <xr:revisionPtr revIDLastSave="0" documentId="13_ncr:1_{C3DED96F-3834-4EF0-8771-934BEDDE5700}" xr6:coauthVersionLast="47" xr6:coauthVersionMax="47" xr10:uidLastSave="{00000000-0000-0000-0000-000000000000}"/>
  <bookViews>
    <workbookView xWindow="-108" yWindow="-108" windowWidth="23256" windowHeight="13896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1" i="6" l="1"/>
  <c r="I6" i="7"/>
  <c r="I7" i="7"/>
  <c r="I8" i="7"/>
  <c r="I9" i="7"/>
  <c r="I10" i="7"/>
  <c r="I11" i="7"/>
  <c r="I12" i="7"/>
  <c r="I13" i="7"/>
  <c r="I5" i="7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<sst xmlns="http://schemas.openxmlformats.org/spreadsheetml/2006/main" count="73" uniqueCount="50">
  <si>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</si>
  <si>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</si>
  <si>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</si>
  <si>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</si>
  <si>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</si>
  <si>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</si>
  <si>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</si>
  <si>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</si>
  <si>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</si>
  <si>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</si>
  <si>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</si>
  <si>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</si>
  <si>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</si>
  <si>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</si>
  <si>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</si>
  <si>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</si>
  <si>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</si>
  <si>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</si>
  <si>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</si>
  <si>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</si>
  <si>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</si>
  <si>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</si>
  <si>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</si>
  <si>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</si>
  <si>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</si>
  <si>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</si>
  <si>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</si>
  <si>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</si>
  <si>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</si>
  <si>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</si>
  <si>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</si>
  <si>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</si>
  <si>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</si>
  <si>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</si>
  <si>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</si>
  <si>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</si>
  <si>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</si>
  <si>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</si>
  <si>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</si>
  <si>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</si>
  <si>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</si>
  <si>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</si>
  <si>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</si>
  <si>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</si>
  <si>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</si>
  <si>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</si>
  <si>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</si>
  <si>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</si>
  <si>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</si>
  <si>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NBH-02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</si>
</sst>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6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166" fontId="11" fillId="0" borderId="1" xfId="0" applyNumberFormat="1" applyFont="1" applyBorder="1" applyAlignment="1">
      <alignment horizontal="center" vertical="center"/>
    </xf>
    <xf numFmtId="2" fontId="3" fillId="0" borderId="1" xfId="1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34.120000000000005</c:v>
                </c:pt>
                <c:pt idx="1">
                  <c:v>25.570000000000011</c:v>
                </c:pt>
                <c:pt idx="2">
                  <c:v>21.140000000000015</c:v>
                </c:pt>
                <c:pt idx="3">
                  <c:v>18.620000000000019</c:v>
                </c:pt>
                <c:pt idx="4">
                  <c:v>18.090000000000018</c:v>
                </c:pt>
                <c:pt idx="5">
                  <c:v>16.670000000000016</c:v>
                </c:pt>
                <c:pt idx="6">
                  <c:v>13.94000000000001</c:v>
                </c:pt>
                <c:pt idx="7">
                  <c:v>12.700000000000017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95.27</c:v>
                </c:pt>
                <c:pt idx="1">
                  <c:v>86.81</c:v>
                </c:pt>
                <c:pt idx="2">
                  <c:v>73.5</c:v>
                </c:pt>
                <c:pt idx="3">
                  <c:v>64.73</c:v>
                </c:pt>
                <c:pt idx="4">
                  <c:v>62.760000000000005</c:v>
                </c:pt>
                <c:pt idx="5">
                  <c:v>58.17</c:v>
                </c:pt>
                <c:pt idx="6">
                  <c:v>51.95000000000001</c:v>
                </c:pt>
                <c:pt idx="7">
                  <c:v>49.830000000000005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94.49</c:v>
                </c:pt>
                <c:pt idx="1">
                  <c:v>87.16</c:v>
                </c:pt>
                <c:pt idx="2">
                  <c:v>75.61</c:v>
                </c:pt>
                <c:pt idx="3">
                  <c:v>67.47</c:v>
                </c:pt>
                <c:pt idx="4">
                  <c:v>65.75</c:v>
                </c:pt>
                <c:pt idx="5">
                  <c:v>62.02000000000001</c:v>
                </c:pt>
                <c:pt idx="6">
                  <c:v>56.870000000000012</c:v>
                </c:pt>
                <c:pt idx="7">
                  <c:v>54.890000000000008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86.37</c:v>
                </c:pt>
                <c:pt idx="1">
                  <c:v>78.77</c:v>
                </c:pt>
                <c:pt idx="2">
                  <c:v>66.960000000000008</c:v>
                </c:pt>
                <c:pt idx="3">
                  <c:v>58.45</c:v>
                </c:pt>
                <c:pt idx="4">
                  <c:v>56.600000000000009</c:v>
                </c:pt>
                <c:pt idx="5">
                  <c:v>52.579999999999991</c:v>
                </c:pt>
                <c:pt idx="6">
                  <c:v>47.129999999999995</c:v>
                </c:pt>
                <c:pt idx="7">
                  <c:v>45.419999999999995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8.00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89.57</c:v>
                </c:pt>
                <c:pt idx="1">
                  <c:v>80.509999999999991</c:v>
                </c:pt>
                <c:pt idx="2">
                  <c:v>69.180000000000007</c:v>
                </c:pt>
                <c:pt idx="3">
                  <c:v>62.43</c:v>
                </c:pt>
                <c:pt idx="4">
                  <c:v>60.94</c:v>
                </c:pt>
                <c:pt idx="5">
                  <c:v>57.830000000000005</c:v>
                </c:pt>
                <c:pt idx="6">
                  <c:v>54.24</c:v>
                </c:pt>
                <c:pt idx="7">
                  <c:v>53.36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93.77</c:v>
                </c:pt>
                <c:pt idx="1">
                  <c:v>86.14</c:v>
                </c:pt>
                <c:pt idx="2">
                  <c:v>76.55</c:v>
                </c:pt>
                <c:pt idx="3">
                  <c:v>70.210000000000008</c:v>
                </c:pt>
                <c:pt idx="4">
                  <c:v>68.8</c:v>
                </c:pt>
                <c:pt idx="5">
                  <c:v>65.88</c:v>
                </c:pt>
                <c:pt idx="6">
                  <c:v>61.730000000000004</c:v>
                </c:pt>
                <c:pt idx="7">
                  <c:v>60.08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11.00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88.89</c:v>
                </c:pt>
                <c:pt idx="1">
                  <c:v>78.52000000000001</c:v>
                </c:pt>
                <c:pt idx="2">
                  <c:v>66.599999999999994</c:v>
                </c:pt>
                <c:pt idx="3">
                  <c:v>58.36</c:v>
                </c:pt>
                <c:pt idx="4">
                  <c:v>56.509999999999991</c:v>
                </c:pt>
                <c:pt idx="5">
                  <c:v>51.92</c:v>
                </c:pt>
                <c:pt idx="6">
                  <c:v>44.86</c:v>
                </c:pt>
                <c:pt idx="7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91.77</c:v>
                </c:pt>
                <c:pt idx="1">
                  <c:v>81.72</c:v>
                </c:pt>
                <c:pt idx="2">
                  <c:v>78.289999999999992</c:v>
                </c:pt>
                <c:pt idx="3">
                  <c:v>73.150000000000006</c:v>
                </c:pt>
                <c:pt idx="4">
                  <c:v>69.78</c:v>
                </c:pt>
                <c:pt idx="5">
                  <c:v>67.85499999999999</c:v>
                </c:pt>
                <c:pt idx="6">
                  <c:v>63.615000000000002</c:v>
                </c:pt>
                <c:pt idx="7">
                  <c:v>62.714999999999996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71.37</c:v>
                </c:pt>
                <c:pt idx="1">
                  <c:v>63.149999999999991</c:v>
                </c:pt>
                <c:pt idx="2">
                  <c:v>56.42</c:v>
                </c:pt>
                <c:pt idx="3">
                  <c:v>52.81</c:v>
                </c:pt>
                <c:pt idx="4">
                  <c:v>52.11</c:v>
                </c:pt>
                <c:pt idx="5">
                  <c:v>50.49</c:v>
                </c:pt>
                <c:pt idx="6">
                  <c:v>47.650000000000006</c:v>
                </c:pt>
                <c:pt idx="7">
                  <c:v>45.790000000000006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34.120000000000005</c:v>
                </c:pt>
                <c:pt idx="1">
                  <c:v>25.570000000000011</c:v>
                </c:pt>
                <c:pt idx="2">
                  <c:v>21.140000000000015</c:v>
                </c:pt>
                <c:pt idx="3">
                  <c:v>18.620000000000019</c:v>
                </c:pt>
                <c:pt idx="4">
                  <c:v>18.090000000000018</c:v>
                </c:pt>
                <c:pt idx="5">
                  <c:v>16.670000000000016</c:v>
                </c:pt>
                <c:pt idx="6">
                  <c:v>13.94000000000001</c:v>
                </c:pt>
                <c:pt idx="7">
                  <c:v>12.700000000000017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95.27</c:v>
                </c:pt>
                <c:pt idx="1">
                  <c:v>86.81</c:v>
                </c:pt>
                <c:pt idx="2">
                  <c:v>73.5</c:v>
                </c:pt>
                <c:pt idx="3">
                  <c:v>64.73</c:v>
                </c:pt>
                <c:pt idx="4">
                  <c:v>62.760000000000005</c:v>
                </c:pt>
                <c:pt idx="5">
                  <c:v>58.17</c:v>
                </c:pt>
                <c:pt idx="6">
                  <c:v>51.95000000000001</c:v>
                </c:pt>
                <c:pt idx="7">
                  <c:v>49.830000000000005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94.49</c:v>
                </c:pt>
                <c:pt idx="1">
                  <c:v>87.16</c:v>
                </c:pt>
                <c:pt idx="2">
                  <c:v>75.61</c:v>
                </c:pt>
                <c:pt idx="3">
                  <c:v>67.47</c:v>
                </c:pt>
                <c:pt idx="4">
                  <c:v>65.75</c:v>
                </c:pt>
                <c:pt idx="5">
                  <c:v>62.02000000000001</c:v>
                </c:pt>
                <c:pt idx="6">
                  <c:v>56.870000000000012</c:v>
                </c:pt>
                <c:pt idx="7">
                  <c:v>54.890000000000008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86.37</c:v>
                </c:pt>
                <c:pt idx="1">
                  <c:v>78.77</c:v>
                </c:pt>
                <c:pt idx="2">
                  <c:v>66.960000000000008</c:v>
                </c:pt>
                <c:pt idx="3">
                  <c:v>58.45</c:v>
                </c:pt>
                <c:pt idx="4">
                  <c:v>56.600000000000009</c:v>
                </c:pt>
                <c:pt idx="5">
                  <c:v>52.579999999999991</c:v>
                </c:pt>
                <c:pt idx="6">
                  <c:v>47.129999999999995</c:v>
                </c:pt>
                <c:pt idx="7">
                  <c:v>45.419999999999995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8.00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89.57</c:v>
                </c:pt>
                <c:pt idx="1">
                  <c:v>80.509999999999991</c:v>
                </c:pt>
                <c:pt idx="2">
                  <c:v>69.180000000000007</c:v>
                </c:pt>
                <c:pt idx="3">
                  <c:v>62.43</c:v>
                </c:pt>
                <c:pt idx="4">
                  <c:v>60.94</c:v>
                </c:pt>
                <c:pt idx="5">
                  <c:v>57.830000000000005</c:v>
                </c:pt>
                <c:pt idx="6">
                  <c:v>54.24</c:v>
                </c:pt>
                <c:pt idx="7">
                  <c:v>53.36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93.77</c:v>
                </c:pt>
                <c:pt idx="1">
                  <c:v>86.14</c:v>
                </c:pt>
                <c:pt idx="2">
                  <c:v>76.55</c:v>
                </c:pt>
                <c:pt idx="3">
                  <c:v>70.210000000000008</c:v>
                </c:pt>
                <c:pt idx="4">
                  <c:v>68.8</c:v>
                </c:pt>
                <c:pt idx="5">
                  <c:v>65.88</c:v>
                </c:pt>
                <c:pt idx="6">
                  <c:v>61.730000000000004</c:v>
                </c:pt>
                <c:pt idx="7">
                  <c:v>60.08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11.00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88.89</c:v>
                </c:pt>
                <c:pt idx="1">
                  <c:v>78.52000000000001</c:v>
                </c:pt>
                <c:pt idx="2">
                  <c:v>66.599999999999994</c:v>
                </c:pt>
                <c:pt idx="3">
                  <c:v>58.36</c:v>
                </c:pt>
                <c:pt idx="4">
                  <c:v>56.509999999999991</c:v>
                </c:pt>
                <c:pt idx="5">
                  <c:v>51.92</c:v>
                </c:pt>
                <c:pt idx="6">
                  <c:v>44.86</c:v>
                </c:pt>
                <c:pt idx="7">
                  <c:v>42.3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91.77</c:v>
                </c:pt>
                <c:pt idx="1">
                  <c:v>81.72</c:v>
                </c:pt>
                <c:pt idx="2">
                  <c:v>78.289999999999992</c:v>
                </c:pt>
                <c:pt idx="3">
                  <c:v>73.150000000000006</c:v>
                </c:pt>
                <c:pt idx="4">
                  <c:v>69.78</c:v>
                </c:pt>
                <c:pt idx="5">
                  <c:v>67.85499999999999</c:v>
                </c:pt>
                <c:pt idx="6">
                  <c:v>63.615000000000002</c:v>
                </c:pt>
                <c:pt idx="7">
                  <c:v>62.714999999999996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71.37</c:v>
                </c:pt>
                <c:pt idx="1">
                  <c:v>63.149999999999991</c:v>
                </c:pt>
                <c:pt idx="2">
                  <c:v>56.42</c:v>
                </c:pt>
                <c:pt idx="3">
                  <c:v>52.81</c:v>
                </c:pt>
                <c:pt idx="4">
                  <c:v>52.11</c:v>
                </c:pt>
                <c:pt idx="5">
                  <c:v>50.49</c:v>
                </c:pt>
                <c:pt idx="6">
                  <c:v>47.650000000000006</c:v>
                </c:pt>
                <c:pt idx="7">
                  <c:v>45.790000000000006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95" zoomScaleNormal="85" zoomScaleSheetLayoutView="95" zoomScalePageLayoutView="85" workbookViewId="0">
      <selection activeCell="G7" sqref="G7"/>
    </sheetView>
  </sheetViews>
  <sheetFormatPr defaultColWidth="9" defaultRowHeight="14.4" x14ac:dyDescent="0.3"/>
  <cols>
    <col min="1" max="1" width="6.5546875" style="1" customWidth="1"/>
    <col min="2" max="2" width="4.88671875" style="1" customWidth="1"/>
    <col min="3" max="4" width="5.5546875" style="1" customWidth="1"/>
    <col min="5" max="5" width="7.6640625" style="1" customWidth="1"/>
    <col min="6" max="6" width="7.6640625" style="12" customWidth="1"/>
    <col min="7" max="7" width="9.6640625" style="1" customWidth="1"/>
    <col min="8" max="8" width="11.33203125" style="1" customWidth="1"/>
    <col min="9" max="9" width="13" style="1" customWidth="1"/>
    <col min="10" max="18" width="7.6640625" style="1" customWidth="1"/>
    <col min="19" max="26" width="9" style="1" customWidth="1"/>
    <col min="27" max="16384" width="9" style="1"/>
  </cols>
  <sheetData>
    <row r="1" spans="1:29" ht="25.2" customHeight="1" x14ac:dyDescent="0.3">
      <c r="A1" s="43" t="s">
        <v>3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29" ht="24.6" customHeight="1" x14ac:dyDescent="0.3">
      <c r="A2" s="44" t="s">
        <v>4</v>
      </c>
      <c r="B2" s="47" t="s">
        <v>5</v>
      </c>
      <c r="C2" s="47" t="s">
        <v>6</v>
      </c>
      <c r="D2" s="47" t="s">
        <v>7</v>
      </c>
      <c r="E2" s="50" t="s">
        <v>8</v>
      </c>
      <c r="F2" s="50" t="s">
        <v>9</v>
      </c>
      <c r="G2" s="50" t="s">
        <v>10</v>
      </c>
      <c r="H2" s="50" t="s">
        <v>11</v>
      </c>
      <c r="I2" s="51" t="s">
        <v>12</v>
      </c>
      <c r="J2" s="54" t="s">
        <v>13</v>
      </c>
      <c r="K2" s="54"/>
      <c r="L2" s="54"/>
      <c r="M2" s="54"/>
      <c r="N2" s="54"/>
      <c r="O2" s="54"/>
      <c r="P2" s="54"/>
      <c r="Q2" s="54"/>
      <c r="R2" s="54"/>
      <c r="S2" s="54" t="s">
        <v>0</v>
      </c>
      <c r="T2" s="54"/>
      <c r="U2" s="54"/>
      <c r="V2" s="54"/>
      <c r="W2" s="54"/>
      <c r="X2" s="54"/>
      <c r="Y2" s="54"/>
      <c r="Z2" s="54"/>
      <c r="AA2" s="53" t="s">
        <v>14</v>
      </c>
      <c r="AB2" s="53" t="s">
        <v>15</v>
      </c>
      <c r="AC2" s="53" t="s">
        <v>16</v>
      </c>
    </row>
    <row r="3" spans="1:29" ht="40.5" customHeight="1" x14ac:dyDescent="0.3">
      <c r="A3" s="45"/>
      <c r="B3" s="48"/>
      <c r="C3" s="48"/>
      <c r="D3" s="48"/>
      <c r="E3" s="50"/>
      <c r="F3" s="50"/>
      <c r="G3" s="50"/>
      <c r="H3" s="50"/>
      <c r="I3" s="52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3"/>
      <c r="AB3" s="53"/>
      <c r="AC3" s="53"/>
    </row>
    <row r="4" spans="1:29" ht="21.6" customHeight="1" x14ac:dyDescent="0.3">
      <c r="A4" s="46"/>
      <c r="B4" s="49"/>
      <c r="C4" s="49"/>
      <c r="D4" s="49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4" t="s">
        <v>20</v>
      </c>
      <c r="K4" s="54"/>
      <c r="L4" s="54"/>
      <c r="M4" s="54"/>
      <c r="N4" s="54"/>
      <c r="O4" s="54"/>
      <c r="P4" s="54"/>
      <c r="Q4" s="54"/>
      <c r="R4" s="54"/>
      <c r="S4" s="54" t="s">
        <v>20</v>
      </c>
      <c r="T4" s="54"/>
      <c r="U4" s="54"/>
      <c r="V4" s="54"/>
      <c r="W4" s="54"/>
      <c r="X4" s="54"/>
      <c r="Y4" s="54"/>
      <c r="Z4" s="54"/>
      <c r="AA4" s="55" t="s">
        <v>21</v>
      </c>
      <c r="AB4" s="56"/>
      <c r="AC4" s="56"/>
    </row>
    <row r="5" spans="1:29" ht="30" customHeight="1" x14ac:dyDescent="0.3">
      <c r="A5" s="9">
        <v>1</v>
      </c>
      <c r="B5" s="57" t="s">
        <v>49</v>
      </c>
      <c r="C5" s="57"/>
      <c r="D5" s="58"/>
      <c r="E5" s="37" t="s">
        <v>22</v>
      </c>
      <c r="F5" s="24">
        <v>0.5</v>
      </c>
      <c r="G5" s="37"/>
      <c r="H5" s="33">
        <v>100</v>
      </c>
      <c r="I5" s="24">
        <f>H5-SUM(J5:Q5)</f>
        <v>12.700000000000017</v>
      </c>
      <c r="J5" s="24">
        <v>65.88</v>
      </c>
      <c r="K5" s="24">
        <v>8.5500000000000007</v>
      </c>
      <c r="L5" s="24">
        <v>4.43</v>
      </c>
      <c r="M5" s="24">
        <v>2.52</v>
      </c>
      <c r="N5" s="24">
        <v>0.53</v>
      </c>
      <c r="O5" s="24">
        <v>1.42</v>
      </c>
      <c r="P5" s="24">
        <v>2.73</v>
      </c>
      <c r="Q5" s="24">
        <v>1.24</v>
      </c>
      <c r="R5" s="10"/>
      <c r="S5" s="11">
        <f t="shared" ref="S5:S13" si="0">((H5-(SUM(J5)))/H5)*100</f>
        <v>34.120000000000005</v>
      </c>
      <c r="T5" s="11">
        <f t="shared" ref="T5:T13" si="1">((H5-(SUM(J5:K5)))/H5)*100</f>
        <v>25.570000000000011</v>
      </c>
      <c r="U5" s="11">
        <f t="shared" ref="U5:U13" si="2">((H5-(SUM(J5:L5)))/H5)*100</f>
        <v>21.140000000000015</v>
      </c>
      <c r="V5" s="11">
        <f t="shared" ref="V5:V13" si="3">((H5-(SUM(J5:M5)))/H5)*100</f>
        <v>18.620000000000019</v>
      </c>
      <c r="W5" s="11">
        <f t="shared" ref="W5:W13" si="4">((H5-(SUM(J5:N5)))/H5)*100</f>
        <v>18.090000000000018</v>
      </c>
      <c r="X5" s="11">
        <f t="shared" ref="X5:X13" si="5">((H5-(SUM(J5:O5)))/H5)*100</f>
        <v>16.670000000000016</v>
      </c>
      <c r="Y5" s="11">
        <f t="shared" ref="Y5:Y13" si="6">((H5-(SUM(J5:P5)))/H5)*100</f>
        <v>13.94000000000001</v>
      </c>
      <c r="Z5" s="11">
        <f t="shared" ref="Z5:Z13" si="7">((H5-(SUM(J5:Q5)))/H5)*100</f>
        <v>12.700000000000017</v>
      </c>
      <c r="AA5" s="11">
        <f t="shared" ref="AA5:AA13" si="8">100-S5</f>
        <v>65.88</v>
      </c>
      <c r="AB5" s="11">
        <f t="shared" ref="AB5:AB13" si="9">S5-Z5</f>
        <v>21.419999999999987</v>
      </c>
      <c r="AC5" s="11">
        <f t="shared" ref="AC5:AC13" si="10">Z5</f>
        <v>12.700000000000017</v>
      </c>
    </row>
    <row r="6" spans="1:29" ht="30" customHeight="1" x14ac:dyDescent="0.3">
      <c r="A6" s="9">
        <v>2</v>
      </c>
      <c r="B6" s="57"/>
      <c r="C6" s="57"/>
      <c r="D6" s="58"/>
      <c r="E6" s="37" t="s">
        <v>48</v>
      </c>
      <c r="F6" s="75">
        <v>1.5</v>
      </c>
      <c r="G6" s="37"/>
      <c r="H6" s="33">
        <v>100</v>
      </c>
      <c r="I6" s="24">
        <f t="shared" ref="I6:I13" si="11">H6-SUM(J6:Q6)</f>
        <v>49.830000000000005</v>
      </c>
      <c r="J6" s="24">
        <v>4.7300000000000004</v>
      </c>
      <c r="K6" s="24">
        <v>8.4600000000000009</v>
      </c>
      <c r="L6" s="24">
        <v>13.31</v>
      </c>
      <c r="M6" s="24">
        <v>8.77</v>
      </c>
      <c r="N6" s="24">
        <v>1.97</v>
      </c>
      <c r="O6" s="24">
        <v>4.59</v>
      </c>
      <c r="P6" s="24">
        <v>6.22</v>
      </c>
      <c r="Q6" s="24">
        <v>2.12</v>
      </c>
      <c r="R6" s="10"/>
      <c r="S6" s="11">
        <f t="shared" si="0"/>
        <v>95.27</v>
      </c>
      <c r="T6" s="11">
        <f t="shared" si="1"/>
        <v>86.81</v>
      </c>
      <c r="U6" s="11">
        <f t="shared" si="2"/>
        <v>73.5</v>
      </c>
      <c r="V6" s="11">
        <f t="shared" si="3"/>
        <v>64.73</v>
      </c>
      <c r="W6" s="11">
        <f t="shared" si="4"/>
        <v>62.760000000000005</v>
      </c>
      <c r="X6" s="11">
        <f t="shared" si="5"/>
        <v>58.17</v>
      </c>
      <c r="Y6" s="11">
        <f t="shared" si="6"/>
        <v>51.95000000000001</v>
      </c>
      <c r="Z6" s="11">
        <f t="shared" si="7"/>
        <v>49.830000000000005</v>
      </c>
      <c r="AA6" s="11">
        <f t="shared" si="8"/>
        <v>4.730000000000004</v>
      </c>
      <c r="AB6" s="11">
        <f t="shared" si="9"/>
        <v>45.439999999999991</v>
      </c>
      <c r="AC6" s="11">
        <f t="shared" si="10"/>
        <v>49.830000000000005</v>
      </c>
    </row>
    <row r="7" spans="1:29" ht="30" customHeight="1" x14ac:dyDescent="0.3">
      <c r="A7" s="9">
        <v>3</v>
      </c>
      <c r="B7" s="57"/>
      <c r="C7" s="57"/>
      <c r="D7" s="58"/>
      <c r="E7" s="37" t="s">
        <v>22</v>
      </c>
      <c r="F7" s="24">
        <v>3.5</v>
      </c>
      <c r="G7" s="37"/>
      <c r="H7" s="33">
        <v>100</v>
      </c>
      <c r="I7" s="24">
        <f t="shared" si="11"/>
        <v>54.890000000000008</v>
      </c>
      <c r="J7" s="24">
        <v>5.51</v>
      </c>
      <c r="K7" s="24">
        <v>7.33</v>
      </c>
      <c r="L7" s="24">
        <v>11.55</v>
      </c>
      <c r="M7" s="24">
        <v>8.14</v>
      </c>
      <c r="N7" s="24">
        <v>1.72</v>
      </c>
      <c r="O7" s="24">
        <v>3.73</v>
      </c>
      <c r="P7" s="24">
        <v>5.15</v>
      </c>
      <c r="Q7" s="24">
        <v>1.98</v>
      </c>
      <c r="R7" s="10"/>
      <c r="S7" s="11">
        <f t="shared" si="0"/>
        <v>94.49</v>
      </c>
      <c r="T7" s="11">
        <f t="shared" si="1"/>
        <v>87.16</v>
      </c>
      <c r="U7" s="11">
        <f t="shared" si="2"/>
        <v>75.61</v>
      </c>
      <c r="V7" s="11">
        <f t="shared" si="3"/>
        <v>67.47</v>
      </c>
      <c r="W7" s="11">
        <f t="shared" si="4"/>
        <v>65.75</v>
      </c>
      <c r="X7" s="11">
        <f t="shared" si="5"/>
        <v>62.02000000000001</v>
      </c>
      <c r="Y7" s="11">
        <f t="shared" si="6"/>
        <v>56.870000000000012</v>
      </c>
      <c r="Z7" s="11">
        <f t="shared" si="7"/>
        <v>54.890000000000008</v>
      </c>
      <c r="AA7" s="11">
        <f t="shared" si="8"/>
        <v>5.5100000000000051</v>
      </c>
      <c r="AB7" s="11">
        <f t="shared" si="9"/>
        <v>39.599999999999987</v>
      </c>
      <c r="AC7" s="11">
        <f t="shared" si="10"/>
        <v>54.890000000000008</v>
      </c>
    </row>
    <row r="8" spans="1:29" ht="30" customHeight="1" x14ac:dyDescent="0.3">
      <c r="A8" s="9">
        <v>4</v>
      </c>
      <c r="B8" s="57"/>
      <c r="C8" s="57"/>
      <c r="D8" s="58"/>
      <c r="E8" s="37" t="s">
        <v>22</v>
      </c>
      <c r="F8" s="24">
        <v>6.5</v>
      </c>
      <c r="G8" s="37"/>
      <c r="H8" s="33">
        <v>100</v>
      </c>
      <c r="I8" s="24">
        <f t="shared" si="11"/>
        <v>45.419999999999995</v>
      </c>
      <c r="J8" s="24">
        <v>13.63</v>
      </c>
      <c r="K8" s="24">
        <v>7.6</v>
      </c>
      <c r="L8" s="24">
        <v>11.81</v>
      </c>
      <c r="M8" s="24">
        <v>8.51</v>
      </c>
      <c r="N8" s="24">
        <v>1.85</v>
      </c>
      <c r="O8" s="24">
        <v>4.0199999999999996</v>
      </c>
      <c r="P8" s="24">
        <v>5.45</v>
      </c>
      <c r="Q8" s="24">
        <v>1.71</v>
      </c>
      <c r="R8" s="10"/>
      <c r="S8" s="11">
        <f t="shared" si="0"/>
        <v>86.37</v>
      </c>
      <c r="T8" s="11">
        <f t="shared" si="1"/>
        <v>78.77</v>
      </c>
      <c r="U8" s="11">
        <f t="shared" si="2"/>
        <v>66.960000000000008</v>
      </c>
      <c r="V8" s="11">
        <f t="shared" si="3"/>
        <v>58.45</v>
      </c>
      <c r="W8" s="11">
        <f t="shared" si="4"/>
        <v>56.600000000000009</v>
      </c>
      <c r="X8" s="11">
        <f t="shared" si="5"/>
        <v>52.579999999999991</v>
      </c>
      <c r="Y8" s="11">
        <f t="shared" si="6"/>
        <v>47.129999999999995</v>
      </c>
      <c r="Z8" s="11">
        <f t="shared" si="7"/>
        <v>45.419999999999995</v>
      </c>
      <c r="AA8" s="11">
        <f t="shared" si="8"/>
        <v>13.629999999999995</v>
      </c>
      <c r="AB8" s="11">
        <f t="shared" si="9"/>
        <v>40.95000000000001</v>
      </c>
      <c r="AC8" s="11">
        <f t="shared" si="10"/>
        <v>45.419999999999995</v>
      </c>
    </row>
    <row r="9" spans="1:29" ht="30" customHeight="1" x14ac:dyDescent="0.3">
      <c r="A9" s="9">
        <v>5</v>
      </c>
      <c r="B9" s="57"/>
      <c r="C9" s="57"/>
      <c r="D9" s="58"/>
      <c r="E9" s="37" t="s">
        <v>22</v>
      </c>
      <c r="F9" s="24">
        <v>8</v>
      </c>
      <c r="G9" s="37"/>
      <c r="H9" s="33">
        <v>100</v>
      </c>
      <c r="I9" s="24">
        <f t="shared" si="11"/>
        <v>53.359999999999992</v>
      </c>
      <c r="J9" s="24">
        <v>10.43</v>
      </c>
      <c r="K9" s="24">
        <v>9.06</v>
      </c>
      <c r="L9" s="24">
        <v>11.33</v>
      </c>
      <c r="M9" s="24">
        <v>6.75</v>
      </c>
      <c r="N9" s="24">
        <v>1.49</v>
      </c>
      <c r="O9" s="24">
        <v>3.11</v>
      </c>
      <c r="P9" s="24">
        <v>3.59</v>
      </c>
      <c r="Q9" s="24">
        <v>0.88</v>
      </c>
      <c r="R9" s="10"/>
      <c r="S9" s="11">
        <f t="shared" si="0"/>
        <v>89.57</v>
      </c>
      <c r="T9" s="11">
        <f t="shared" si="1"/>
        <v>80.509999999999991</v>
      </c>
      <c r="U9" s="11">
        <f t="shared" si="2"/>
        <v>69.180000000000007</v>
      </c>
      <c r="V9" s="11">
        <f t="shared" si="3"/>
        <v>62.43</v>
      </c>
      <c r="W9" s="11">
        <f t="shared" si="4"/>
        <v>60.94</v>
      </c>
      <c r="X9" s="11">
        <f>((H9-(SUM(J9:O9)))/H9)*100</f>
        <v>57.830000000000005</v>
      </c>
      <c r="Y9" s="11">
        <f t="shared" si="6"/>
        <v>54.24</v>
      </c>
      <c r="Z9" s="11">
        <f t="shared" si="7"/>
        <v>53.36</v>
      </c>
      <c r="AA9" s="11">
        <f t="shared" si="8"/>
        <v>10.430000000000007</v>
      </c>
      <c r="AB9" s="11">
        <f t="shared" si="9"/>
        <v>36.209999999999994</v>
      </c>
      <c r="AC9" s="11">
        <f t="shared" si="10"/>
        <v>53.36</v>
      </c>
    </row>
    <row r="10" spans="1:29" s="34" customFormat="1" ht="30" customHeight="1" x14ac:dyDescent="0.3">
      <c r="A10" s="9">
        <v>6</v>
      </c>
      <c r="B10" s="57"/>
      <c r="C10" s="57"/>
      <c r="D10" s="58"/>
      <c r="E10" s="37" t="s">
        <v>22</v>
      </c>
      <c r="F10" s="24">
        <v>9.5</v>
      </c>
      <c r="G10" s="37"/>
      <c r="H10" s="33">
        <v>100</v>
      </c>
      <c r="I10" s="24">
        <f t="shared" si="11"/>
        <v>60.080000000000005</v>
      </c>
      <c r="J10" s="24">
        <v>6.23</v>
      </c>
      <c r="K10" s="24">
        <v>7.63</v>
      </c>
      <c r="L10" s="24">
        <v>9.59</v>
      </c>
      <c r="M10" s="24">
        <v>6.34</v>
      </c>
      <c r="N10" s="24">
        <v>1.41</v>
      </c>
      <c r="O10" s="24">
        <v>2.92</v>
      </c>
      <c r="P10" s="24">
        <v>4.1500000000000004</v>
      </c>
      <c r="Q10" s="24">
        <v>1.65</v>
      </c>
      <c r="R10" s="10"/>
      <c r="S10" s="36">
        <f t="shared" si="0"/>
        <v>93.77</v>
      </c>
      <c r="T10" s="36">
        <f t="shared" si="1"/>
        <v>86.14</v>
      </c>
      <c r="U10" s="36">
        <f t="shared" si="2"/>
        <v>76.55</v>
      </c>
      <c r="V10" s="36">
        <f t="shared" si="3"/>
        <v>70.210000000000008</v>
      </c>
      <c r="W10" s="36">
        <f t="shared" si="4"/>
        <v>68.8</v>
      </c>
      <c r="X10" s="36">
        <f t="shared" si="5"/>
        <v>65.88</v>
      </c>
      <c r="Y10" s="36">
        <f t="shared" si="6"/>
        <v>61.730000000000004</v>
      </c>
      <c r="Z10" s="36">
        <f t="shared" si="7"/>
        <v>60.08</v>
      </c>
      <c r="AA10" s="36">
        <f t="shared" si="8"/>
        <v>6.230000000000004</v>
      </c>
      <c r="AB10" s="36">
        <f t="shared" si="9"/>
        <v>33.69</v>
      </c>
      <c r="AC10" s="36">
        <f t="shared" si="10"/>
        <v>60.08</v>
      </c>
    </row>
    <row r="11" spans="1:29" ht="30" customHeight="1" x14ac:dyDescent="0.3">
      <c r="A11" s="9">
        <v>7</v>
      </c>
      <c r="B11" s="57"/>
      <c r="C11" s="57"/>
      <c r="D11" s="58"/>
      <c r="E11" s="37" t="s">
        <v>22</v>
      </c>
      <c r="F11" s="24">
        <v>11</v>
      </c>
      <c r="G11" s="37"/>
      <c r="H11" s="33">
        <v>100</v>
      </c>
      <c r="I11" s="24">
        <f t="shared" si="11"/>
        <v>42.3</v>
      </c>
      <c r="J11" s="24">
        <v>11.11</v>
      </c>
      <c r="K11" s="24">
        <v>10.37</v>
      </c>
      <c r="L11" s="24">
        <v>11.92</v>
      </c>
      <c r="M11" s="24">
        <v>8.24</v>
      </c>
      <c r="N11" s="24">
        <v>1.85</v>
      </c>
      <c r="O11" s="24">
        <v>4.59</v>
      </c>
      <c r="P11" s="24">
        <v>7.06</v>
      </c>
      <c r="Q11" s="24">
        <v>2.56</v>
      </c>
      <c r="R11" s="10"/>
      <c r="S11" s="11">
        <f t="shared" si="0"/>
        <v>88.89</v>
      </c>
      <c r="T11" s="11">
        <f t="shared" si="1"/>
        <v>78.52000000000001</v>
      </c>
      <c r="U11" s="11">
        <f t="shared" si="2"/>
        <v>66.599999999999994</v>
      </c>
      <c r="V11" s="11">
        <f t="shared" si="3"/>
        <v>58.36</v>
      </c>
      <c r="W11" s="11">
        <f t="shared" si="4"/>
        <v>56.509999999999991</v>
      </c>
      <c r="X11" s="11">
        <f t="shared" si="5"/>
        <v>51.92</v>
      </c>
      <c r="Y11" s="11">
        <f t="shared" si="6"/>
        <v>44.86</v>
      </c>
      <c r="Z11" s="11">
        <f t="shared" si="7"/>
        <v>42.3</v>
      </c>
      <c r="AA11" s="11">
        <f t="shared" si="8"/>
        <v>11.11</v>
      </c>
      <c r="AB11" s="11">
        <f t="shared" si="9"/>
        <v>46.59</v>
      </c>
      <c r="AC11" s="11">
        <f t="shared" si="10"/>
        <v>42.3</v>
      </c>
    </row>
    <row r="12" spans="1:29" ht="30" customHeight="1" x14ac:dyDescent="0.3">
      <c r="A12" s="9">
        <v>8</v>
      </c>
      <c r="B12" s="57"/>
      <c r="C12" s="57"/>
      <c r="D12" s="58"/>
      <c r="E12" s="37" t="s">
        <v>48</v>
      </c>
      <c r="F12" s="24">
        <v>13.5</v>
      </c>
      <c r="G12" s="37"/>
      <c r="H12" s="33">
        <v>200</v>
      </c>
      <c r="I12" s="24">
        <f t="shared" si="11"/>
        <v>125.42999999999999</v>
      </c>
      <c r="J12" s="24">
        <v>16.46</v>
      </c>
      <c r="K12" s="24">
        <v>20.100000000000001</v>
      </c>
      <c r="L12" s="24">
        <v>6.86</v>
      </c>
      <c r="M12" s="24">
        <v>10.28</v>
      </c>
      <c r="N12" s="24">
        <v>6.74</v>
      </c>
      <c r="O12" s="24">
        <v>3.85</v>
      </c>
      <c r="P12" s="24">
        <v>8.48</v>
      </c>
      <c r="Q12" s="24">
        <v>1.8</v>
      </c>
      <c r="R12" s="10"/>
      <c r="S12" s="11">
        <f t="shared" si="0"/>
        <v>91.77</v>
      </c>
      <c r="T12" s="11">
        <f t="shared" si="1"/>
        <v>81.72</v>
      </c>
      <c r="U12" s="11">
        <f t="shared" si="2"/>
        <v>78.289999999999992</v>
      </c>
      <c r="V12" s="11">
        <f t="shared" si="3"/>
        <v>73.150000000000006</v>
      </c>
      <c r="W12" s="11">
        <f t="shared" si="4"/>
        <v>69.78</v>
      </c>
      <c r="X12" s="11">
        <f t="shared" si="5"/>
        <v>67.85499999999999</v>
      </c>
      <c r="Y12" s="11">
        <f t="shared" si="6"/>
        <v>63.615000000000002</v>
      </c>
      <c r="Z12" s="11">
        <f t="shared" si="7"/>
        <v>62.714999999999996</v>
      </c>
      <c r="AA12" s="11">
        <f t="shared" si="8"/>
        <v>8.230000000000004</v>
      </c>
      <c r="AB12" s="11">
        <f t="shared" si="9"/>
        <v>29.055</v>
      </c>
      <c r="AC12" s="11">
        <f t="shared" si="10"/>
        <v>62.714999999999996</v>
      </c>
    </row>
    <row r="13" spans="1:29" ht="30" customHeight="1" x14ac:dyDescent="0.3">
      <c r="A13" s="9">
        <v>9</v>
      </c>
      <c r="B13" s="57"/>
      <c r="C13" s="57"/>
      <c r="D13" s="58"/>
      <c r="E13" s="37" t="s">
        <v>22</v>
      </c>
      <c r="F13" s="24">
        <v>15</v>
      </c>
      <c r="G13" s="37"/>
      <c r="H13" s="33">
        <v>100</v>
      </c>
      <c r="I13" s="24">
        <f t="shared" si="11"/>
        <v>45.790000000000006</v>
      </c>
      <c r="J13" s="24">
        <v>28.63</v>
      </c>
      <c r="K13" s="24">
        <v>8.2200000000000006</v>
      </c>
      <c r="L13" s="24">
        <v>6.73</v>
      </c>
      <c r="M13" s="24">
        <v>3.61</v>
      </c>
      <c r="N13" s="24">
        <v>0.7</v>
      </c>
      <c r="O13" s="24">
        <v>1.62</v>
      </c>
      <c r="P13" s="24">
        <v>2.84</v>
      </c>
      <c r="Q13" s="24">
        <v>1.86</v>
      </c>
      <c r="R13" s="10"/>
      <c r="S13" s="11">
        <f t="shared" si="0"/>
        <v>71.37</v>
      </c>
      <c r="T13" s="11">
        <f t="shared" si="1"/>
        <v>63.149999999999991</v>
      </c>
      <c r="U13" s="11">
        <f t="shared" si="2"/>
        <v>56.42</v>
      </c>
      <c r="V13" s="11">
        <f t="shared" si="3"/>
        <v>52.81</v>
      </c>
      <c r="W13" s="11">
        <f t="shared" si="4"/>
        <v>52.11</v>
      </c>
      <c r="X13" s="11">
        <f t="shared" si="5"/>
        <v>50.49</v>
      </c>
      <c r="Y13" s="11">
        <f t="shared" si="6"/>
        <v>47.650000000000006</v>
      </c>
      <c r="Z13" s="11">
        <f t="shared" si="7"/>
        <v>45.790000000000006</v>
      </c>
      <c r="AA13" s="11">
        <f t="shared" si="8"/>
        <v>28.629999999999995</v>
      </c>
      <c r="AB13" s="11">
        <f t="shared" si="9"/>
        <v>25.58</v>
      </c>
      <c r="AC13" s="11">
        <f t="shared" si="10"/>
        <v>45.790000000000006</v>
      </c>
    </row>
  </sheetData>
  <mergeCells count="21">
    <mergeCell ref="J2:R2"/>
    <mergeCell ref="S2:Z2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21" sqref="D21"/>
    </sheetView>
  </sheetViews>
  <sheetFormatPr defaultRowHeight="14.4" x14ac:dyDescent="0.3"/>
  <cols>
    <col min="5" max="12" width="9.6640625" customWidth="1"/>
    <col min="13" max="36" width="9.6640625" bestFit="1" customWidth="1"/>
    <col min="39" max="49" width="9.6640625" bestFit="1" customWidth="1"/>
    <col min="50" max="50" width="10.5546875" bestFit="1" customWidth="1"/>
  </cols>
  <sheetData>
    <row r="1" spans="1:53" x14ac:dyDescent="0.3">
      <c r="A1" s="59" t="s">
        <v>4</v>
      </c>
      <c r="B1" s="62" t="s">
        <v>5</v>
      </c>
      <c r="C1" s="62" t="s">
        <v>9</v>
      </c>
      <c r="D1" s="59" t="s">
        <v>8</v>
      </c>
      <c r="E1" s="59" t="s">
        <v>23</v>
      </c>
      <c r="F1" s="59" t="s">
        <v>40</v>
      </c>
      <c r="G1" s="59" t="s">
        <v>24</v>
      </c>
      <c r="H1" s="59" t="s">
        <v>25</v>
      </c>
      <c r="I1" s="68" t="s">
        <v>34</v>
      </c>
      <c r="J1" s="59" t="s">
        <v>35</v>
      </c>
      <c r="K1" s="59" t="s">
        <v>26</v>
      </c>
      <c r="L1" s="59" t="s">
        <v>27</v>
      </c>
      <c r="M1" s="66" t="s">
        <v>28</v>
      </c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6" t="s">
        <v>29</v>
      </c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 t="s">
        <v>30</v>
      </c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22"/>
      <c r="BA1" s="22"/>
    </row>
    <row r="2" spans="1:53" x14ac:dyDescent="0.3">
      <c r="A2" s="60"/>
      <c r="B2" s="63"/>
      <c r="C2" s="63"/>
      <c r="D2" s="60"/>
      <c r="E2" s="60"/>
      <c r="F2" s="60"/>
      <c r="G2" s="60"/>
      <c r="H2" s="60"/>
      <c r="I2" s="68"/>
      <c r="J2" s="60"/>
      <c r="K2" s="60"/>
      <c r="L2" s="60"/>
      <c r="M2" s="69">
        <v>0.5</v>
      </c>
      <c r="N2" s="65">
        <v>1</v>
      </c>
      <c r="O2" s="65">
        <v>2</v>
      </c>
      <c r="P2" s="65">
        <v>4</v>
      </c>
      <c r="Q2" s="65">
        <v>8</v>
      </c>
      <c r="R2" s="65">
        <v>15</v>
      </c>
      <c r="S2" s="65">
        <v>30</v>
      </c>
      <c r="T2" s="65">
        <v>60</v>
      </c>
      <c r="U2" s="65">
        <v>120</v>
      </c>
      <c r="V2" s="65">
        <v>240</v>
      </c>
      <c r="W2" s="65">
        <v>480</v>
      </c>
      <c r="X2" s="65">
        <v>960</v>
      </c>
      <c r="Y2" s="65">
        <v>1440</v>
      </c>
      <c r="Z2" s="69">
        <v>0.5</v>
      </c>
      <c r="AA2" s="65">
        <v>1</v>
      </c>
      <c r="AB2" s="65">
        <v>2</v>
      </c>
      <c r="AC2" s="65">
        <v>4</v>
      </c>
      <c r="AD2" s="65">
        <v>8</v>
      </c>
      <c r="AE2" s="65">
        <v>15</v>
      </c>
      <c r="AF2" s="65">
        <v>30</v>
      </c>
      <c r="AG2" s="65">
        <v>60</v>
      </c>
      <c r="AH2" s="65">
        <v>120</v>
      </c>
      <c r="AI2" s="65">
        <v>240</v>
      </c>
      <c r="AJ2" s="65">
        <v>480</v>
      </c>
      <c r="AK2" s="65">
        <v>960</v>
      </c>
      <c r="AL2" s="65">
        <v>1440</v>
      </c>
      <c r="AM2" s="69">
        <v>0.5</v>
      </c>
      <c r="AN2" s="65">
        <v>1</v>
      </c>
      <c r="AO2" s="65">
        <v>2</v>
      </c>
      <c r="AP2" s="65">
        <v>4</v>
      </c>
      <c r="AQ2" s="65">
        <v>8</v>
      </c>
      <c r="AR2" s="65">
        <v>15</v>
      </c>
      <c r="AS2" s="65">
        <v>30</v>
      </c>
      <c r="AT2" s="65">
        <v>60</v>
      </c>
      <c r="AU2" s="65">
        <v>120</v>
      </c>
      <c r="AV2" s="65">
        <v>240</v>
      </c>
      <c r="AW2" s="65">
        <v>480</v>
      </c>
      <c r="AX2" s="65">
        <v>960</v>
      </c>
      <c r="AY2" s="65">
        <v>1440</v>
      </c>
      <c r="AZ2" s="22"/>
      <c r="BA2" s="22"/>
    </row>
    <row r="3" spans="1:53" x14ac:dyDescent="0.3">
      <c r="A3" s="60"/>
      <c r="B3" s="63"/>
      <c r="C3" s="63"/>
      <c r="D3" s="61"/>
      <c r="E3" s="61"/>
      <c r="F3" s="61"/>
      <c r="G3" s="61"/>
      <c r="H3" s="61"/>
      <c r="I3" s="68"/>
      <c r="J3" s="61"/>
      <c r="K3" s="61"/>
      <c r="L3" s="61"/>
      <c r="M3" s="69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9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9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22"/>
      <c r="BA3" s="22"/>
    </row>
    <row r="4" spans="1:53" x14ac:dyDescent="0.3">
      <c r="A4" s="61"/>
      <c r="B4" s="64"/>
      <c r="C4" s="64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0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2"/>
      <c r="Z4" s="70" t="s">
        <v>32</v>
      </c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2"/>
      <c r="AM4" s="68" t="s">
        <v>33</v>
      </c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20"/>
      <c r="BA4" s="20"/>
    </row>
    <row r="5" spans="1:53" x14ac:dyDescent="0.3">
      <c r="A5" s="27">
        <v>1</v>
      </c>
      <c r="B5" s="27" t="str">
        <f>GSD!B5</f>
        <v>NBH-02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3">
      <c r="A6" s="27">
        <v>2</v>
      </c>
      <c r="B6" s="27" t="str">
        <f>B5</f>
        <v>NBH-02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3">
      <c r="A7" s="27">
        <v>3</v>
      </c>
      <c r="B7" s="27" t="str">
        <f t="shared" ref="B7:B13" si="2">B6</f>
        <v>NBH-02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3">
      <c r="A8" s="27">
        <v>4</v>
      </c>
      <c r="B8" s="27" t="str">
        <f t="shared" si="2"/>
        <v>NBH-02</v>
      </c>
      <c r="C8" s="32">
        <f>GSD!F8</f>
        <v>6.5</v>
      </c>
      <c r="D8" s="27" t="str">
        <f>GSD!E8</f>
        <v>SPT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3">
      <c r="A9" s="27">
        <v>5</v>
      </c>
      <c r="B9" s="27" t="str">
        <f t="shared" si="2"/>
        <v>NBH-02</v>
      </c>
      <c r="C9" s="32">
        <f>GSD!F9</f>
        <v>8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x14ac:dyDescent="0.3">
      <c r="A10" s="27">
        <v>6</v>
      </c>
      <c r="B10" s="27" t="str">
        <f t="shared" si="2"/>
        <v>NBH-02</v>
      </c>
      <c r="C10" s="28">
        <f>GSD!F10</f>
        <v>9.5</v>
      </c>
      <c r="D10" s="27" t="str">
        <f>GSD!E10</f>
        <v>SPT</v>
      </c>
      <c r="E10" s="28">
        <v>27</v>
      </c>
      <c r="F10" s="29">
        <f t="shared" si="0"/>
        <v>8.5594212700000009E-3</v>
      </c>
      <c r="G10" s="30"/>
      <c r="H10" s="27">
        <v>5.0000000000000001E-4</v>
      </c>
      <c r="I10" s="27">
        <v>1</v>
      </c>
      <c r="J10" s="27">
        <v>2</v>
      </c>
      <c r="K10" s="28">
        <f t="shared" si="1"/>
        <v>0</v>
      </c>
      <c r="L10" s="27">
        <v>0.3</v>
      </c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1"/>
      <c r="BA10" s="21"/>
    </row>
    <row r="11" spans="1:53" x14ac:dyDescent="0.3">
      <c r="A11" s="27">
        <v>7</v>
      </c>
      <c r="B11" s="27" t="str">
        <f t="shared" si="2"/>
        <v>NBH-02</v>
      </c>
      <c r="C11" s="28">
        <f>GSD!F11</f>
        <v>11</v>
      </c>
      <c r="D11" s="27" t="str">
        <f>GSD!E11</f>
        <v>SPT</v>
      </c>
      <c r="E11" s="28">
        <v>27</v>
      </c>
      <c r="F11" s="29">
        <f t="shared" si="0"/>
        <v>8.5594212700000009E-3</v>
      </c>
      <c r="G11" s="30"/>
      <c r="H11" s="27">
        <v>5.0000000000000001E-4</v>
      </c>
      <c r="I11" s="27">
        <v>1</v>
      </c>
      <c r="J11" s="27">
        <v>2</v>
      </c>
      <c r="K11" s="28">
        <f t="shared" si="1"/>
        <v>0</v>
      </c>
      <c r="L11" s="27">
        <v>0.3</v>
      </c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1"/>
      <c r="BA11" s="21"/>
    </row>
    <row r="12" spans="1:53" x14ac:dyDescent="0.3">
      <c r="A12" s="27">
        <v>8</v>
      </c>
      <c r="B12" s="27" t="str">
        <f t="shared" si="2"/>
        <v>NBH-02</v>
      </c>
      <c r="C12" s="28">
        <f>GSD!F12</f>
        <v>13.5</v>
      </c>
      <c r="D12" s="27" t="str">
        <f>GSD!E12</f>
        <v>UDS</v>
      </c>
      <c r="E12" s="28">
        <v>27</v>
      </c>
      <c r="F12" s="29">
        <f t="shared" si="0"/>
        <v>8.5594212700000009E-3</v>
      </c>
      <c r="G12" s="30"/>
      <c r="H12" s="27">
        <v>5.0000000000000001E-4</v>
      </c>
      <c r="I12" s="27">
        <v>1</v>
      </c>
      <c r="J12" s="27">
        <v>2</v>
      </c>
      <c r="K12" s="28">
        <f t="shared" si="1"/>
        <v>0</v>
      </c>
      <c r="L12" s="27">
        <v>0.3</v>
      </c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1"/>
      <c r="BA12" s="21"/>
    </row>
    <row r="13" spans="1:53" x14ac:dyDescent="0.3">
      <c r="A13" s="27">
        <v>9</v>
      </c>
      <c r="B13" s="27" t="str">
        <f t="shared" si="2"/>
        <v>NBH-02</v>
      </c>
      <c r="C13" s="28">
        <f>GSD!F13</f>
        <v>15</v>
      </c>
      <c r="D13" s="27" t="str">
        <f>GSD!E13</f>
        <v>SPT</v>
      </c>
      <c r="E13" s="28">
        <v>27</v>
      </c>
      <c r="F13" s="29">
        <f t="shared" si="0"/>
        <v>8.5594212700000009E-3</v>
      </c>
      <c r="G13" s="30"/>
      <c r="H13" s="27">
        <v>5.0000000000000001E-4</v>
      </c>
      <c r="I13" s="27">
        <v>1</v>
      </c>
      <c r="J13" s="27">
        <v>2</v>
      </c>
      <c r="K13" s="28">
        <f t="shared" si="1"/>
        <v>0</v>
      </c>
      <c r="L13" s="27">
        <v>0.3</v>
      </c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1"/>
      <c r="BA13" s="21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4.4" x14ac:dyDescent="0.3"/>
  <sheetData>
    <row r="1" spans="1:6" ht="28.8" x14ac:dyDescent="0.3">
      <c r="A1" s="17" t="s">
        <v>36</v>
      </c>
      <c r="B1" s="17" t="s">
        <v>37</v>
      </c>
      <c r="C1" s="17" t="s">
        <v>38</v>
      </c>
    </row>
    <row r="2" spans="1:6" x14ac:dyDescent="0.3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3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3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3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3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3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3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3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3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3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3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3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3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3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3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3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3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3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3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3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3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3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3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3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3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3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3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3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3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3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3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3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3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3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3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3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3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3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3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3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AI23" sqref="AI23"/>
    </sheetView>
  </sheetViews>
  <sheetFormatPr defaultRowHeight="14.4" x14ac:dyDescent="0.3"/>
  <sheetData>
    <row r="1" spans="1:49" x14ac:dyDescent="0.3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3">
      <c r="A2" s="26" t="s">
        <v>41</v>
      </c>
      <c r="B2" s="26" t="s">
        <v>5</v>
      </c>
      <c r="C2" s="26" t="s">
        <v>9</v>
      </c>
      <c r="D2" s="73" t="s">
        <v>42</v>
      </c>
      <c r="E2" s="73"/>
      <c r="F2" s="73"/>
      <c r="G2" s="73"/>
      <c r="H2" s="73"/>
      <c r="I2" s="73"/>
      <c r="J2" s="73"/>
      <c r="K2" s="73"/>
      <c r="L2" s="73" t="s">
        <v>43</v>
      </c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4" t="s">
        <v>44</v>
      </c>
      <c r="Z2" s="74"/>
      <c r="AA2" s="74"/>
      <c r="AB2" s="74"/>
      <c r="AC2" s="74"/>
      <c r="AD2" s="74"/>
      <c r="AE2" s="74"/>
      <c r="AF2" s="74"/>
      <c r="AG2" s="73" t="s">
        <v>45</v>
      </c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18" customFormat="1" x14ac:dyDescent="0.3">
      <c r="A3" s="18">
        <v>1</v>
      </c>
      <c r="B3" s="18" t="str">
        <f>GSD!B5</f>
        <v>NBH-02</v>
      </c>
      <c r="C3" s="38">
        <f>GSD!F5</f>
        <v>0.5</v>
      </c>
      <c r="D3" s="39">
        <v>4.75</v>
      </c>
      <c r="E3" s="39">
        <v>2</v>
      </c>
      <c r="F3" s="39">
        <v>1.18</v>
      </c>
      <c r="G3" s="39">
        <v>0.6</v>
      </c>
      <c r="H3" s="39">
        <v>0.42499999999999999</v>
      </c>
      <c r="I3" s="39">
        <v>0.3</v>
      </c>
      <c r="J3" s="39">
        <v>0.15</v>
      </c>
      <c r="K3" s="39">
        <v>7.4999999999999997E-2</v>
      </c>
      <c r="L3" s="40">
        <f>HYD!Z5</f>
        <v>0</v>
      </c>
      <c r="M3" s="40">
        <f>HYD!AA5</f>
        <v>0</v>
      </c>
      <c r="N3" s="40">
        <f>HYD!AB5</f>
        <v>0</v>
      </c>
      <c r="O3" s="40">
        <f>HYD!AC5</f>
        <v>0</v>
      </c>
      <c r="P3" s="40">
        <f>HYD!AD5</f>
        <v>0</v>
      </c>
      <c r="Q3" s="40">
        <f>HYD!AE5</f>
        <v>0</v>
      </c>
      <c r="R3" s="40">
        <f>HYD!AF5</f>
        <v>0</v>
      </c>
      <c r="S3" s="40">
        <f>HYD!AG5</f>
        <v>0</v>
      </c>
      <c r="T3" s="40">
        <f>HYD!AH5</f>
        <v>0</v>
      </c>
      <c r="U3" s="40">
        <f>HYD!AI5</f>
        <v>0</v>
      </c>
      <c r="V3" s="40">
        <f>HYD!AJ5</f>
        <v>0</v>
      </c>
      <c r="W3" s="40">
        <f>HYD!AK5</f>
        <v>0</v>
      </c>
      <c r="X3" s="40">
        <f>HYD!AL5</f>
        <v>0</v>
      </c>
      <c r="Y3" s="41">
        <f>GSD!S5</f>
        <v>34.120000000000005</v>
      </c>
      <c r="Z3" s="41">
        <f>GSD!T5</f>
        <v>25.570000000000011</v>
      </c>
      <c r="AA3" s="41">
        <f>GSD!U5</f>
        <v>21.140000000000015</v>
      </c>
      <c r="AB3" s="41">
        <f>GSD!V5</f>
        <v>18.620000000000019</v>
      </c>
      <c r="AC3" s="41">
        <f>GSD!W5</f>
        <v>18.090000000000018</v>
      </c>
      <c r="AD3" s="41">
        <f>GSD!X5</f>
        <v>16.670000000000016</v>
      </c>
      <c r="AE3" s="41">
        <f>GSD!Y5</f>
        <v>13.94000000000001</v>
      </c>
      <c r="AF3" s="41">
        <f>GSD!Z5</f>
        <v>12.700000000000017</v>
      </c>
      <c r="AG3" s="41">
        <f>HYD!AM5</f>
        <v>0</v>
      </c>
      <c r="AH3" s="41">
        <f>HYD!AN5</f>
        <v>0</v>
      </c>
      <c r="AI3" s="41">
        <f>HYD!AO5</f>
        <v>0</v>
      </c>
      <c r="AJ3" s="41">
        <f>HYD!AP5</f>
        <v>0</v>
      </c>
      <c r="AK3" s="41">
        <f>HYD!AQ5</f>
        <v>0</v>
      </c>
      <c r="AL3" s="41">
        <f>HYD!AR5</f>
        <v>0</v>
      </c>
      <c r="AM3" s="41">
        <f>HYD!AS5</f>
        <v>0</v>
      </c>
      <c r="AN3" s="41">
        <f>HYD!AT5</f>
        <v>0</v>
      </c>
      <c r="AO3" s="41">
        <f>HYD!AU5</f>
        <v>0</v>
      </c>
      <c r="AP3" s="41">
        <f>HYD!AV5</f>
        <v>0</v>
      </c>
      <c r="AQ3" s="41">
        <f>HYD!AW5</f>
        <v>0</v>
      </c>
      <c r="AR3" s="41">
        <f>HYD!AX5</f>
        <v>0</v>
      </c>
      <c r="AS3" s="41">
        <f>HYD!AY5</f>
        <v>0</v>
      </c>
      <c r="AT3" s="41"/>
      <c r="AU3" s="41"/>
      <c r="AV3" s="41"/>
      <c r="AW3" s="41"/>
    </row>
    <row r="4" spans="1:49" x14ac:dyDescent="0.3">
      <c r="A4" s="18">
        <v>2</v>
      </c>
      <c r="B4" s="18" t="str">
        <f>B3</f>
        <v>NBH-02</v>
      </c>
      <c r="C4" s="38">
        <f>GSD!F6</f>
        <v>1.5</v>
      </c>
      <c r="D4" s="39">
        <v>4.75</v>
      </c>
      <c r="E4" s="39">
        <v>2</v>
      </c>
      <c r="F4" s="39">
        <v>1.18</v>
      </c>
      <c r="G4" s="39">
        <v>0.6</v>
      </c>
      <c r="H4" s="39">
        <v>0.42499999999999999</v>
      </c>
      <c r="I4" s="39">
        <v>0.3</v>
      </c>
      <c r="J4" s="39">
        <v>0.15</v>
      </c>
      <c r="K4" s="39">
        <v>7.4999999999999997E-2</v>
      </c>
      <c r="L4" s="40">
        <f>HYD!Z6</f>
        <v>0</v>
      </c>
      <c r="M4" s="40">
        <f>HYD!AA6</f>
        <v>0</v>
      </c>
      <c r="N4" s="40">
        <f>HYD!AB6</f>
        <v>0</v>
      </c>
      <c r="O4" s="40">
        <f>HYD!AC6</f>
        <v>0</v>
      </c>
      <c r="P4" s="40">
        <f>HYD!AD6</f>
        <v>0</v>
      </c>
      <c r="Q4" s="40">
        <f>HYD!AE6</f>
        <v>0</v>
      </c>
      <c r="R4" s="40">
        <f>HYD!AF6</f>
        <v>0</v>
      </c>
      <c r="S4" s="40">
        <f>HYD!AG6</f>
        <v>0</v>
      </c>
      <c r="T4" s="40">
        <f>HYD!AH6</f>
        <v>0</v>
      </c>
      <c r="U4" s="40">
        <f>HYD!AI6</f>
        <v>0</v>
      </c>
      <c r="V4" s="40">
        <f>HYD!AJ6</f>
        <v>0</v>
      </c>
      <c r="W4" s="40">
        <f>HYD!AK6</f>
        <v>0</v>
      </c>
      <c r="X4" s="40">
        <f>HYD!AL6</f>
        <v>0</v>
      </c>
      <c r="Y4" s="41">
        <f>GSD!S6</f>
        <v>95.27</v>
      </c>
      <c r="Z4" s="41">
        <f>GSD!T6</f>
        <v>86.81</v>
      </c>
      <c r="AA4" s="41">
        <f>GSD!U6</f>
        <v>73.5</v>
      </c>
      <c r="AB4" s="41">
        <f>GSD!V6</f>
        <v>64.73</v>
      </c>
      <c r="AC4" s="41">
        <f>GSD!W6</f>
        <v>62.760000000000005</v>
      </c>
      <c r="AD4" s="41">
        <f>GSD!X6</f>
        <v>58.17</v>
      </c>
      <c r="AE4" s="41">
        <f>GSD!Y6</f>
        <v>51.95000000000001</v>
      </c>
      <c r="AF4" s="41">
        <f>GSD!Z6</f>
        <v>49.830000000000005</v>
      </c>
      <c r="AG4" s="41">
        <f>HYD!AM6</f>
        <v>0</v>
      </c>
      <c r="AH4" s="41">
        <f>HYD!AN6</f>
        <v>0</v>
      </c>
      <c r="AI4" s="41">
        <f>HYD!AO6</f>
        <v>0</v>
      </c>
      <c r="AJ4" s="41">
        <f>HYD!AP6</f>
        <v>0</v>
      </c>
      <c r="AK4" s="41">
        <f>HYD!AQ6</f>
        <v>0</v>
      </c>
      <c r="AL4" s="41">
        <f>HYD!AR6</f>
        <v>0</v>
      </c>
      <c r="AM4" s="41">
        <f>HYD!AS6</f>
        <v>0</v>
      </c>
      <c r="AN4" s="41">
        <f>HYD!AT6</f>
        <v>0</v>
      </c>
      <c r="AO4" s="41">
        <f>HYD!AU6</f>
        <v>0</v>
      </c>
      <c r="AP4" s="41">
        <f>HYD!AV6</f>
        <v>0</v>
      </c>
      <c r="AQ4" s="41">
        <f>HYD!AW6</f>
        <v>0</v>
      </c>
      <c r="AR4" s="41">
        <f>HYD!AX6</f>
        <v>0</v>
      </c>
      <c r="AS4" s="41">
        <f>HYD!AY6</f>
        <v>0</v>
      </c>
      <c r="AT4" s="41"/>
      <c r="AU4" s="41"/>
      <c r="AV4" s="41"/>
      <c r="AW4" s="41"/>
    </row>
    <row r="5" spans="1:49" x14ac:dyDescent="0.3">
      <c r="A5" s="18">
        <v>3</v>
      </c>
      <c r="B5" s="18" t="str">
        <f t="shared" ref="B5:B11" si="0">B4</f>
        <v>NBH-02</v>
      </c>
      <c r="C5" s="38">
        <f>GSD!F7</f>
        <v>3.5</v>
      </c>
      <c r="D5" s="39">
        <v>4.75</v>
      </c>
      <c r="E5" s="39">
        <v>2</v>
      </c>
      <c r="F5" s="39">
        <v>1.18</v>
      </c>
      <c r="G5" s="39">
        <v>0.6</v>
      </c>
      <c r="H5" s="39">
        <v>0.42499999999999999</v>
      </c>
      <c r="I5" s="39">
        <v>0.3</v>
      </c>
      <c r="J5" s="39">
        <v>0.15</v>
      </c>
      <c r="K5" s="39">
        <v>7.4999999999999997E-2</v>
      </c>
      <c r="L5" s="40">
        <f>HYD!Z7</f>
        <v>0</v>
      </c>
      <c r="M5" s="40">
        <f>HYD!AA7</f>
        <v>0</v>
      </c>
      <c r="N5" s="40">
        <f>HYD!AB7</f>
        <v>0</v>
      </c>
      <c r="O5" s="40">
        <f>HYD!AC7</f>
        <v>0</v>
      </c>
      <c r="P5" s="40">
        <f>HYD!AD7</f>
        <v>0</v>
      </c>
      <c r="Q5" s="40">
        <f>HYD!AE7</f>
        <v>0</v>
      </c>
      <c r="R5" s="40">
        <f>HYD!AF7</f>
        <v>0</v>
      </c>
      <c r="S5" s="40">
        <f>HYD!AG7</f>
        <v>0</v>
      </c>
      <c r="T5" s="40">
        <f>HYD!AH7</f>
        <v>0</v>
      </c>
      <c r="U5" s="40">
        <f>HYD!AI7</f>
        <v>0</v>
      </c>
      <c r="V5" s="40">
        <f>HYD!AJ7</f>
        <v>0</v>
      </c>
      <c r="W5" s="40">
        <f>HYD!AK7</f>
        <v>0</v>
      </c>
      <c r="X5" s="40">
        <f>HYD!AL7</f>
        <v>0</v>
      </c>
      <c r="Y5" s="41">
        <f>GSD!S7</f>
        <v>94.49</v>
      </c>
      <c r="Z5" s="41">
        <f>GSD!T7</f>
        <v>87.16</v>
      </c>
      <c r="AA5" s="41">
        <f>GSD!U7</f>
        <v>75.61</v>
      </c>
      <c r="AB5" s="41">
        <f>GSD!V7</f>
        <v>67.47</v>
      </c>
      <c r="AC5" s="41">
        <f>GSD!W7</f>
        <v>65.75</v>
      </c>
      <c r="AD5" s="41">
        <f>GSD!X7</f>
        <v>62.02000000000001</v>
      </c>
      <c r="AE5" s="41">
        <f>GSD!Y7</f>
        <v>56.870000000000012</v>
      </c>
      <c r="AF5" s="41">
        <f>GSD!Z7</f>
        <v>54.890000000000008</v>
      </c>
      <c r="AG5" s="41">
        <f>HYD!AM7</f>
        <v>0</v>
      </c>
      <c r="AH5" s="41">
        <f>HYD!AN7</f>
        <v>0</v>
      </c>
      <c r="AI5" s="41">
        <f>HYD!AO7</f>
        <v>0</v>
      </c>
      <c r="AJ5" s="41">
        <f>HYD!AP7</f>
        <v>0</v>
      </c>
      <c r="AK5" s="41">
        <f>HYD!AQ7</f>
        <v>0</v>
      </c>
      <c r="AL5" s="41">
        <f>HYD!AR7</f>
        <v>0</v>
      </c>
      <c r="AM5" s="41">
        <f>HYD!AS7</f>
        <v>0</v>
      </c>
      <c r="AN5" s="41">
        <f>HYD!AT7</f>
        <v>0</v>
      </c>
      <c r="AO5" s="41">
        <f>HYD!AU7</f>
        <v>0</v>
      </c>
      <c r="AP5" s="41">
        <f>HYD!AV7</f>
        <v>0</v>
      </c>
      <c r="AQ5" s="41">
        <f>HYD!AW7</f>
        <v>0</v>
      </c>
      <c r="AR5" s="41">
        <f>HYD!AX7</f>
        <v>0</v>
      </c>
      <c r="AS5" s="41">
        <f>HYD!AY7</f>
        <v>0</v>
      </c>
      <c r="AT5" s="41"/>
      <c r="AU5" s="41"/>
      <c r="AV5" s="41"/>
      <c r="AW5" s="41"/>
    </row>
    <row r="6" spans="1:49" x14ac:dyDescent="0.3">
      <c r="A6" s="18">
        <v>4</v>
      </c>
      <c r="B6" s="18" t="str">
        <f t="shared" si="0"/>
        <v>NBH-02</v>
      </c>
      <c r="C6" s="38">
        <f>GSD!F8</f>
        <v>6.5</v>
      </c>
      <c r="D6" s="39">
        <v>4.75</v>
      </c>
      <c r="E6" s="39">
        <v>2</v>
      </c>
      <c r="F6" s="39">
        <v>1.18</v>
      </c>
      <c r="G6" s="39">
        <v>0.6</v>
      </c>
      <c r="H6" s="39">
        <v>0.42499999999999999</v>
      </c>
      <c r="I6" s="39">
        <v>0.3</v>
      </c>
      <c r="J6" s="39">
        <v>0.15</v>
      </c>
      <c r="K6" s="39">
        <v>7.4999999999999997E-2</v>
      </c>
      <c r="L6" s="40">
        <f>HYD!Z8</f>
        <v>0</v>
      </c>
      <c r="M6" s="40">
        <f>HYD!AA8</f>
        <v>0</v>
      </c>
      <c r="N6" s="40">
        <f>HYD!AB8</f>
        <v>0</v>
      </c>
      <c r="O6" s="40">
        <f>HYD!AC8</f>
        <v>0</v>
      </c>
      <c r="P6" s="40">
        <f>HYD!AD8</f>
        <v>0</v>
      </c>
      <c r="Q6" s="40">
        <f>HYD!AE8</f>
        <v>0</v>
      </c>
      <c r="R6" s="40">
        <f>HYD!AF8</f>
        <v>0</v>
      </c>
      <c r="S6" s="40">
        <f>HYD!AG8</f>
        <v>0</v>
      </c>
      <c r="T6" s="40">
        <f>HYD!AH8</f>
        <v>0</v>
      </c>
      <c r="U6" s="40">
        <f>HYD!AI8</f>
        <v>0</v>
      </c>
      <c r="V6" s="40">
        <f>HYD!AJ8</f>
        <v>0</v>
      </c>
      <c r="W6" s="40">
        <f>HYD!AK8</f>
        <v>0</v>
      </c>
      <c r="X6" s="40">
        <f>HYD!AL8</f>
        <v>0</v>
      </c>
      <c r="Y6" s="41">
        <f>GSD!S8</f>
        <v>86.37</v>
      </c>
      <c r="Z6" s="41">
        <f>GSD!T8</f>
        <v>78.77</v>
      </c>
      <c r="AA6" s="41">
        <f>GSD!U8</f>
        <v>66.960000000000008</v>
      </c>
      <c r="AB6" s="41">
        <f>GSD!V8</f>
        <v>58.45</v>
      </c>
      <c r="AC6" s="41">
        <f>GSD!W8</f>
        <v>56.600000000000009</v>
      </c>
      <c r="AD6" s="41">
        <f>GSD!X8</f>
        <v>52.579999999999991</v>
      </c>
      <c r="AE6" s="41">
        <f>GSD!Y8</f>
        <v>47.129999999999995</v>
      </c>
      <c r="AF6" s="41">
        <f>GSD!Z8</f>
        <v>45.419999999999995</v>
      </c>
      <c r="AG6" s="41">
        <f>HYD!AM8</f>
        <v>0</v>
      </c>
      <c r="AH6" s="41">
        <f>HYD!AN8</f>
        <v>0</v>
      </c>
      <c r="AI6" s="41">
        <f>HYD!AO8</f>
        <v>0</v>
      </c>
      <c r="AJ6" s="41">
        <f>HYD!AP8</f>
        <v>0</v>
      </c>
      <c r="AK6" s="41">
        <f>HYD!AQ8</f>
        <v>0</v>
      </c>
      <c r="AL6" s="41">
        <f>HYD!AR8</f>
        <v>0</v>
      </c>
      <c r="AM6" s="41">
        <f>HYD!AS8</f>
        <v>0</v>
      </c>
      <c r="AN6" s="41">
        <f>HYD!AT8</f>
        <v>0</v>
      </c>
      <c r="AO6" s="41">
        <f>HYD!AU8</f>
        <v>0</v>
      </c>
      <c r="AP6" s="41">
        <f>HYD!AV8</f>
        <v>0</v>
      </c>
      <c r="AQ6" s="41">
        <f>HYD!AW8</f>
        <v>0</v>
      </c>
      <c r="AR6" s="41">
        <f>HYD!AX8</f>
        <v>0</v>
      </c>
      <c r="AS6" s="41">
        <f>HYD!AY8</f>
        <v>0</v>
      </c>
      <c r="AT6" s="41"/>
      <c r="AU6" s="41"/>
      <c r="AV6" s="41"/>
      <c r="AW6" s="41"/>
    </row>
    <row r="7" spans="1:49" x14ac:dyDescent="0.3">
      <c r="A7" s="18">
        <v>5</v>
      </c>
      <c r="B7" s="18" t="str">
        <f t="shared" si="0"/>
        <v>NBH-02</v>
      </c>
      <c r="C7" s="38">
        <f>GSD!F9</f>
        <v>8</v>
      </c>
      <c r="D7" s="39">
        <v>4.75</v>
      </c>
      <c r="E7" s="39">
        <v>2</v>
      </c>
      <c r="F7" s="39">
        <v>1.18</v>
      </c>
      <c r="G7" s="39">
        <v>0.6</v>
      </c>
      <c r="H7" s="39">
        <v>0.42499999999999999</v>
      </c>
      <c r="I7" s="39">
        <v>0.3</v>
      </c>
      <c r="J7" s="39">
        <v>0.15</v>
      </c>
      <c r="K7" s="39">
        <v>7.4999999999999997E-2</v>
      </c>
      <c r="L7" s="40">
        <f>HYD!Z9</f>
        <v>0</v>
      </c>
      <c r="M7" s="40">
        <f>HYD!AA9</f>
        <v>0</v>
      </c>
      <c r="N7" s="40">
        <f>HYD!AB9</f>
        <v>0</v>
      </c>
      <c r="O7" s="40">
        <f>HYD!AC9</f>
        <v>0</v>
      </c>
      <c r="P7" s="40">
        <f>HYD!AD9</f>
        <v>0</v>
      </c>
      <c r="Q7" s="40">
        <f>HYD!AE9</f>
        <v>0</v>
      </c>
      <c r="R7" s="40">
        <f>HYD!AF9</f>
        <v>0</v>
      </c>
      <c r="S7" s="40">
        <f>HYD!AG9</f>
        <v>0</v>
      </c>
      <c r="T7" s="40">
        <f>HYD!AH9</f>
        <v>0</v>
      </c>
      <c r="U7" s="40">
        <f>HYD!AI9</f>
        <v>0</v>
      </c>
      <c r="V7" s="40">
        <f>HYD!AJ9</f>
        <v>0</v>
      </c>
      <c r="W7" s="40">
        <f>HYD!AK9</f>
        <v>0</v>
      </c>
      <c r="X7" s="40">
        <f>HYD!AL9</f>
        <v>0</v>
      </c>
      <c r="Y7" s="41">
        <f>GSD!S9</f>
        <v>89.57</v>
      </c>
      <c r="Z7" s="41">
        <f>GSD!T9</f>
        <v>80.509999999999991</v>
      </c>
      <c r="AA7" s="41">
        <f>GSD!U9</f>
        <v>69.180000000000007</v>
      </c>
      <c r="AB7" s="41">
        <f>GSD!V9</f>
        <v>62.43</v>
      </c>
      <c r="AC7" s="41">
        <f>GSD!W9</f>
        <v>60.94</v>
      </c>
      <c r="AD7" s="41">
        <f>GSD!X9</f>
        <v>57.830000000000005</v>
      </c>
      <c r="AE7" s="41">
        <f>GSD!Y9</f>
        <v>54.24</v>
      </c>
      <c r="AF7" s="41">
        <f>GSD!Z9</f>
        <v>53.36</v>
      </c>
      <c r="AG7" s="41">
        <f>HYD!AM9</f>
        <v>0</v>
      </c>
      <c r="AH7" s="41">
        <f>HYD!AN9</f>
        <v>0</v>
      </c>
      <c r="AI7" s="41">
        <f>HYD!AO9</f>
        <v>0</v>
      </c>
      <c r="AJ7" s="41">
        <f>HYD!AP9</f>
        <v>0</v>
      </c>
      <c r="AK7" s="41">
        <f>HYD!AQ9</f>
        <v>0</v>
      </c>
      <c r="AL7" s="41">
        <f>HYD!AR9</f>
        <v>0</v>
      </c>
      <c r="AM7" s="41">
        <f>HYD!AS9</f>
        <v>0</v>
      </c>
      <c r="AN7" s="41">
        <f>HYD!AT9</f>
        <v>0</v>
      </c>
      <c r="AO7" s="41">
        <f>HYD!AU9</f>
        <v>0</v>
      </c>
      <c r="AP7" s="41">
        <f>HYD!AV9</f>
        <v>0</v>
      </c>
      <c r="AQ7" s="41">
        <f>HYD!AW9</f>
        <v>0</v>
      </c>
      <c r="AR7" s="41">
        <f>HYD!AX9</f>
        <v>0</v>
      </c>
      <c r="AS7" s="41">
        <f>HYD!AY9</f>
        <v>0</v>
      </c>
      <c r="AT7" s="41"/>
      <c r="AU7" s="41"/>
      <c r="AV7" s="41"/>
      <c r="AW7" s="41"/>
    </row>
    <row r="8" spans="1:49" x14ac:dyDescent="0.3">
      <c r="A8" s="18">
        <v>6</v>
      </c>
      <c r="B8" s="18" t="str">
        <f t="shared" si="0"/>
        <v>NBH-02</v>
      </c>
      <c r="C8" s="38">
        <f>GSD!F10</f>
        <v>9.5</v>
      </c>
      <c r="D8" s="39">
        <v>4.75</v>
      </c>
      <c r="E8" s="39">
        <v>2</v>
      </c>
      <c r="F8" s="39">
        <v>1.18</v>
      </c>
      <c r="G8" s="39">
        <v>0.6</v>
      </c>
      <c r="H8" s="39">
        <v>0.42499999999999999</v>
      </c>
      <c r="I8" s="39">
        <v>0.3</v>
      </c>
      <c r="J8" s="39">
        <v>0.15</v>
      </c>
      <c r="K8" s="39">
        <v>7.4999999999999997E-2</v>
      </c>
      <c r="L8" s="40">
        <f>HYD!Z10</f>
        <v>0</v>
      </c>
      <c r="M8" s="40">
        <f>HYD!AA10</f>
        <v>0</v>
      </c>
      <c r="N8" s="40">
        <f>HYD!AB10</f>
        <v>0</v>
      </c>
      <c r="O8" s="40">
        <f>HYD!AC10</f>
        <v>0</v>
      </c>
      <c r="P8" s="40">
        <f>HYD!AD10</f>
        <v>0</v>
      </c>
      <c r="Q8" s="40">
        <f>HYD!AE10</f>
        <v>0</v>
      </c>
      <c r="R8" s="40">
        <f>HYD!AF10</f>
        <v>0</v>
      </c>
      <c r="S8" s="40">
        <f>HYD!AG10</f>
        <v>0</v>
      </c>
      <c r="T8" s="40">
        <f>HYD!AH10</f>
        <v>0</v>
      </c>
      <c r="U8" s="40">
        <f>HYD!AI10</f>
        <v>0</v>
      </c>
      <c r="V8" s="40">
        <f>HYD!AJ10</f>
        <v>0</v>
      </c>
      <c r="W8" s="40">
        <f>HYD!AK10</f>
        <v>0</v>
      </c>
      <c r="X8" s="40">
        <f>HYD!AL10</f>
        <v>0</v>
      </c>
      <c r="Y8" s="41">
        <f>GSD!S10</f>
        <v>93.77</v>
      </c>
      <c r="Z8" s="41">
        <f>GSD!T10</f>
        <v>86.14</v>
      </c>
      <c r="AA8" s="41">
        <f>GSD!U10</f>
        <v>76.55</v>
      </c>
      <c r="AB8" s="41">
        <f>GSD!V10</f>
        <v>70.210000000000008</v>
      </c>
      <c r="AC8" s="41">
        <f>GSD!W10</f>
        <v>68.8</v>
      </c>
      <c r="AD8" s="41">
        <f>GSD!X10</f>
        <v>65.88</v>
      </c>
      <c r="AE8" s="41">
        <f>GSD!Y10</f>
        <v>61.730000000000004</v>
      </c>
      <c r="AF8" s="41">
        <f>GSD!Z10</f>
        <v>60.08</v>
      </c>
      <c r="AG8" s="41">
        <f>HYD!AM10</f>
        <v>0</v>
      </c>
      <c r="AH8" s="41">
        <f>HYD!AN10</f>
        <v>0</v>
      </c>
      <c r="AI8" s="41">
        <f>HYD!AO10</f>
        <v>0</v>
      </c>
      <c r="AJ8" s="41">
        <f>HYD!AP10</f>
        <v>0</v>
      </c>
      <c r="AK8" s="41">
        <f>HYD!AQ10</f>
        <v>0</v>
      </c>
      <c r="AL8" s="41">
        <f>HYD!AR10</f>
        <v>0</v>
      </c>
      <c r="AM8" s="41">
        <f>HYD!AS10</f>
        <v>0</v>
      </c>
      <c r="AN8" s="41">
        <f>HYD!AT10</f>
        <v>0</v>
      </c>
      <c r="AO8" s="41">
        <f>HYD!AU10</f>
        <v>0</v>
      </c>
      <c r="AP8" s="41">
        <f>HYD!AV10</f>
        <v>0</v>
      </c>
      <c r="AQ8" s="41">
        <f>HYD!AW10</f>
        <v>0</v>
      </c>
      <c r="AR8" s="41">
        <f>HYD!AX10</f>
        <v>0</v>
      </c>
      <c r="AS8" s="41">
        <f>HYD!AY10</f>
        <v>0</v>
      </c>
      <c r="AT8" s="41"/>
      <c r="AU8" s="41"/>
      <c r="AV8" s="41"/>
      <c r="AW8" s="41"/>
    </row>
    <row r="9" spans="1:49" x14ac:dyDescent="0.3">
      <c r="A9" s="18">
        <v>7</v>
      </c>
      <c r="B9" s="18" t="str">
        <f t="shared" si="0"/>
        <v>NBH-02</v>
      </c>
      <c r="C9" s="38">
        <f>GSD!F11</f>
        <v>11</v>
      </c>
      <c r="D9" s="39">
        <v>4.75</v>
      </c>
      <c r="E9" s="39">
        <v>2</v>
      </c>
      <c r="F9" s="39">
        <v>1.18</v>
      </c>
      <c r="G9" s="39">
        <v>0.6</v>
      </c>
      <c r="H9" s="39">
        <v>0.42499999999999999</v>
      </c>
      <c r="I9" s="39">
        <v>0.3</v>
      </c>
      <c r="J9" s="39">
        <v>0.15</v>
      </c>
      <c r="K9" s="39">
        <v>7.4999999999999997E-2</v>
      </c>
      <c r="L9" s="40">
        <f>HYD!Z11</f>
        <v>0</v>
      </c>
      <c r="M9" s="40">
        <f>HYD!AA11</f>
        <v>0</v>
      </c>
      <c r="N9" s="40">
        <f>HYD!AB11</f>
        <v>0</v>
      </c>
      <c r="O9" s="40">
        <f>HYD!AC11</f>
        <v>0</v>
      </c>
      <c r="P9" s="40">
        <f>HYD!AD11</f>
        <v>0</v>
      </c>
      <c r="Q9" s="40">
        <f>HYD!AE11</f>
        <v>0</v>
      </c>
      <c r="R9" s="40">
        <f>HYD!AF11</f>
        <v>0</v>
      </c>
      <c r="S9" s="40">
        <f>HYD!AG11</f>
        <v>0</v>
      </c>
      <c r="T9" s="40">
        <f>HYD!AH11</f>
        <v>0</v>
      </c>
      <c r="U9" s="40">
        <f>HYD!AI11</f>
        <v>0</v>
      </c>
      <c r="V9" s="40">
        <f>HYD!AJ11</f>
        <v>0</v>
      </c>
      <c r="W9" s="40">
        <f>HYD!AK11</f>
        <v>0</v>
      </c>
      <c r="X9" s="40">
        <f>HYD!AL11</f>
        <v>0</v>
      </c>
      <c r="Y9" s="41">
        <f>GSD!S11</f>
        <v>88.89</v>
      </c>
      <c r="Z9" s="41">
        <f>GSD!T11</f>
        <v>78.52000000000001</v>
      </c>
      <c r="AA9" s="41">
        <f>GSD!U11</f>
        <v>66.599999999999994</v>
      </c>
      <c r="AB9" s="41">
        <f>GSD!V11</f>
        <v>58.36</v>
      </c>
      <c r="AC9" s="41">
        <f>GSD!W11</f>
        <v>56.509999999999991</v>
      </c>
      <c r="AD9" s="41">
        <f>GSD!X11</f>
        <v>51.92</v>
      </c>
      <c r="AE9" s="41">
        <f>GSD!Y11</f>
        <v>44.86</v>
      </c>
      <c r="AF9" s="41">
        <f>GSD!Z11</f>
        <v>42.3</v>
      </c>
      <c r="AG9" s="41">
        <f>HYD!AM11</f>
        <v>0</v>
      </c>
      <c r="AH9" s="41">
        <f>HYD!AN11</f>
        <v>0</v>
      </c>
      <c r="AI9" s="41">
        <f>HYD!AO11</f>
        <v>0</v>
      </c>
      <c r="AJ9" s="41">
        <f>HYD!AP11</f>
        <v>0</v>
      </c>
      <c r="AK9" s="41">
        <f>HYD!AQ11</f>
        <v>0</v>
      </c>
      <c r="AL9" s="41">
        <f>HYD!AR11</f>
        <v>0</v>
      </c>
      <c r="AM9" s="41">
        <f>HYD!AS11</f>
        <v>0</v>
      </c>
      <c r="AN9" s="41">
        <f>HYD!AT11</f>
        <v>0</v>
      </c>
      <c r="AO9" s="41">
        <f>HYD!AU11</f>
        <v>0</v>
      </c>
      <c r="AP9" s="41">
        <f>HYD!AV11</f>
        <v>0</v>
      </c>
      <c r="AQ9" s="41">
        <f>HYD!AW11</f>
        <v>0</v>
      </c>
      <c r="AR9" s="41">
        <f>HYD!AX11</f>
        <v>0</v>
      </c>
      <c r="AS9" s="41">
        <f>HYD!AY11</f>
        <v>0</v>
      </c>
      <c r="AT9" s="42"/>
      <c r="AU9" s="42"/>
      <c r="AV9" s="42"/>
      <c r="AW9" s="42"/>
    </row>
    <row r="10" spans="1:49" x14ac:dyDescent="0.3">
      <c r="A10" s="18">
        <v>8</v>
      </c>
      <c r="B10" s="18" t="str">
        <f t="shared" si="0"/>
        <v>NBH-02</v>
      </c>
      <c r="C10" s="38">
        <f>GSD!F12</f>
        <v>13.5</v>
      </c>
      <c r="D10" s="39">
        <v>4.75</v>
      </c>
      <c r="E10" s="39">
        <v>2</v>
      </c>
      <c r="F10" s="39">
        <v>1.18</v>
      </c>
      <c r="G10" s="39">
        <v>0.6</v>
      </c>
      <c r="H10" s="39">
        <v>0.42499999999999999</v>
      </c>
      <c r="I10" s="39">
        <v>0.3</v>
      </c>
      <c r="J10" s="39">
        <v>0.15</v>
      </c>
      <c r="K10" s="39">
        <v>7.4999999999999997E-2</v>
      </c>
      <c r="L10" s="40">
        <f>HYD!Z12</f>
        <v>0</v>
      </c>
      <c r="M10" s="40">
        <f>HYD!AA12</f>
        <v>0</v>
      </c>
      <c r="N10" s="40">
        <f>HYD!AB12</f>
        <v>0</v>
      </c>
      <c r="O10" s="40">
        <f>HYD!AC12</f>
        <v>0</v>
      </c>
      <c r="P10" s="40">
        <f>HYD!AD12</f>
        <v>0</v>
      </c>
      <c r="Q10" s="40">
        <f>HYD!AE12</f>
        <v>0</v>
      </c>
      <c r="R10" s="40">
        <f>HYD!AF12</f>
        <v>0</v>
      </c>
      <c r="S10" s="40">
        <f>HYD!AG12</f>
        <v>0</v>
      </c>
      <c r="T10" s="40">
        <f>HYD!AH12</f>
        <v>0</v>
      </c>
      <c r="U10" s="40">
        <f>HYD!AI12</f>
        <v>0</v>
      </c>
      <c r="V10" s="40">
        <f>HYD!AJ12</f>
        <v>0</v>
      </c>
      <c r="W10" s="40">
        <f>HYD!AK12</f>
        <v>0</v>
      </c>
      <c r="X10" s="40">
        <f>HYD!AL12</f>
        <v>0</v>
      </c>
      <c r="Y10" s="41">
        <f>GSD!S12</f>
        <v>91.77</v>
      </c>
      <c r="Z10" s="41">
        <f>GSD!T12</f>
        <v>81.72</v>
      </c>
      <c r="AA10" s="41">
        <f>GSD!U12</f>
        <v>78.289999999999992</v>
      </c>
      <c r="AB10" s="41">
        <f>GSD!V12</f>
        <v>73.150000000000006</v>
      </c>
      <c r="AC10" s="41">
        <f>GSD!W12</f>
        <v>69.78</v>
      </c>
      <c r="AD10" s="41">
        <f>GSD!X12</f>
        <v>67.85499999999999</v>
      </c>
      <c r="AE10" s="41">
        <f>GSD!Y12</f>
        <v>63.615000000000002</v>
      </c>
      <c r="AF10" s="41">
        <f>GSD!Z12</f>
        <v>62.714999999999996</v>
      </c>
      <c r="AG10" s="41">
        <f>HYD!AM12</f>
        <v>0</v>
      </c>
      <c r="AH10" s="41">
        <f>HYD!AN12</f>
        <v>0</v>
      </c>
      <c r="AI10" s="41">
        <f>HYD!AO12</f>
        <v>0</v>
      </c>
      <c r="AJ10" s="41">
        <f>HYD!AP12</f>
        <v>0</v>
      </c>
      <c r="AK10" s="41">
        <f>HYD!AQ12</f>
        <v>0</v>
      </c>
      <c r="AL10" s="41">
        <f>HYD!AR12</f>
        <v>0</v>
      </c>
      <c r="AM10" s="41">
        <f>HYD!AS12</f>
        <v>0</v>
      </c>
      <c r="AN10" s="41">
        <f>HYD!AT12</f>
        <v>0</v>
      </c>
      <c r="AO10" s="41">
        <f>HYD!AU12</f>
        <v>0</v>
      </c>
      <c r="AP10" s="41">
        <f>HYD!AV12</f>
        <v>0</v>
      </c>
      <c r="AQ10" s="41">
        <f>HYD!AW12</f>
        <v>0</v>
      </c>
      <c r="AR10" s="41">
        <f>HYD!AX12</f>
        <v>0</v>
      </c>
      <c r="AS10" s="41">
        <f>HYD!AY12</f>
        <v>0</v>
      </c>
      <c r="AT10" s="42"/>
      <c r="AU10" s="42"/>
      <c r="AV10" s="42"/>
      <c r="AW10" s="42"/>
    </row>
    <row r="11" spans="1:49" x14ac:dyDescent="0.3">
      <c r="A11" s="18">
        <v>9</v>
      </c>
      <c r="B11" s="18" t="str">
        <f t="shared" si="0"/>
        <v>NBH-02</v>
      </c>
      <c r="C11" s="38">
        <f>GSD!F13</f>
        <v>15</v>
      </c>
      <c r="D11" s="39">
        <v>4.75</v>
      </c>
      <c r="E11" s="39">
        <v>2</v>
      </c>
      <c r="F11" s="39">
        <v>1.18</v>
      </c>
      <c r="G11" s="39">
        <v>0.6</v>
      </c>
      <c r="H11" s="39">
        <v>0.42499999999999999</v>
      </c>
      <c r="I11" s="39">
        <v>0.3</v>
      </c>
      <c r="J11" s="39">
        <v>0.15</v>
      </c>
      <c r="K11" s="39">
        <v>7.4999999999999997E-2</v>
      </c>
      <c r="L11" s="40">
        <f>HYD!Z13</f>
        <v>0</v>
      </c>
      <c r="M11" s="40">
        <f>HYD!AA13</f>
        <v>0</v>
      </c>
      <c r="N11" s="40">
        <f>HYD!AB13</f>
        <v>0</v>
      </c>
      <c r="O11" s="40">
        <f>HYD!AC13</f>
        <v>0</v>
      </c>
      <c r="P11" s="40">
        <f>HYD!AD13</f>
        <v>0</v>
      </c>
      <c r="Q11" s="40">
        <f>HYD!AE13</f>
        <v>0</v>
      </c>
      <c r="R11" s="40">
        <f>HYD!AF13</f>
        <v>0</v>
      </c>
      <c r="S11" s="40">
        <f>HYD!AG13</f>
        <v>0</v>
      </c>
      <c r="T11" s="40">
        <f>HYD!AH13</f>
        <v>0</v>
      </c>
      <c r="U11" s="40">
        <f>HYD!AI13</f>
        <v>0</v>
      </c>
      <c r="V11" s="40">
        <f>HYD!AJ13</f>
        <v>0</v>
      </c>
      <c r="W11" s="40">
        <f>HYD!AK13</f>
        <v>0</v>
      </c>
      <c r="X11" s="40">
        <f>HYD!AL13</f>
        <v>0</v>
      </c>
      <c r="Y11" s="41">
        <f>GSD!S13</f>
        <v>71.37</v>
      </c>
      <c r="Z11" s="41">
        <f>GSD!T13</f>
        <v>63.149999999999991</v>
      </c>
      <c r="AA11" s="41">
        <f>GSD!U13</f>
        <v>56.42</v>
      </c>
      <c r="AB11" s="41">
        <f>GSD!V13</f>
        <v>52.81</v>
      </c>
      <c r="AC11" s="41">
        <f>GSD!W13</f>
        <v>52.11</v>
      </c>
      <c r="AD11" s="41">
        <f>GSD!X13</f>
        <v>50.49</v>
      </c>
      <c r="AE11" s="41">
        <f>GSD!Y13</f>
        <v>47.650000000000006</v>
      </c>
      <c r="AF11" s="41">
        <f>GSD!Z13</f>
        <v>45.790000000000006</v>
      </c>
      <c r="AG11" s="41">
        <f>HYD!AM13</f>
        <v>0</v>
      </c>
      <c r="AH11" s="41">
        <f>HYD!AN13</f>
        <v>0</v>
      </c>
      <c r="AI11" s="41">
        <f>HYD!AO13</f>
        <v>0</v>
      </c>
      <c r="AJ11" s="41">
        <f>HYD!AP13</f>
        <v>0</v>
      </c>
      <c r="AK11" s="41">
        <f>HYD!AQ13</f>
        <v>0</v>
      </c>
      <c r="AL11" s="41">
        <f>HYD!AR13</f>
        <v>0</v>
      </c>
      <c r="AM11" s="41">
        <f>HYD!AS13</f>
        <v>0</v>
      </c>
      <c r="AN11" s="41">
        <f>HYD!AT13</f>
        <v>0</v>
      </c>
      <c r="AO11" s="41">
        <f>HYD!AU13</f>
        <v>0</v>
      </c>
      <c r="AP11" s="41">
        <f>HYD!AV13</f>
        <v>0</v>
      </c>
      <c r="AQ11" s="41">
        <f>HYD!AW13</f>
        <v>0</v>
      </c>
      <c r="AR11" s="41">
        <f>HYD!AX13</f>
        <v>0</v>
      </c>
      <c r="AS11" s="41">
        <f>HYD!AY13</f>
        <v>0</v>
      </c>
      <c r="AT11" s="42"/>
      <c r="AU11" s="42"/>
      <c r="AV11" s="42"/>
      <c r="AW11" s="42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shyam marsonia</cp:lastModifiedBy>
  <dcterms:created xsi:type="dcterms:W3CDTF">2026-06-15T06:47:07Z</dcterms:created>
  <dcterms:modified xsi:type="dcterms:W3CDTF">2026-09-26T10:08:01Z</dcterms:modified>
</cp:coreProperties>
</file>