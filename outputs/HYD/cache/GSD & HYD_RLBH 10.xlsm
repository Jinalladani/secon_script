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3\19.Western Railway Main Line _CH_ 379.975 km (RLBH-9 &amp; RLBH-10)\"/>
    </mc:Choice>
  </mc:AlternateContent>
  <xr:revisionPtr revIDLastSave="0" documentId="13_ncr:1_{F8C42B84-4F64-4AF6-AF51-B825AF7E4DF3}" xr6:coauthVersionLast="47" xr6:coauthVersionMax="47" xr10:uidLastSave="{00000000-0000-0000-0000-000000000000}"/>
  <bookViews>
    <workbookView xWindow="-120" yWindow="-120" windowWidth="29040" windowHeight="15720" activeTab="3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12" i="7"/>
  <c r="I13" i="7"/>
  <c r="I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<sst xmlns="http://schemas.openxmlformats.org/spreadsheetml/2006/main" count="82" uniqueCount="59">
  <si>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</si>
  <si>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</si>
  <si>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</si>
  <si>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</si>
  <si>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</si>
  <si>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</si>
  <si>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</si>
  <si>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</si>
  <si>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</si>
  <si>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</si>
  <si>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</si>
  <si>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</si>
  <si>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</si>
  <si>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</si>
  <si>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</si>
  <si>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</si>
  <si>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</si>
  <si>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</si>
  <si>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</si>
  <si>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</si>
  <si>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</si>
  <si>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</si>
  <si>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</si>
  <si>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</si>
  <si>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</si>
  <si>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</si>
  <si>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</si>
  <si>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</si>
  <si>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</si>
  <si>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</si>
  <si>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</si>
  <si>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</si>
  <si>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</si>
  <si>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</si>
  <si>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</si>
  <si>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</si>
  <si>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</si>
  <si>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</si>
  <si>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</si>
  <si>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</si>
  <si>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</si>
  <si>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</si>
  <si>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</si>
  <si>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</si>
  <si>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</si>
  <si>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</si>
  <si>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</si>
  <si>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</si>
  <si>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</si>
  <si>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RLBH-10</t>
  </si>
  <si>
    <t>A145</t>
  </si>
  <si>
    <t>A020</t>
  </si>
  <si>
    <t>A157</t>
  </si>
  <si>
    <t>A022</t>
  </si>
  <si>
    <t>A064</t>
  </si>
  <si>
    <t>A011</t>
  </si>
  <si>
    <t>A09</t>
  </si>
  <si>
    <t>A046</t>
  </si>
  <si>
    <t>A017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</si>
</sst>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100</c:v>
                </c:pt>
                <c:pt idx="1">
                  <c:v>99.94</c:v>
                </c:pt>
                <c:pt idx="2">
                  <c:v>99.9</c:v>
                </c:pt>
                <c:pt idx="3">
                  <c:v>99.04</c:v>
                </c:pt>
                <c:pt idx="4">
                  <c:v>85.41</c:v>
                </c:pt>
                <c:pt idx="5">
                  <c:v>72.22</c:v>
                </c:pt>
                <c:pt idx="6">
                  <c:v>46.07</c:v>
                </c:pt>
                <c:pt idx="7">
                  <c:v>32.450000000000003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98.19</c:v>
                </c:pt>
                <c:pt idx="1">
                  <c:v>97.844999999999999</c:v>
                </c:pt>
                <c:pt idx="2">
                  <c:v>97.694999999999993</c:v>
                </c:pt>
                <c:pt idx="3">
                  <c:v>96.545000000000002</c:v>
                </c:pt>
                <c:pt idx="4">
                  <c:v>79.504999999999995</c:v>
                </c:pt>
                <c:pt idx="5">
                  <c:v>69.47</c:v>
                </c:pt>
                <c:pt idx="6">
                  <c:v>66.875</c:v>
                </c:pt>
                <c:pt idx="7">
                  <c:v>59.00500000000001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97.62</c:v>
                </c:pt>
                <c:pt idx="1">
                  <c:v>95.94</c:v>
                </c:pt>
                <c:pt idx="2">
                  <c:v>95.66</c:v>
                </c:pt>
                <c:pt idx="3">
                  <c:v>94.36</c:v>
                </c:pt>
                <c:pt idx="4">
                  <c:v>84.78</c:v>
                </c:pt>
                <c:pt idx="5">
                  <c:v>77.069999999999993</c:v>
                </c:pt>
                <c:pt idx="6">
                  <c:v>48.81</c:v>
                </c:pt>
                <c:pt idx="7">
                  <c:v>34.659999999999997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86.944999999999993</c:v>
                </c:pt>
                <c:pt idx="1">
                  <c:v>85.295000000000002</c:v>
                </c:pt>
                <c:pt idx="2">
                  <c:v>84.875</c:v>
                </c:pt>
                <c:pt idx="3">
                  <c:v>83.84</c:v>
                </c:pt>
                <c:pt idx="4">
                  <c:v>77.644999999999996</c:v>
                </c:pt>
                <c:pt idx="5">
                  <c:v>73.239999999999995</c:v>
                </c:pt>
                <c:pt idx="6">
                  <c:v>41.7</c:v>
                </c:pt>
                <c:pt idx="7">
                  <c:v>34.19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94.54</c:v>
                </c:pt>
                <c:pt idx="1">
                  <c:v>92.65</c:v>
                </c:pt>
                <c:pt idx="2">
                  <c:v>92.28</c:v>
                </c:pt>
                <c:pt idx="3">
                  <c:v>90.25</c:v>
                </c:pt>
                <c:pt idx="4">
                  <c:v>75.64</c:v>
                </c:pt>
                <c:pt idx="5">
                  <c:v>65.5</c:v>
                </c:pt>
                <c:pt idx="6">
                  <c:v>40.730000000000004</c:v>
                </c:pt>
                <c:pt idx="7">
                  <c:v>31.689999999999998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100</c:v>
                </c:pt>
                <c:pt idx="1">
                  <c:v>99.69</c:v>
                </c:pt>
                <c:pt idx="2">
                  <c:v>99.55</c:v>
                </c:pt>
                <c:pt idx="3">
                  <c:v>99.31</c:v>
                </c:pt>
                <c:pt idx="4">
                  <c:v>96.55</c:v>
                </c:pt>
                <c:pt idx="5">
                  <c:v>87.07</c:v>
                </c:pt>
                <c:pt idx="6">
                  <c:v>42.39</c:v>
                </c:pt>
                <c:pt idx="7">
                  <c:v>29.92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99.68</c:v>
                </c:pt>
                <c:pt idx="1">
                  <c:v>98.79</c:v>
                </c:pt>
                <c:pt idx="2">
                  <c:v>98.42</c:v>
                </c:pt>
                <c:pt idx="3">
                  <c:v>96.73</c:v>
                </c:pt>
                <c:pt idx="4">
                  <c:v>83.73</c:v>
                </c:pt>
                <c:pt idx="5">
                  <c:v>70.37</c:v>
                </c:pt>
                <c:pt idx="6">
                  <c:v>39.150000000000006</c:v>
                </c:pt>
                <c:pt idx="7">
                  <c:v>28.710000000000008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98.73</c:v>
                </c:pt>
                <c:pt idx="1">
                  <c:v>97.7</c:v>
                </c:pt>
                <c:pt idx="2">
                  <c:v>97.1</c:v>
                </c:pt>
                <c:pt idx="3">
                  <c:v>94.99</c:v>
                </c:pt>
                <c:pt idx="4">
                  <c:v>67.990000000000009</c:v>
                </c:pt>
                <c:pt idx="5">
                  <c:v>57.090000000000011</c:v>
                </c:pt>
                <c:pt idx="6">
                  <c:v>27.72</c:v>
                </c:pt>
                <c:pt idx="7">
                  <c:v>20.590000000000003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100</c:v>
                </c:pt>
                <c:pt idx="1">
                  <c:v>99.61</c:v>
                </c:pt>
                <c:pt idx="2">
                  <c:v>99.15</c:v>
                </c:pt>
                <c:pt idx="3">
                  <c:v>97.47</c:v>
                </c:pt>
                <c:pt idx="4">
                  <c:v>83.13</c:v>
                </c:pt>
                <c:pt idx="5">
                  <c:v>68.460000000000008</c:v>
                </c:pt>
                <c:pt idx="6">
                  <c:v>34.789999999999992</c:v>
                </c:pt>
                <c:pt idx="7">
                  <c:v>21.61999999999999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100</c:v>
                </c:pt>
                <c:pt idx="1">
                  <c:v>99.94</c:v>
                </c:pt>
                <c:pt idx="2">
                  <c:v>99.9</c:v>
                </c:pt>
                <c:pt idx="3">
                  <c:v>99.04</c:v>
                </c:pt>
                <c:pt idx="4">
                  <c:v>85.41</c:v>
                </c:pt>
                <c:pt idx="5">
                  <c:v>72.22</c:v>
                </c:pt>
                <c:pt idx="6">
                  <c:v>46.07</c:v>
                </c:pt>
                <c:pt idx="7">
                  <c:v>32.450000000000003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98.19</c:v>
                </c:pt>
                <c:pt idx="1">
                  <c:v>97.844999999999999</c:v>
                </c:pt>
                <c:pt idx="2">
                  <c:v>97.694999999999993</c:v>
                </c:pt>
                <c:pt idx="3">
                  <c:v>96.545000000000002</c:v>
                </c:pt>
                <c:pt idx="4">
                  <c:v>79.504999999999995</c:v>
                </c:pt>
                <c:pt idx="5">
                  <c:v>69.47</c:v>
                </c:pt>
                <c:pt idx="6">
                  <c:v>66.875</c:v>
                </c:pt>
                <c:pt idx="7">
                  <c:v>59.00500000000001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97.62</c:v>
                </c:pt>
                <c:pt idx="1">
                  <c:v>95.94</c:v>
                </c:pt>
                <c:pt idx="2">
                  <c:v>95.66</c:v>
                </c:pt>
                <c:pt idx="3">
                  <c:v>94.36</c:v>
                </c:pt>
                <c:pt idx="4">
                  <c:v>84.78</c:v>
                </c:pt>
                <c:pt idx="5">
                  <c:v>77.069999999999993</c:v>
                </c:pt>
                <c:pt idx="6">
                  <c:v>48.81</c:v>
                </c:pt>
                <c:pt idx="7">
                  <c:v>34.659999999999997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86.944999999999993</c:v>
                </c:pt>
                <c:pt idx="1">
                  <c:v>85.295000000000002</c:v>
                </c:pt>
                <c:pt idx="2">
                  <c:v>84.875</c:v>
                </c:pt>
                <c:pt idx="3">
                  <c:v>83.84</c:v>
                </c:pt>
                <c:pt idx="4">
                  <c:v>77.644999999999996</c:v>
                </c:pt>
                <c:pt idx="5">
                  <c:v>73.239999999999995</c:v>
                </c:pt>
                <c:pt idx="6">
                  <c:v>41.7</c:v>
                </c:pt>
                <c:pt idx="7">
                  <c:v>34.19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94.54</c:v>
                </c:pt>
                <c:pt idx="1">
                  <c:v>92.65</c:v>
                </c:pt>
                <c:pt idx="2">
                  <c:v>92.28</c:v>
                </c:pt>
                <c:pt idx="3">
                  <c:v>90.25</c:v>
                </c:pt>
                <c:pt idx="4">
                  <c:v>75.64</c:v>
                </c:pt>
                <c:pt idx="5">
                  <c:v>65.5</c:v>
                </c:pt>
                <c:pt idx="6">
                  <c:v>40.730000000000004</c:v>
                </c:pt>
                <c:pt idx="7">
                  <c:v>31.689999999999998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100</c:v>
                </c:pt>
                <c:pt idx="1">
                  <c:v>99.69</c:v>
                </c:pt>
                <c:pt idx="2">
                  <c:v>99.55</c:v>
                </c:pt>
                <c:pt idx="3">
                  <c:v>99.31</c:v>
                </c:pt>
                <c:pt idx="4">
                  <c:v>96.55</c:v>
                </c:pt>
                <c:pt idx="5">
                  <c:v>87.07</c:v>
                </c:pt>
                <c:pt idx="6">
                  <c:v>42.39</c:v>
                </c:pt>
                <c:pt idx="7">
                  <c:v>29.92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99.68</c:v>
                </c:pt>
                <c:pt idx="1">
                  <c:v>98.79</c:v>
                </c:pt>
                <c:pt idx="2">
                  <c:v>98.42</c:v>
                </c:pt>
                <c:pt idx="3">
                  <c:v>96.73</c:v>
                </c:pt>
                <c:pt idx="4">
                  <c:v>83.73</c:v>
                </c:pt>
                <c:pt idx="5">
                  <c:v>70.37</c:v>
                </c:pt>
                <c:pt idx="6">
                  <c:v>39.150000000000006</c:v>
                </c:pt>
                <c:pt idx="7">
                  <c:v>28.710000000000008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98.73</c:v>
                </c:pt>
                <c:pt idx="1">
                  <c:v>97.7</c:v>
                </c:pt>
                <c:pt idx="2">
                  <c:v>97.1</c:v>
                </c:pt>
                <c:pt idx="3">
                  <c:v>94.99</c:v>
                </c:pt>
                <c:pt idx="4">
                  <c:v>67.990000000000009</c:v>
                </c:pt>
                <c:pt idx="5">
                  <c:v>57.090000000000011</c:v>
                </c:pt>
                <c:pt idx="6">
                  <c:v>27.72</c:v>
                </c:pt>
                <c:pt idx="7">
                  <c:v>20.590000000000003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100</c:v>
                </c:pt>
                <c:pt idx="1">
                  <c:v>99.61</c:v>
                </c:pt>
                <c:pt idx="2">
                  <c:v>99.15</c:v>
                </c:pt>
                <c:pt idx="3">
                  <c:v>97.47</c:v>
                </c:pt>
                <c:pt idx="4">
                  <c:v>83.13</c:v>
                </c:pt>
                <c:pt idx="5">
                  <c:v>68.460000000000008</c:v>
                </c:pt>
                <c:pt idx="6">
                  <c:v>34.789999999999992</c:v>
                </c:pt>
                <c:pt idx="7">
                  <c:v>21.61999999999999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view="pageBreakPreview" topLeftCell="A4" zoomScale="130" zoomScaleNormal="85" zoomScaleSheetLayoutView="130" zoomScalePageLayoutView="85" workbookViewId="0">
      <selection activeCell="AH16" sqref="AH16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 x14ac:dyDescent="0.25">
      <c r="A1" s="59" t="s">
        <v>3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</row>
    <row r="2" spans="1:29" ht="24.6" customHeight="1" x14ac:dyDescent="0.25">
      <c r="A2" s="60" t="s">
        <v>4</v>
      </c>
      <c r="B2" s="63" t="s">
        <v>5</v>
      </c>
      <c r="C2" s="63" t="s">
        <v>6</v>
      </c>
      <c r="D2" s="63" t="s">
        <v>7</v>
      </c>
      <c r="E2" s="66" t="s">
        <v>8</v>
      </c>
      <c r="F2" s="66" t="s">
        <v>9</v>
      </c>
      <c r="G2" s="66" t="s">
        <v>10</v>
      </c>
      <c r="H2" s="66" t="s">
        <v>11</v>
      </c>
      <c r="I2" s="67" t="s">
        <v>12</v>
      </c>
      <c r="J2" s="56" t="s">
        <v>13</v>
      </c>
      <c r="K2" s="56"/>
      <c r="L2" s="56"/>
      <c r="M2" s="56"/>
      <c r="N2" s="56"/>
      <c r="O2" s="56"/>
      <c r="P2" s="56"/>
      <c r="Q2" s="56"/>
      <c r="R2" s="56"/>
      <c r="S2" s="56" t="s">
        <v>0</v>
      </c>
      <c r="T2" s="56"/>
      <c r="U2" s="56"/>
      <c r="V2" s="56"/>
      <c r="W2" s="56"/>
      <c r="X2" s="56"/>
      <c r="Y2" s="56"/>
      <c r="Z2" s="56"/>
      <c r="AA2" s="69" t="s">
        <v>14</v>
      </c>
      <c r="AB2" s="69" t="s">
        <v>15</v>
      </c>
      <c r="AC2" s="69" t="s">
        <v>16</v>
      </c>
    </row>
    <row r="3" spans="1:29" ht="40.5" customHeight="1" x14ac:dyDescent="0.25">
      <c r="A3" s="61"/>
      <c r="B3" s="64"/>
      <c r="C3" s="64"/>
      <c r="D3" s="64"/>
      <c r="E3" s="66"/>
      <c r="F3" s="66"/>
      <c r="G3" s="66"/>
      <c r="H3" s="66"/>
      <c r="I3" s="68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9"/>
      <c r="AB3" s="69"/>
      <c r="AC3" s="69"/>
    </row>
    <row r="4" spans="1:29" ht="21.6" customHeight="1" x14ac:dyDescent="0.25">
      <c r="A4" s="62"/>
      <c r="B4" s="65"/>
      <c r="C4" s="65"/>
      <c r="D4" s="65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6" t="s">
        <v>20</v>
      </c>
      <c r="K4" s="56"/>
      <c r="L4" s="56"/>
      <c r="M4" s="56"/>
      <c r="N4" s="56"/>
      <c r="O4" s="56"/>
      <c r="P4" s="56"/>
      <c r="Q4" s="56"/>
      <c r="R4" s="56"/>
      <c r="S4" s="56" t="s">
        <v>20</v>
      </c>
      <c r="T4" s="56"/>
      <c r="U4" s="56"/>
      <c r="V4" s="56"/>
      <c r="W4" s="56"/>
      <c r="X4" s="56"/>
      <c r="Y4" s="56"/>
      <c r="Z4" s="56"/>
      <c r="AA4" s="70" t="s">
        <v>21</v>
      </c>
      <c r="AB4" s="71"/>
      <c r="AC4" s="71"/>
    </row>
    <row r="5" spans="1:29" ht="30" customHeight="1" x14ac:dyDescent="0.25">
      <c r="A5" s="9">
        <v>1</v>
      </c>
      <c r="B5" s="57" t="s">
        <v>49</v>
      </c>
      <c r="C5" s="57"/>
      <c r="D5" s="58"/>
      <c r="E5" s="46" t="s">
        <v>22</v>
      </c>
      <c r="F5" s="24">
        <v>0.5</v>
      </c>
      <c r="G5" s="46" t="s">
        <v>50</v>
      </c>
      <c r="H5" s="33">
        <v>100</v>
      </c>
      <c r="I5" s="24">
        <f>H5-SUM(J5:Q5)</f>
        <v>32.450000000000003</v>
      </c>
      <c r="J5" s="24">
        <v>0</v>
      </c>
      <c r="K5" s="24">
        <v>0.06</v>
      </c>
      <c r="L5" s="24">
        <v>0.04</v>
      </c>
      <c r="M5" s="24">
        <v>0.86</v>
      </c>
      <c r="N5" s="24">
        <v>13.63</v>
      </c>
      <c r="O5" s="24">
        <v>13.19</v>
      </c>
      <c r="P5" s="24">
        <v>26.15</v>
      </c>
      <c r="Q5" s="24">
        <v>13.62</v>
      </c>
      <c r="R5" s="10"/>
      <c r="S5" s="11">
        <f t="shared" ref="S5:S13" si="0">((H5-(SUM(J5)))/H5)*100</f>
        <v>100</v>
      </c>
      <c r="T5" s="11">
        <f t="shared" ref="T5:T13" si="1">((H5-(SUM(J5:K5)))/H5)*100</f>
        <v>99.94</v>
      </c>
      <c r="U5" s="11">
        <f t="shared" ref="U5:U13" si="2">((H5-(SUM(J5:L5)))/H5)*100</f>
        <v>99.9</v>
      </c>
      <c r="V5" s="11">
        <f t="shared" ref="V5:V13" si="3">((H5-(SUM(J5:M5)))/H5)*100</f>
        <v>99.04</v>
      </c>
      <c r="W5" s="11">
        <f t="shared" ref="W5:W13" si="4">((H5-(SUM(J5:N5)))/H5)*100</f>
        <v>85.41</v>
      </c>
      <c r="X5" s="11">
        <f t="shared" ref="X5:X13" si="5">((H5-(SUM(J5:O5)))/H5)*100</f>
        <v>72.22</v>
      </c>
      <c r="Y5" s="11">
        <f t="shared" ref="Y5:Y13" si="6">((H5-(SUM(J5:P5)))/H5)*100</f>
        <v>46.07</v>
      </c>
      <c r="Z5" s="11">
        <f t="shared" ref="Z5:Z13" si="7">((H5-(SUM(J5:Q5)))/H5)*100</f>
        <v>32.450000000000003</v>
      </c>
      <c r="AA5" s="11">
        <f t="shared" ref="AA5:AA13" si="8">100-S5</f>
        <v>0</v>
      </c>
      <c r="AB5" s="11">
        <f t="shared" ref="AB5:AB13" si="9">S5-Z5</f>
        <v>67.55</v>
      </c>
      <c r="AC5" s="11">
        <f t="shared" ref="AC5:AC13" si="10">Z5</f>
        <v>32.450000000000003</v>
      </c>
    </row>
    <row r="6" spans="1:29" ht="30" customHeight="1" x14ac:dyDescent="0.25">
      <c r="A6" s="9">
        <v>2</v>
      </c>
      <c r="B6" s="57"/>
      <c r="C6" s="57"/>
      <c r="D6" s="58"/>
      <c r="E6" s="46" t="s">
        <v>48</v>
      </c>
      <c r="F6" s="24">
        <v>1.5</v>
      </c>
      <c r="G6" s="46" t="s">
        <v>51</v>
      </c>
      <c r="H6" s="33">
        <v>200</v>
      </c>
      <c r="I6" s="24">
        <f t="shared" ref="I6:I13" si="11">H6-SUM(J6:Q6)</f>
        <v>118.01</v>
      </c>
      <c r="J6" s="24">
        <v>3.62</v>
      </c>
      <c r="K6" s="24">
        <v>0.69</v>
      </c>
      <c r="L6" s="24">
        <v>0.3</v>
      </c>
      <c r="M6" s="24">
        <v>2.2999999999999998</v>
      </c>
      <c r="N6" s="24">
        <v>34.08</v>
      </c>
      <c r="O6" s="24">
        <v>20.07</v>
      </c>
      <c r="P6" s="24">
        <v>5.19</v>
      </c>
      <c r="Q6" s="24">
        <v>15.74</v>
      </c>
      <c r="R6" s="10"/>
      <c r="S6" s="11">
        <f t="shared" si="0"/>
        <v>98.19</v>
      </c>
      <c r="T6" s="11">
        <f t="shared" si="1"/>
        <v>97.844999999999999</v>
      </c>
      <c r="U6" s="11">
        <f t="shared" si="2"/>
        <v>97.694999999999993</v>
      </c>
      <c r="V6" s="11">
        <f t="shared" si="3"/>
        <v>96.545000000000002</v>
      </c>
      <c r="W6" s="11">
        <f t="shared" si="4"/>
        <v>79.504999999999995</v>
      </c>
      <c r="X6" s="11">
        <f t="shared" si="5"/>
        <v>69.47</v>
      </c>
      <c r="Y6" s="11">
        <f t="shared" si="6"/>
        <v>66.875</v>
      </c>
      <c r="Z6" s="11">
        <f t="shared" si="7"/>
        <v>59.00500000000001</v>
      </c>
      <c r="AA6" s="11">
        <f t="shared" si="8"/>
        <v>1.8100000000000023</v>
      </c>
      <c r="AB6" s="11">
        <f t="shared" si="9"/>
        <v>39.184999999999988</v>
      </c>
      <c r="AC6" s="11">
        <f t="shared" si="10"/>
        <v>59.00500000000001</v>
      </c>
    </row>
    <row r="7" spans="1:29" ht="30" customHeight="1" x14ac:dyDescent="0.25">
      <c r="A7" s="9">
        <v>3</v>
      </c>
      <c r="B7" s="57"/>
      <c r="C7" s="57"/>
      <c r="D7" s="58"/>
      <c r="E7" s="46" t="s">
        <v>22</v>
      </c>
      <c r="F7" s="24">
        <v>3.5</v>
      </c>
      <c r="G7" s="46" t="s">
        <v>52</v>
      </c>
      <c r="H7" s="33">
        <v>100</v>
      </c>
      <c r="I7" s="24">
        <f t="shared" si="11"/>
        <v>34.659999999999997</v>
      </c>
      <c r="J7" s="24">
        <v>2.38</v>
      </c>
      <c r="K7" s="24">
        <v>1.68</v>
      </c>
      <c r="L7" s="24">
        <v>0.28000000000000003</v>
      </c>
      <c r="M7" s="24">
        <v>1.3</v>
      </c>
      <c r="N7" s="24">
        <v>9.58</v>
      </c>
      <c r="O7" s="24">
        <v>7.71</v>
      </c>
      <c r="P7" s="24">
        <v>28.26</v>
      </c>
      <c r="Q7" s="24">
        <v>14.15</v>
      </c>
      <c r="R7" s="10"/>
      <c r="S7" s="11">
        <f t="shared" si="0"/>
        <v>97.62</v>
      </c>
      <c r="T7" s="11">
        <f t="shared" si="1"/>
        <v>95.94</v>
      </c>
      <c r="U7" s="11">
        <f t="shared" si="2"/>
        <v>95.66</v>
      </c>
      <c r="V7" s="11">
        <f t="shared" si="3"/>
        <v>94.36</v>
      </c>
      <c r="W7" s="11">
        <f t="shared" si="4"/>
        <v>84.78</v>
      </c>
      <c r="X7" s="11">
        <f t="shared" si="5"/>
        <v>77.069999999999993</v>
      </c>
      <c r="Y7" s="11">
        <f t="shared" si="6"/>
        <v>48.81</v>
      </c>
      <c r="Z7" s="11">
        <f t="shared" si="7"/>
        <v>34.659999999999997</v>
      </c>
      <c r="AA7" s="11">
        <f t="shared" si="8"/>
        <v>2.3799999999999955</v>
      </c>
      <c r="AB7" s="11">
        <f t="shared" si="9"/>
        <v>62.960000000000008</v>
      </c>
      <c r="AC7" s="11">
        <f t="shared" si="10"/>
        <v>34.659999999999997</v>
      </c>
    </row>
    <row r="8" spans="1:29" ht="30" customHeight="1" x14ac:dyDescent="0.25">
      <c r="A8" s="9">
        <v>4</v>
      </c>
      <c r="B8" s="57"/>
      <c r="C8" s="57"/>
      <c r="D8" s="58"/>
      <c r="E8" s="46" t="s">
        <v>48</v>
      </c>
      <c r="F8" s="24">
        <v>4.5</v>
      </c>
      <c r="G8" s="46" t="s">
        <v>53</v>
      </c>
      <c r="H8" s="33">
        <v>200</v>
      </c>
      <c r="I8" s="24">
        <f t="shared" si="11"/>
        <v>68.38</v>
      </c>
      <c r="J8" s="24">
        <v>26.11</v>
      </c>
      <c r="K8" s="24">
        <v>3.3</v>
      </c>
      <c r="L8" s="24">
        <v>0.84</v>
      </c>
      <c r="M8" s="24">
        <v>2.0699999999999998</v>
      </c>
      <c r="N8" s="24">
        <v>12.39</v>
      </c>
      <c r="O8" s="24">
        <v>8.81</v>
      </c>
      <c r="P8" s="24">
        <v>63.08</v>
      </c>
      <c r="Q8" s="24">
        <v>15.02</v>
      </c>
      <c r="R8" s="10"/>
      <c r="S8" s="11">
        <f t="shared" si="0"/>
        <v>86.944999999999993</v>
      </c>
      <c r="T8" s="11">
        <f t="shared" si="1"/>
        <v>85.295000000000002</v>
      </c>
      <c r="U8" s="11">
        <f t="shared" si="2"/>
        <v>84.875</v>
      </c>
      <c r="V8" s="11">
        <f t="shared" si="3"/>
        <v>83.84</v>
      </c>
      <c r="W8" s="11">
        <f t="shared" si="4"/>
        <v>77.644999999999996</v>
      </c>
      <c r="X8" s="11">
        <f t="shared" si="5"/>
        <v>73.239999999999995</v>
      </c>
      <c r="Y8" s="11">
        <f t="shared" si="6"/>
        <v>41.7</v>
      </c>
      <c r="Z8" s="11">
        <f t="shared" si="7"/>
        <v>34.19</v>
      </c>
      <c r="AA8" s="11">
        <f t="shared" si="8"/>
        <v>13.055000000000007</v>
      </c>
      <c r="AB8" s="11">
        <f t="shared" si="9"/>
        <v>52.754999999999995</v>
      </c>
      <c r="AC8" s="11">
        <f t="shared" si="10"/>
        <v>34.19</v>
      </c>
    </row>
    <row r="9" spans="1:29" ht="30" customHeight="1" x14ac:dyDescent="0.25">
      <c r="A9" s="9">
        <v>5</v>
      </c>
      <c r="B9" s="57"/>
      <c r="C9" s="57"/>
      <c r="D9" s="58"/>
      <c r="E9" s="46" t="s">
        <v>22</v>
      </c>
      <c r="F9" s="24">
        <v>6.5</v>
      </c>
      <c r="G9" s="46" t="s">
        <v>54</v>
      </c>
      <c r="H9" s="33">
        <v>100</v>
      </c>
      <c r="I9" s="24">
        <f t="shared" si="11"/>
        <v>31.689999999999998</v>
      </c>
      <c r="J9" s="24">
        <v>5.46</v>
      </c>
      <c r="K9" s="24">
        <v>1.89</v>
      </c>
      <c r="L9" s="24">
        <v>0.37</v>
      </c>
      <c r="M9" s="24">
        <v>2.0299999999999998</v>
      </c>
      <c r="N9" s="24">
        <v>14.61</v>
      </c>
      <c r="O9" s="24">
        <v>10.14</v>
      </c>
      <c r="P9" s="24">
        <v>24.77</v>
      </c>
      <c r="Q9" s="24">
        <v>9.0399999999999991</v>
      </c>
      <c r="R9" s="10"/>
      <c r="S9" s="11">
        <f t="shared" si="0"/>
        <v>94.54</v>
      </c>
      <c r="T9" s="11">
        <f t="shared" si="1"/>
        <v>92.65</v>
      </c>
      <c r="U9" s="11">
        <f t="shared" si="2"/>
        <v>92.28</v>
      </c>
      <c r="V9" s="11">
        <f t="shared" si="3"/>
        <v>90.25</v>
      </c>
      <c r="W9" s="11">
        <f t="shared" si="4"/>
        <v>75.64</v>
      </c>
      <c r="X9" s="11">
        <f>((H9-(SUM(J9:O9)))/H9)*100</f>
        <v>65.5</v>
      </c>
      <c r="Y9" s="11">
        <f t="shared" si="6"/>
        <v>40.730000000000004</v>
      </c>
      <c r="Z9" s="11">
        <f t="shared" si="7"/>
        <v>31.689999999999998</v>
      </c>
      <c r="AA9" s="11">
        <f t="shared" si="8"/>
        <v>5.4599999999999937</v>
      </c>
      <c r="AB9" s="11">
        <f t="shared" si="9"/>
        <v>62.850000000000009</v>
      </c>
      <c r="AC9" s="11">
        <f t="shared" si="10"/>
        <v>31.689999999999998</v>
      </c>
    </row>
    <row r="10" spans="1:29" s="34" customFormat="1" ht="30" customHeight="1" x14ac:dyDescent="0.25">
      <c r="A10" s="42">
        <v>666</v>
      </c>
      <c r="B10" s="57"/>
      <c r="C10" s="57"/>
      <c r="D10" s="58"/>
      <c r="E10" s="46" t="s">
        <v>22</v>
      </c>
      <c r="F10" s="43">
        <v>7.5</v>
      </c>
      <c r="G10" s="47" t="s">
        <v>55</v>
      </c>
      <c r="H10" s="55">
        <v>100</v>
      </c>
      <c r="I10" s="24">
        <f t="shared" si="11"/>
        <v>29.92</v>
      </c>
      <c r="J10" s="43">
        <v>0</v>
      </c>
      <c r="K10" s="43">
        <v>0.31</v>
      </c>
      <c r="L10" s="43">
        <v>0.14000000000000001</v>
      </c>
      <c r="M10" s="43">
        <v>0.24</v>
      </c>
      <c r="N10" s="43">
        <v>2.76</v>
      </c>
      <c r="O10" s="43">
        <v>9.48</v>
      </c>
      <c r="P10" s="43">
        <v>44.68</v>
      </c>
      <c r="Q10" s="43">
        <v>12.47</v>
      </c>
      <c r="R10" s="44"/>
      <c r="S10" s="45">
        <f t="shared" si="0"/>
        <v>100</v>
      </c>
      <c r="T10" s="45">
        <f t="shared" si="1"/>
        <v>99.69</v>
      </c>
      <c r="U10" s="45">
        <f t="shared" si="2"/>
        <v>99.55</v>
      </c>
      <c r="V10" s="45">
        <f t="shared" si="3"/>
        <v>99.31</v>
      </c>
      <c r="W10" s="45">
        <f t="shared" si="4"/>
        <v>96.55</v>
      </c>
      <c r="X10" s="45">
        <f t="shared" si="5"/>
        <v>87.07</v>
      </c>
      <c r="Y10" s="45">
        <f t="shared" si="6"/>
        <v>42.39</v>
      </c>
      <c r="Z10" s="45">
        <f t="shared" si="7"/>
        <v>29.92</v>
      </c>
      <c r="AA10" s="45">
        <f t="shared" si="8"/>
        <v>0</v>
      </c>
      <c r="AB10" s="45">
        <f t="shared" si="9"/>
        <v>70.08</v>
      </c>
      <c r="AC10" s="45">
        <f t="shared" si="10"/>
        <v>29.92</v>
      </c>
    </row>
    <row r="11" spans="1:29" ht="30" customHeight="1" x14ac:dyDescent="0.25">
      <c r="A11" s="9">
        <v>7</v>
      </c>
      <c r="B11" s="57"/>
      <c r="C11" s="57"/>
      <c r="D11" s="58"/>
      <c r="E11" s="46" t="s">
        <v>22</v>
      </c>
      <c r="F11" s="24">
        <v>10.5</v>
      </c>
      <c r="G11" s="46" t="s">
        <v>56</v>
      </c>
      <c r="H11" s="55">
        <v>100</v>
      </c>
      <c r="I11" s="24">
        <f t="shared" si="11"/>
        <v>28.710000000000008</v>
      </c>
      <c r="J11" s="24">
        <v>0.32</v>
      </c>
      <c r="K11" s="24">
        <v>0.89</v>
      </c>
      <c r="L11" s="24">
        <v>0.37</v>
      </c>
      <c r="M11" s="24">
        <v>1.69</v>
      </c>
      <c r="N11" s="24">
        <v>13</v>
      </c>
      <c r="O11" s="24">
        <v>13.36</v>
      </c>
      <c r="P11" s="24">
        <v>31.22</v>
      </c>
      <c r="Q11" s="24">
        <v>10.44</v>
      </c>
      <c r="R11" s="10"/>
      <c r="S11" s="11">
        <f t="shared" si="0"/>
        <v>99.68</v>
      </c>
      <c r="T11" s="11">
        <f t="shared" si="1"/>
        <v>98.79</v>
      </c>
      <c r="U11" s="11">
        <f t="shared" si="2"/>
        <v>98.42</v>
      </c>
      <c r="V11" s="11">
        <f t="shared" si="3"/>
        <v>96.73</v>
      </c>
      <c r="W11" s="11">
        <f t="shared" si="4"/>
        <v>83.73</v>
      </c>
      <c r="X11" s="11">
        <f t="shared" si="5"/>
        <v>70.37</v>
      </c>
      <c r="Y11" s="11">
        <f t="shared" si="6"/>
        <v>39.150000000000006</v>
      </c>
      <c r="Z11" s="11">
        <f t="shared" si="7"/>
        <v>28.710000000000008</v>
      </c>
      <c r="AA11" s="11">
        <f t="shared" si="8"/>
        <v>0.31999999999999318</v>
      </c>
      <c r="AB11" s="11">
        <f t="shared" si="9"/>
        <v>70.97</v>
      </c>
      <c r="AC11" s="11">
        <f t="shared" si="10"/>
        <v>28.710000000000008</v>
      </c>
    </row>
    <row r="12" spans="1:29" ht="30" customHeight="1" x14ac:dyDescent="0.25">
      <c r="A12" s="9">
        <v>8</v>
      </c>
      <c r="B12" s="57"/>
      <c r="C12" s="57"/>
      <c r="D12" s="58"/>
      <c r="E12" s="46" t="s">
        <v>22</v>
      </c>
      <c r="F12" s="24">
        <v>13.5</v>
      </c>
      <c r="G12" s="46" t="s">
        <v>57</v>
      </c>
      <c r="H12" s="55">
        <v>100</v>
      </c>
      <c r="I12" s="24">
        <f t="shared" si="11"/>
        <v>20.590000000000003</v>
      </c>
      <c r="J12" s="24">
        <v>1.27</v>
      </c>
      <c r="K12" s="24">
        <v>1.03</v>
      </c>
      <c r="L12" s="24">
        <v>0.6</v>
      </c>
      <c r="M12" s="24">
        <v>2.11</v>
      </c>
      <c r="N12" s="24">
        <v>27</v>
      </c>
      <c r="O12" s="24">
        <v>10.9</v>
      </c>
      <c r="P12" s="24">
        <v>29.37</v>
      </c>
      <c r="Q12" s="24">
        <v>7.13</v>
      </c>
      <c r="R12" s="10"/>
      <c r="S12" s="11">
        <f t="shared" si="0"/>
        <v>98.73</v>
      </c>
      <c r="T12" s="11">
        <f t="shared" si="1"/>
        <v>97.7</v>
      </c>
      <c r="U12" s="11">
        <f t="shared" si="2"/>
        <v>97.1</v>
      </c>
      <c r="V12" s="11">
        <f t="shared" si="3"/>
        <v>94.99</v>
      </c>
      <c r="W12" s="11">
        <f t="shared" si="4"/>
        <v>67.990000000000009</v>
      </c>
      <c r="X12" s="11">
        <f t="shared" si="5"/>
        <v>57.090000000000011</v>
      </c>
      <c r="Y12" s="11">
        <f t="shared" si="6"/>
        <v>27.72</v>
      </c>
      <c r="Z12" s="11">
        <f t="shared" si="7"/>
        <v>20.590000000000003</v>
      </c>
      <c r="AA12" s="11">
        <f t="shared" si="8"/>
        <v>1.269999999999996</v>
      </c>
      <c r="AB12" s="11">
        <f t="shared" si="9"/>
        <v>78.14</v>
      </c>
      <c r="AC12" s="11">
        <f t="shared" si="10"/>
        <v>20.590000000000003</v>
      </c>
    </row>
    <row r="13" spans="1:29" ht="30" customHeight="1" x14ac:dyDescent="0.25">
      <c r="A13" s="9">
        <v>9</v>
      </c>
      <c r="B13" s="57"/>
      <c r="C13" s="57"/>
      <c r="D13" s="58"/>
      <c r="E13" s="46" t="s">
        <v>22</v>
      </c>
      <c r="F13" s="24">
        <v>15</v>
      </c>
      <c r="G13" s="46" t="s">
        <v>58</v>
      </c>
      <c r="H13" s="55">
        <v>100</v>
      </c>
      <c r="I13" s="24">
        <f t="shared" si="11"/>
        <v>21.61999999999999</v>
      </c>
      <c r="J13" s="24">
        <v>0</v>
      </c>
      <c r="K13" s="24">
        <v>0.39</v>
      </c>
      <c r="L13" s="24">
        <v>0.46</v>
      </c>
      <c r="M13" s="24">
        <v>1.68</v>
      </c>
      <c r="N13" s="24">
        <v>14.34</v>
      </c>
      <c r="O13" s="24">
        <v>14.67</v>
      </c>
      <c r="P13" s="24">
        <v>33.67</v>
      </c>
      <c r="Q13" s="24">
        <v>13.17</v>
      </c>
      <c r="R13" s="10"/>
      <c r="S13" s="11">
        <f t="shared" si="0"/>
        <v>100</v>
      </c>
      <c r="T13" s="11">
        <f t="shared" si="1"/>
        <v>99.61</v>
      </c>
      <c r="U13" s="11">
        <f t="shared" si="2"/>
        <v>99.15</v>
      </c>
      <c r="V13" s="11">
        <f t="shared" si="3"/>
        <v>97.47</v>
      </c>
      <c r="W13" s="11">
        <f t="shared" si="4"/>
        <v>83.13</v>
      </c>
      <c r="X13" s="11">
        <f t="shared" si="5"/>
        <v>68.460000000000008</v>
      </c>
      <c r="Y13" s="11">
        <f t="shared" si="6"/>
        <v>34.789999999999992</v>
      </c>
      <c r="Z13" s="11">
        <f t="shared" si="7"/>
        <v>21.61999999999999</v>
      </c>
      <c r="AA13" s="11">
        <f t="shared" si="8"/>
        <v>0</v>
      </c>
      <c r="AB13" s="11">
        <f t="shared" si="9"/>
        <v>78.38000000000001</v>
      </c>
      <c r="AC13" s="11">
        <f t="shared" si="10"/>
        <v>21.61999999999999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topLeftCell="AI1" zoomScale="145" zoomScaleNormal="145" zoomScaleSheetLayoutView="145" workbookViewId="0">
      <selection activeCell="AJ26" sqref="AJ26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0" t="s">
        <v>4</v>
      </c>
      <c r="B1" s="83" t="s">
        <v>5</v>
      </c>
      <c r="C1" s="83" t="s">
        <v>9</v>
      </c>
      <c r="D1" s="80" t="s">
        <v>8</v>
      </c>
      <c r="E1" s="80" t="s">
        <v>23</v>
      </c>
      <c r="F1" s="80" t="s">
        <v>40</v>
      </c>
      <c r="G1" s="80" t="s">
        <v>24</v>
      </c>
      <c r="H1" s="80" t="s">
        <v>25</v>
      </c>
      <c r="I1" s="76" t="s">
        <v>34</v>
      </c>
      <c r="J1" s="80" t="s">
        <v>35</v>
      </c>
      <c r="K1" s="80" t="s">
        <v>26</v>
      </c>
      <c r="L1" s="80" t="s">
        <v>27</v>
      </c>
      <c r="M1" s="78" t="s">
        <v>28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8" t="s">
        <v>29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 t="s">
        <v>30</v>
      </c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22"/>
      <c r="BA1" s="22"/>
    </row>
    <row r="2" spans="1:53" x14ac:dyDescent="0.25">
      <c r="A2" s="81"/>
      <c r="B2" s="84"/>
      <c r="C2" s="84"/>
      <c r="D2" s="81"/>
      <c r="E2" s="81"/>
      <c r="F2" s="81"/>
      <c r="G2" s="81"/>
      <c r="H2" s="81"/>
      <c r="I2" s="76"/>
      <c r="J2" s="81"/>
      <c r="K2" s="81"/>
      <c r="L2" s="81"/>
      <c r="M2" s="77">
        <v>0.5</v>
      </c>
      <c r="N2" s="72">
        <v>1</v>
      </c>
      <c r="O2" s="72">
        <v>2</v>
      </c>
      <c r="P2" s="72">
        <v>4</v>
      </c>
      <c r="Q2" s="72">
        <v>8</v>
      </c>
      <c r="R2" s="72">
        <v>15</v>
      </c>
      <c r="S2" s="72">
        <v>30</v>
      </c>
      <c r="T2" s="72">
        <v>60</v>
      </c>
      <c r="U2" s="72">
        <v>120</v>
      </c>
      <c r="V2" s="72">
        <v>240</v>
      </c>
      <c r="W2" s="72">
        <v>480</v>
      </c>
      <c r="X2" s="72">
        <v>960</v>
      </c>
      <c r="Y2" s="72">
        <v>1440</v>
      </c>
      <c r="Z2" s="77">
        <v>0.5</v>
      </c>
      <c r="AA2" s="72">
        <v>1</v>
      </c>
      <c r="AB2" s="72">
        <v>2</v>
      </c>
      <c r="AC2" s="72">
        <v>4</v>
      </c>
      <c r="AD2" s="72">
        <v>8</v>
      </c>
      <c r="AE2" s="72">
        <v>15</v>
      </c>
      <c r="AF2" s="72">
        <v>30</v>
      </c>
      <c r="AG2" s="72">
        <v>60</v>
      </c>
      <c r="AH2" s="72">
        <v>120</v>
      </c>
      <c r="AI2" s="72">
        <v>240</v>
      </c>
      <c r="AJ2" s="72">
        <v>480</v>
      </c>
      <c r="AK2" s="72">
        <v>960</v>
      </c>
      <c r="AL2" s="72">
        <v>1440</v>
      </c>
      <c r="AM2" s="77">
        <v>0.5</v>
      </c>
      <c r="AN2" s="72">
        <v>1</v>
      </c>
      <c r="AO2" s="72">
        <v>2</v>
      </c>
      <c r="AP2" s="72">
        <v>4</v>
      </c>
      <c r="AQ2" s="72">
        <v>8</v>
      </c>
      <c r="AR2" s="72">
        <v>15</v>
      </c>
      <c r="AS2" s="72">
        <v>30</v>
      </c>
      <c r="AT2" s="72">
        <v>60</v>
      </c>
      <c r="AU2" s="72">
        <v>120</v>
      </c>
      <c r="AV2" s="72">
        <v>240</v>
      </c>
      <c r="AW2" s="72">
        <v>480</v>
      </c>
      <c r="AX2" s="72">
        <v>960</v>
      </c>
      <c r="AY2" s="72">
        <v>1440</v>
      </c>
      <c r="AZ2" s="22"/>
      <c r="BA2" s="22"/>
    </row>
    <row r="3" spans="1:53" x14ac:dyDescent="0.25">
      <c r="A3" s="81"/>
      <c r="B3" s="84"/>
      <c r="C3" s="84"/>
      <c r="D3" s="82"/>
      <c r="E3" s="82"/>
      <c r="F3" s="82"/>
      <c r="G3" s="82"/>
      <c r="H3" s="82"/>
      <c r="I3" s="76"/>
      <c r="J3" s="82"/>
      <c r="K3" s="82"/>
      <c r="L3" s="82"/>
      <c r="M3" s="77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7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7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22"/>
      <c r="BA3" s="22"/>
    </row>
    <row r="4" spans="1:53" x14ac:dyDescent="0.25">
      <c r="A4" s="82"/>
      <c r="B4" s="85"/>
      <c r="C4" s="85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3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5"/>
      <c r="Z4" s="73" t="s">
        <v>32</v>
      </c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5"/>
      <c r="AM4" s="76" t="s">
        <v>33</v>
      </c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20"/>
      <c r="BA4" s="20"/>
    </row>
    <row r="5" spans="1:53" x14ac:dyDescent="0.25">
      <c r="A5" s="27">
        <v>1</v>
      </c>
      <c r="B5" s="27" t="str">
        <f>GSD!B5</f>
        <v>RLBH-10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RLBH-10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3" si="2">B6</f>
        <v>RLBH-10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RLBH-10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RLBH-10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RLBH-10</v>
      </c>
      <c r="C10" s="36">
        <f>GSD!F10</f>
        <v>7.5</v>
      </c>
      <c r="D10" s="35" t="str">
        <f>GSD!E10</f>
        <v>SPT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RLBH-10</v>
      </c>
      <c r="C11" s="36">
        <f>GSD!F11</f>
        <v>10.5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>
        <v>8</v>
      </c>
      <c r="B12" s="27" t="str">
        <f t="shared" si="2"/>
        <v>RLBH-10</v>
      </c>
      <c r="C12" s="36">
        <f>GSD!F12</f>
        <v>13.5</v>
      </c>
      <c r="D12" s="35" t="str">
        <f>GSD!E12</f>
        <v>SPT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>
        <v>9</v>
      </c>
      <c r="B13" s="27" t="str">
        <f t="shared" si="2"/>
        <v>RLBH-10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abSelected="1" topLeftCell="AS1" zoomScale="130" zoomScaleNormal="130" workbookViewId="0">
      <selection activeCell="BG22" sqref="BG22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3" customFormat="1" x14ac:dyDescent="0.25">
      <c r="A3" s="48">
        <v>1</v>
      </c>
      <c r="B3" s="48" t="str">
        <f>GSD!B5</f>
        <v>RLBH-10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100</v>
      </c>
      <c r="Z3" s="52">
        <f>GSD!T5</f>
        <v>99.94</v>
      </c>
      <c r="AA3" s="52">
        <f>GSD!U5</f>
        <v>99.9</v>
      </c>
      <c r="AB3" s="52">
        <f>GSD!V5</f>
        <v>99.04</v>
      </c>
      <c r="AC3" s="52">
        <f>GSD!W5</f>
        <v>85.41</v>
      </c>
      <c r="AD3" s="52">
        <f>GSD!X5</f>
        <v>72.22</v>
      </c>
      <c r="AE3" s="52">
        <f>GSD!Y5</f>
        <v>46.07</v>
      </c>
      <c r="AF3" s="52">
        <f>GSD!Z5</f>
        <v>32.450000000000003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/>
      <c r="AU3" s="52"/>
      <c r="AV3" s="52"/>
      <c r="AW3" s="52"/>
    </row>
    <row r="4" spans="1:49" s="41" customFormat="1" x14ac:dyDescent="0.25">
      <c r="A4" s="48">
        <v>2</v>
      </c>
      <c r="B4" s="48" t="str">
        <f>B3</f>
        <v>RLBH-10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0</v>
      </c>
      <c r="M4" s="51">
        <f>HYD!AA6</f>
        <v>0</v>
      </c>
      <c r="N4" s="51">
        <f>HYD!AB6</f>
        <v>0</v>
      </c>
      <c r="O4" s="51">
        <f>HYD!AC6</f>
        <v>0</v>
      </c>
      <c r="P4" s="51">
        <f>HYD!AD6</f>
        <v>0</v>
      </c>
      <c r="Q4" s="51">
        <f>HYD!AE6</f>
        <v>0</v>
      </c>
      <c r="R4" s="51">
        <f>HYD!AF6</f>
        <v>0</v>
      </c>
      <c r="S4" s="51">
        <f>HYD!AG6</f>
        <v>0</v>
      </c>
      <c r="T4" s="51">
        <f>HYD!AH6</f>
        <v>0</v>
      </c>
      <c r="U4" s="51">
        <f>HYD!AI6</f>
        <v>0</v>
      </c>
      <c r="V4" s="51">
        <f>HYD!AJ6</f>
        <v>0</v>
      </c>
      <c r="W4" s="51">
        <f>HYD!AK6</f>
        <v>0</v>
      </c>
      <c r="X4" s="51">
        <f>HYD!AL6</f>
        <v>0</v>
      </c>
      <c r="Y4" s="52">
        <f>GSD!S6</f>
        <v>98.19</v>
      </c>
      <c r="Z4" s="52">
        <f>GSD!T6</f>
        <v>97.844999999999999</v>
      </c>
      <c r="AA4" s="52">
        <f>GSD!U6</f>
        <v>97.694999999999993</v>
      </c>
      <c r="AB4" s="52">
        <f>GSD!V6</f>
        <v>96.545000000000002</v>
      </c>
      <c r="AC4" s="52">
        <f>GSD!W6</f>
        <v>79.504999999999995</v>
      </c>
      <c r="AD4" s="52">
        <f>GSD!X6</f>
        <v>69.47</v>
      </c>
      <c r="AE4" s="52">
        <f>GSD!Y6</f>
        <v>66.875</v>
      </c>
      <c r="AF4" s="52">
        <f>GSD!Z6</f>
        <v>59.00500000000001</v>
      </c>
      <c r="AG4" s="52">
        <f>HYD!AM6</f>
        <v>0</v>
      </c>
      <c r="AH4" s="52">
        <f>HYD!AN6</f>
        <v>0</v>
      </c>
      <c r="AI4" s="52">
        <f>HYD!AO6</f>
        <v>0</v>
      </c>
      <c r="AJ4" s="52">
        <f>HYD!AP6</f>
        <v>0</v>
      </c>
      <c r="AK4" s="52">
        <f>HYD!AQ6</f>
        <v>0</v>
      </c>
      <c r="AL4" s="52">
        <f>HYD!AR6</f>
        <v>0</v>
      </c>
      <c r="AM4" s="52">
        <f>HYD!AS6</f>
        <v>0</v>
      </c>
      <c r="AN4" s="52">
        <f>HYD!AT6</f>
        <v>0</v>
      </c>
      <c r="AO4" s="52">
        <f>HYD!AU6</f>
        <v>0</v>
      </c>
      <c r="AP4" s="52">
        <f>HYD!AV6</f>
        <v>0</v>
      </c>
      <c r="AQ4" s="52">
        <f>HYD!AW6</f>
        <v>0</v>
      </c>
      <c r="AR4" s="52">
        <f>HYD!AX6</f>
        <v>0</v>
      </c>
      <c r="AS4" s="52">
        <f>HYD!AY6</f>
        <v>0</v>
      </c>
      <c r="AT4" s="52"/>
      <c r="AU4" s="52"/>
      <c r="AV4" s="52"/>
      <c r="AW4" s="52"/>
    </row>
    <row r="5" spans="1:49" s="41" customFormat="1" x14ac:dyDescent="0.25">
      <c r="A5" s="48">
        <v>3</v>
      </c>
      <c r="B5" s="48" t="str">
        <f t="shared" ref="B5:B11" si="0">B4</f>
        <v>RLBH-10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97.62</v>
      </c>
      <c r="Z5" s="52">
        <f>GSD!T7</f>
        <v>95.94</v>
      </c>
      <c r="AA5" s="52">
        <f>GSD!U7</f>
        <v>95.66</v>
      </c>
      <c r="AB5" s="52">
        <f>GSD!V7</f>
        <v>94.36</v>
      </c>
      <c r="AC5" s="52">
        <f>GSD!W7</f>
        <v>84.78</v>
      </c>
      <c r="AD5" s="52">
        <f>GSD!X7</f>
        <v>77.069999999999993</v>
      </c>
      <c r="AE5" s="52">
        <f>GSD!Y7</f>
        <v>48.81</v>
      </c>
      <c r="AF5" s="52">
        <f>GSD!Z7</f>
        <v>34.659999999999997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/>
      <c r="AU5" s="52"/>
      <c r="AV5" s="52"/>
      <c r="AW5" s="52"/>
    </row>
    <row r="6" spans="1:49" s="41" customFormat="1" x14ac:dyDescent="0.25">
      <c r="A6" s="48">
        <v>4</v>
      </c>
      <c r="B6" s="48" t="str">
        <f t="shared" si="0"/>
        <v>RLBH-10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0</v>
      </c>
      <c r="M6" s="51">
        <f>HYD!AA8</f>
        <v>0</v>
      </c>
      <c r="N6" s="51">
        <f>HYD!AB8</f>
        <v>0</v>
      </c>
      <c r="O6" s="51">
        <f>HYD!AC8</f>
        <v>0</v>
      </c>
      <c r="P6" s="51">
        <f>HYD!AD8</f>
        <v>0</v>
      </c>
      <c r="Q6" s="51">
        <f>HYD!AE8</f>
        <v>0</v>
      </c>
      <c r="R6" s="51">
        <f>HYD!AF8</f>
        <v>0</v>
      </c>
      <c r="S6" s="51">
        <f>HYD!AG8</f>
        <v>0</v>
      </c>
      <c r="T6" s="51">
        <f>HYD!AH8</f>
        <v>0</v>
      </c>
      <c r="U6" s="51">
        <f>HYD!AI8</f>
        <v>0</v>
      </c>
      <c r="V6" s="51">
        <f>HYD!AJ8</f>
        <v>0</v>
      </c>
      <c r="W6" s="51">
        <f>HYD!AK8</f>
        <v>0</v>
      </c>
      <c r="X6" s="51">
        <f>HYD!AL8</f>
        <v>0</v>
      </c>
      <c r="Y6" s="52">
        <f>GSD!S8</f>
        <v>86.944999999999993</v>
      </c>
      <c r="Z6" s="52">
        <f>GSD!T8</f>
        <v>85.295000000000002</v>
      </c>
      <c r="AA6" s="52">
        <f>GSD!U8</f>
        <v>84.875</v>
      </c>
      <c r="AB6" s="52">
        <f>GSD!V8</f>
        <v>83.84</v>
      </c>
      <c r="AC6" s="52">
        <f>GSD!W8</f>
        <v>77.644999999999996</v>
      </c>
      <c r="AD6" s="52">
        <f>GSD!X8</f>
        <v>73.239999999999995</v>
      </c>
      <c r="AE6" s="52">
        <f>GSD!Y8</f>
        <v>41.7</v>
      </c>
      <c r="AF6" s="52">
        <f>GSD!Z8</f>
        <v>34.19</v>
      </c>
      <c r="AG6" s="52">
        <f>HYD!AM8</f>
        <v>0</v>
      </c>
      <c r="AH6" s="52">
        <f>HYD!AN8</f>
        <v>0</v>
      </c>
      <c r="AI6" s="52">
        <f>HYD!AO8</f>
        <v>0</v>
      </c>
      <c r="AJ6" s="52">
        <f>HYD!AP8</f>
        <v>0</v>
      </c>
      <c r="AK6" s="52">
        <f>HYD!AQ8</f>
        <v>0</v>
      </c>
      <c r="AL6" s="52">
        <f>HYD!AR8</f>
        <v>0</v>
      </c>
      <c r="AM6" s="52">
        <f>HYD!AS8</f>
        <v>0</v>
      </c>
      <c r="AN6" s="52">
        <f>HYD!AT8</f>
        <v>0</v>
      </c>
      <c r="AO6" s="52">
        <f>HYD!AU8</f>
        <v>0</v>
      </c>
      <c r="AP6" s="52">
        <f>HYD!AV8</f>
        <v>0</v>
      </c>
      <c r="AQ6" s="52">
        <f>HYD!AW8</f>
        <v>0</v>
      </c>
      <c r="AR6" s="52">
        <f>HYD!AX8</f>
        <v>0</v>
      </c>
      <c r="AS6" s="52">
        <f>HYD!AY8</f>
        <v>0</v>
      </c>
      <c r="AT6" s="52"/>
      <c r="AU6" s="52"/>
      <c r="AV6" s="52"/>
      <c r="AW6" s="52"/>
    </row>
    <row r="7" spans="1:49" s="41" customFormat="1" x14ac:dyDescent="0.25">
      <c r="A7" s="48">
        <v>5</v>
      </c>
      <c r="B7" s="48" t="str">
        <f t="shared" si="0"/>
        <v>RLBH-10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94.54</v>
      </c>
      <c r="Z7" s="52">
        <f>GSD!T9</f>
        <v>92.65</v>
      </c>
      <c r="AA7" s="52">
        <f>GSD!U9</f>
        <v>92.28</v>
      </c>
      <c r="AB7" s="52">
        <f>GSD!V9</f>
        <v>90.25</v>
      </c>
      <c r="AC7" s="52">
        <f>GSD!W9</f>
        <v>75.64</v>
      </c>
      <c r="AD7" s="52">
        <f>GSD!X9</f>
        <v>65.5</v>
      </c>
      <c r="AE7" s="52">
        <f>GSD!Y9</f>
        <v>40.730000000000004</v>
      </c>
      <c r="AF7" s="52">
        <f>GSD!Z9</f>
        <v>31.689999999999998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/>
      <c r="AU7" s="52"/>
      <c r="AV7" s="52"/>
      <c r="AW7" s="52"/>
    </row>
    <row r="8" spans="1:49" s="41" customFormat="1" x14ac:dyDescent="0.25">
      <c r="A8" s="48">
        <v>6</v>
      </c>
      <c r="B8" s="48" t="str">
        <f t="shared" si="0"/>
        <v>RLBH-10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0</v>
      </c>
      <c r="M8" s="51">
        <f>HYD!AA10</f>
        <v>0</v>
      </c>
      <c r="N8" s="51">
        <f>HYD!AB10</f>
        <v>0</v>
      </c>
      <c r="O8" s="51">
        <f>HYD!AC10</f>
        <v>0</v>
      </c>
      <c r="P8" s="51">
        <f>HYD!AD10</f>
        <v>0</v>
      </c>
      <c r="Q8" s="51">
        <f>HYD!AE10</f>
        <v>0</v>
      </c>
      <c r="R8" s="51">
        <f>HYD!AF10</f>
        <v>0</v>
      </c>
      <c r="S8" s="51">
        <f>HYD!AG10</f>
        <v>0</v>
      </c>
      <c r="T8" s="51">
        <f>HYD!AH10</f>
        <v>0</v>
      </c>
      <c r="U8" s="51">
        <f>HYD!AI10</f>
        <v>0</v>
      </c>
      <c r="V8" s="51">
        <f>HYD!AJ10</f>
        <v>0</v>
      </c>
      <c r="W8" s="51">
        <f>HYD!AK10</f>
        <v>0</v>
      </c>
      <c r="X8" s="51">
        <f>HYD!AL10</f>
        <v>0</v>
      </c>
      <c r="Y8" s="52">
        <f>GSD!S10</f>
        <v>100</v>
      </c>
      <c r="Z8" s="52">
        <f>GSD!T10</f>
        <v>99.69</v>
      </c>
      <c r="AA8" s="52">
        <f>GSD!U10</f>
        <v>99.55</v>
      </c>
      <c r="AB8" s="52">
        <f>GSD!V10</f>
        <v>99.31</v>
      </c>
      <c r="AC8" s="52">
        <f>GSD!W10</f>
        <v>96.55</v>
      </c>
      <c r="AD8" s="52">
        <f>GSD!X10</f>
        <v>87.07</v>
      </c>
      <c r="AE8" s="52">
        <f>GSD!Y10</f>
        <v>42.39</v>
      </c>
      <c r="AF8" s="52">
        <f>GSD!Z10</f>
        <v>29.92</v>
      </c>
      <c r="AG8" s="52">
        <f>HYD!AM10</f>
        <v>0</v>
      </c>
      <c r="AH8" s="52">
        <f>HYD!AN10</f>
        <v>0</v>
      </c>
      <c r="AI8" s="52">
        <f>HYD!AO10</f>
        <v>0</v>
      </c>
      <c r="AJ8" s="52">
        <f>HYD!AP10</f>
        <v>0</v>
      </c>
      <c r="AK8" s="52">
        <f>HYD!AQ10</f>
        <v>0</v>
      </c>
      <c r="AL8" s="52">
        <f>HYD!AR10</f>
        <v>0</v>
      </c>
      <c r="AM8" s="52">
        <f>HYD!AS10</f>
        <v>0</v>
      </c>
      <c r="AN8" s="52">
        <f>HYD!AT10</f>
        <v>0</v>
      </c>
      <c r="AO8" s="52">
        <f>HYD!AU10</f>
        <v>0</v>
      </c>
      <c r="AP8" s="52">
        <f>HYD!AV10</f>
        <v>0</v>
      </c>
      <c r="AQ8" s="52">
        <f>HYD!AW10</f>
        <v>0</v>
      </c>
      <c r="AR8" s="52">
        <f>HYD!AX10</f>
        <v>0</v>
      </c>
      <c r="AS8" s="52">
        <f>HYD!AY10</f>
        <v>0</v>
      </c>
      <c r="AT8" s="52"/>
      <c r="AU8" s="52"/>
      <c r="AV8" s="52"/>
      <c r="AW8" s="52"/>
    </row>
    <row r="9" spans="1:49" s="41" customFormat="1" x14ac:dyDescent="0.25">
      <c r="A9" s="48">
        <v>7</v>
      </c>
      <c r="B9" s="48" t="str">
        <f t="shared" si="0"/>
        <v>RLBH-10</v>
      </c>
      <c r="C9" s="49">
        <f>GSD!F11</f>
        <v>10.5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99.68</v>
      </c>
      <c r="Z9" s="52">
        <f>GSD!T11</f>
        <v>98.79</v>
      </c>
      <c r="AA9" s="52">
        <f>GSD!U11</f>
        <v>98.42</v>
      </c>
      <c r="AB9" s="52">
        <f>GSD!V11</f>
        <v>96.73</v>
      </c>
      <c r="AC9" s="52">
        <f>GSD!W11</f>
        <v>83.73</v>
      </c>
      <c r="AD9" s="52">
        <f>GSD!X11</f>
        <v>70.37</v>
      </c>
      <c r="AE9" s="52">
        <f>GSD!Y11</f>
        <v>39.150000000000006</v>
      </c>
      <c r="AF9" s="52">
        <f>GSD!Z11</f>
        <v>28.710000000000008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/>
      <c r="AU9" s="54"/>
      <c r="AV9" s="54"/>
      <c r="AW9" s="54"/>
    </row>
    <row r="10" spans="1:49" s="41" customFormat="1" x14ac:dyDescent="0.25">
      <c r="A10" s="48">
        <v>8</v>
      </c>
      <c r="B10" s="48" t="str">
        <f t="shared" si="0"/>
        <v>RLBH-10</v>
      </c>
      <c r="C10" s="49">
        <f>GSD!F12</f>
        <v>13.5</v>
      </c>
      <c r="D10" s="50">
        <v>4.75</v>
      </c>
      <c r="E10" s="50">
        <v>2</v>
      </c>
      <c r="F10" s="50">
        <v>1.18</v>
      </c>
      <c r="G10" s="50">
        <v>0.6</v>
      </c>
      <c r="H10" s="50">
        <v>0.42499999999999999</v>
      </c>
      <c r="I10" s="50">
        <v>0.3</v>
      </c>
      <c r="J10" s="50">
        <v>0.15</v>
      </c>
      <c r="K10" s="50">
        <v>7.4999999999999997E-2</v>
      </c>
      <c r="L10" s="51">
        <f>HYD!Z12</f>
        <v>0</v>
      </c>
      <c r="M10" s="51">
        <f>HYD!AA12</f>
        <v>0</v>
      </c>
      <c r="N10" s="51">
        <f>HYD!AB12</f>
        <v>0</v>
      </c>
      <c r="O10" s="51">
        <f>HYD!AC12</f>
        <v>0</v>
      </c>
      <c r="P10" s="51">
        <f>HYD!AD12</f>
        <v>0</v>
      </c>
      <c r="Q10" s="51">
        <f>HYD!AE12</f>
        <v>0</v>
      </c>
      <c r="R10" s="51">
        <f>HYD!AF12</f>
        <v>0</v>
      </c>
      <c r="S10" s="51">
        <f>HYD!AG12</f>
        <v>0</v>
      </c>
      <c r="T10" s="51">
        <f>HYD!AH12</f>
        <v>0</v>
      </c>
      <c r="U10" s="51">
        <f>HYD!AI12</f>
        <v>0</v>
      </c>
      <c r="V10" s="51">
        <f>HYD!AJ12</f>
        <v>0</v>
      </c>
      <c r="W10" s="51">
        <f>HYD!AK12</f>
        <v>0</v>
      </c>
      <c r="X10" s="51">
        <f>HYD!AL12</f>
        <v>0</v>
      </c>
      <c r="Y10" s="52">
        <f>GSD!S12</f>
        <v>98.73</v>
      </c>
      <c r="Z10" s="52">
        <f>GSD!T12</f>
        <v>97.7</v>
      </c>
      <c r="AA10" s="52">
        <f>GSD!U12</f>
        <v>97.1</v>
      </c>
      <c r="AB10" s="52">
        <f>GSD!V12</f>
        <v>94.99</v>
      </c>
      <c r="AC10" s="52">
        <f>GSD!W12</f>
        <v>67.990000000000009</v>
      </c>
      <c r="AD10" s="52">
        <f>GSD!X12</f>
        <v>57.090000000000011</v>
      </c>
      <c r="AE10" s="52">
        <f>GSD!Y12</f>
        <v>27.72</v>
      </c>
      <c r="AF10" s="52">
        <f>GSD!Z12</f>
        <v>20.590000000000003</v>
      </c>
      <c r="AG10" s="52">
        <f>HYD!AM12</f>
        <v>0</v>
      </c>
      <c r="AH10" s="52">
        <f>HYD!AN12</f>
        <v>0</v>
      </c>
      <c r="AI10" s="52">
        <f>HYD!AO12</f>
        <v>0</v>
      </c>
      <c r="AJ10" s="52">
        <f>HYD!AP12</f>
        <v>0</v>
      </c>
      <c r="AK10" s="52">
        <f>HYD!AQ12</f>
        <v>0</v>
      </c>
      <c r="AL10" s="52">
        <f>HYD!AR12</f>
        <v>0</v>
      </c>
      <c r="AM10" s="52">
        <f>HYD!AS12</f>
        <v>0</v>
      </c>
      <c r="AN10" s="52">
        <f>HYD!AT12</f>
        <v>0</v>
      </c>
      <c r="AO10" s="52">
        <f>HYD!AU12</f>
        <v>0</v>
      </c>
      <c r="AP10" s="52">
        <f>HYD!AV12</f>
        <v>0</v>
      </c>
      <c r="AQ10" s="52">
        <f>HYD!AW12</f>
        <v>0</v>
      </c>
      <c r="AR10" s="52">
        <f>HYD!AX12</f>
        <v>0</v>
      </c>
      <c r="AS10" s="52">
        <f>HYD!AY12</f>
        <v>0</v>
      </c>
      <c r="AT10" s="54"/>
      <c r="AU10" s="54"/>
      <c r="AV10" s="54"/>
      <c r="AW10" s="54"/>
    </row>
    <row r="11" spans="1:49" s="41" customFormat="1" x14ac:dyDescent="0.25">
      <c r="A11" s="48">
        <v>9</v>
      </c>
      <c r="B11" s="48" t="str">
        <f t="shared" si="0"/>
        <v>RLBH-10</v>
      </c>
      <c r="C11" s="49">
        <f>GSD!F13</f>
        <v>15</v>
      </c>
      <c r="D11" s="50">
        <v>4.75</v>
      </c>
      <c r="E11" s="50">
        <v>2</v>
      </c>
      <c r="F11" s="50">
        <v>1.18</v>
      </c>
      <c r="G11" s="50">
        <v>0.6</v>
      </c>
      <c r="H11" s="50">
        <v>0.42499999999999999</v>
      </c>
      <c r="I11" s="50">
        <v>0.3</v>
      </c>
      <c r="J11" s="50">
        <v>0.15</v>
      </c>
      <c r="K11" s="50">
        <v>7.4999999999999997E-2</v>
      </c>
      <c r="L11" s="51">
        <f>HYD!Z13</f>
        <v>0</v>
      </c>
      <c r="M11" s="51">
        <f>HYD!AA13</f>
        <v>0</v>
      </c>
      <c r="N11" s="51">
        <f>HYD!AB13</f>
        <v>0</v>
      </c>
      <c r="O11" s="51">
        <f>HYD!AC13</f>
        <v>0</v>
      </c>
      <c r="P11" s="51">
        <f>HYD!AD13</f>
        <v>0</v>
      </c>
      <c r="Q11" s="51">
        <f>HYD!AE13</f>
        <v>0</v>
      </c>
      <c r="R11" s="51">
        <f>HYD!AF13</f>
        <v>0</v>
      </c>
      <c r="S11" s="51">
        <f>HYD!AG13</f>
        <v>0</v>
      </c>
      <c r="T11" s="51">
        <f>HYD!AH13</f>
        <v>0</v>
      </c>
      <c r="U11" s="51">
        <f>HYD!AI13</f>
        <v>0</v>
      </c>
      <c r="V11" s="51">
        <f>HYD!AJ13</f>
        <v>0</v>
      </c>
      <c r="W11" s="51">
        <f>HYD!AK13</f>
        <v>0</v>
      </c>
      <c r="X11" s="51">
        <f>HYD!AL13</f>
        <v>0</v>
      </c>
      <c r="Y11" s="52">
        <f>GSD!S13</f>
        <v>100</v>
      </c>
      <c r="Z11" s="52">
        <f>GSD!T13</f>
        <v>99.61</v>
      </c>
      <c r="AA11" s="52">
        <f>GSD!U13</f>
        <v>99.15</v>
      </c>
      <c r="AB11" s="52">
        <f>GSD!V13</f>
        <v>97.47</v>
      </c>
      <c r="AC11" s="52">
        <f>GSD!W13</f>
        <v>83.13</v>
      </c>
      <c r="AD11" s="52">
        <f>GSD!X13</f>
        <v>68.460000000000008</v>
      </c>
      <c r="AE11" s="52">
        <f>GSD!Y13</f>
        <v>34.789999999999992</v>
      </c>
      <c r="AF11" s="52">
        <f>GSD!Z13</f>
        <v>21.61999999999999</v>
      </c>
      <c r="AG11" s="52">
        <f>HYD!AM13</f>
        <v>0</v>
      </c>
      <c r="AH11" s="52">
        <f>HYD!AN13</f>
        <v>0</v>
      </c>
      <c r="AI11" s="52">
        <f>HYD!AO13</f>
        <v>0</v>
      </c>
      <c r="AJ11" s="52">
        <f>HYD!AP13</f>
        <v>0</v>
      </c>
      <c r="AK11" s="52">
        <f>HYD!AQ13</f>
        <v>0</v>
      </c>
      <c r="AL11" s="52">
        <f>HYD!AR13</f>
        <v>0</v>
      </c>
      <c r="AM11" s="52">
        <f>HYD!AS13</f>
        <v>0</v>
      </c>
      <c r="AN11" s="52">
        <f>HYD!AT13</f>
        <v>0</v>
      </c>
      <c r="AO11" s="52">
        <f>HYD!AU13</f>
        <v>0</v>
      </c>
      <c r="AP11" s="52">
        <f>HYD!AV13</f>
        <v>0</v>
      </c>
      <c r="AQ11" s="52">
        <f>HYD!AW13</f>
        <v>0</v>
      </c>
      <c r="AR11" s="52">
        <f>HYD!AX13</f>
        <v>0</v>
      </c>
      <c r="AS11" s="52">
        <f>HYD!AY13</f>
        <v>0</v>
      </c>
      <c r="AT11" s="54"/>
      <c r="AU11" s="54"/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2026-09-17T11:16:34Z</dcterms:modified>
</cp:coreProperties>
</file>