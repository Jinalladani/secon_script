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9. Unlined Canal_CH_294.616 km (CBH-16 &amp; CBH-17)\"/>
    </mc:Choice>
  </mc:AlternateContent>
  <xr:revisionPtr revIDLastSave="0" documentId="13_ncr:1_{167CDE44-D5CE-4290-B00E-4B108A50B745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<sst xmlns="http://schemas.openxmlformats.org/spreadsheetml/2006/main" count="77" uniqueCount="54">
  <si>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</si>
  <si>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</si>
  <si>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</si>
  <si>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</si>
  <si>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</si>
  <si>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</si>
  <si>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</si>
  <si>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</si>
  <si>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</si>
  <si>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</si>
  <si>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</si>
  <si>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</si>
  <si>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</si>
  <si>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</si>
  <si>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</si>
  <si>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</si>
  <si>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</si>
  <si>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</si>
  <si>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</si>
  <si>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</si>
  <si>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</si>
  <si>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</si>
  <si>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</si>
  <si>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</si>
  <si>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</si>
  <si>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</si>
  <si>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</si>
  <si>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</si>
  <si>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</si>
  <si>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</si>
  <si>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</si>
  <si>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</si>
  <si>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</si>
  <si>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</si>
  <si>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</si>
  <si>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</si>
  <si>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</si>
  <si>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</si>
  <si>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</si>
  <si>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</si>
  <si>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</si>
  <si>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</si>
  <si>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</si>
  <si>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</si>
  <si>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</si>
  <si>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</si>
  <si>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</si>
  <si>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</si>
  <si>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CBH-17</t>
  </si>
  <si>
    <t>UDS</t>
  </si>
  <si>
    <t>A096</t>
  </si>
  <si>
    <t>A098</t>
  </si>
  <si>
    <t>A170</t>
  </si>
  <si>
    <t>A196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</si>
</sst>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99.46</c:v>
                </c:pt>
                <c:pt idx="2">
                  <c:v>97.76</c:v>
                </c:pt>
                <c:pt idx="3">
                  <c:v>90.87</c:v>
                </c:pt>
                <c:pt idx="4">
                  <c:v>87.09</c:v>
                </c:pt>
                <c:pt idx="5">
                  <c:v>70.67</c:v>
                </c:pt>
                <c:pt idx="6">
                  <c:v>41.99</c:v>
                </c:pt>
                <c:pt idx="7">
                  <c:v>36.85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99.105000000000004</c:v>
                </c:pt>
                <c:pt idx="1">
                  <c:v>97.52</c:v>
                </c:pt>
                <c:pt idx="2">
                  <c:v>92.81</c:v>
                </c:pt>
                <c:pt idx="3">
                  <c:v>82.73</c:v>
                </c:pt>
                <c:pt idx="4">
                  <c:v>78.41</c:v>
                </c:pt>
                <c:pt idx="5">
                  <c:v>63.32</c:v>
                </c:pt>
                <c:pt idx="6">
                  <c:v>43.64</c:v>
                </c:pt>
                <c:pt idx="7">
                  <c:v>41.57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100</c:v>
                </c:pt>
                <c:pt idx="1">
                  <c:v>99.65</c:v>
                </c:pt>
                <c:pt idx="2">
                  <c:v>97.99</c:v>
                </c:pt>
                <c:pt idx="3">
                  <c:v>89.95</c:v>
                </c:pt>
                <c:pt idx="4">
                  <c:v>85.740000000000009</c:v>
                </c:pt>
                <c:pt idx="5">
                  <c:v>68.92</c:v>
                </c:pt>
                <c:pt idx="6">
                  <c:v>42.61</c:v>
                </c:pt>
                <c:pt idx="7">
                  <c:v>37.58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99.875</c:v>
                </c:pt>
                <c:pt idx="1">
                  <c:v>98.8</c:v>
                </c:pt>
                <c:pt idx="2">
                  <c:v>95.655000000000001</c:v>
                </c:pt>
                <c:pt idx="3">
                  <c:v>85.13</c:v>
                </c:pt>
                <c:pt idx="4">
                  <c:v>81.185000000000002</c:v>
                </c:pt>
                <c:pt idx="5">
                  <c:v>65.114999999999995</c:v>
                </c:pt>
                <c:pt idx="6">
                  <c:v>44.199999999999996</c:v>
                </c:pt>
                <c:pt idx="7">
                  <c:v>41.429999999999993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98.54</c:v>
                </c:pt>
                <c:pt idx="2">
                  <c:v>97.53</c:v>
                </c:pt>
                <c:pt idx="3">
                  <c:v>93.84</c:v>
                </c:pt>
                <c:pt idx="4">
                  <c:v>84.76</c:v>
                </c:pt>
                <c:pt idx="5">
                  <c:v>72.89</c:v>
                </c:pt>
                <c:pt idx="6">
                  <c:v>38.910000000000004</c:v>
                </c:pt>
                <c:pt idx="7">
                  <c:v>32.659999999999997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100</c:v>
                </c:pt>
                <c:pt idx="1">
                  <c:v>99.484999999999999</c:v>
                </c:pt>
                <c:pt idx="2">
                  <c:v>98.76</c:v>
                </c:pt>
                <c:pt idx="3">
                  <c:v>93.555000000000007</c:v>
                </c:pt>
                <c:pt idx="4">
                  <c:v>81.144999999999996</c:v>
                </c:pt>
                <c:pt idx="5">
                  <c:v>73.265000000000001</c:v>
                </c:pt>
                <c:pt idx="6">
                  <c:v>52.400000000000006</c:v>
                </c:pt>
                <c:pt idx="7">
                  <c:v>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99.75</c:v>
                </c:pt>
                <c:pt idx="1">
                  <c:v>96.94</c:v>
                </c:pt>
                <c:pt idx="2">
                  <c:v>95.68</c:v>
                </c:pt>
                <c:pt idx="3">
                  <c:v>92.6</c:v>
                </c:pt>
                <c:pt idx="4">
                  <c:v>84.67</c:v>
                </c:pt>
                <c:pt idx="5">
                  <c:v>70.62</c:v>
                </c:pt>
                <c:pt idx="6">
                  <c:v>35.849999999999994</c:v>
                </c:pt>
                <c:pt idx="7">
                  <c:v>30.919999999999987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100</c:v>
                </c:pt>
                <c:pt idx="1">
                  <c:v>99.41</c:v>
                </c:pt>
                <c:pt idx="2">
                  <c:v>98.85</c:v>
                </c:pt>
                <c:pt idx="3">
                  <c:v>96.88</c:v>
                </c:pt>
                <c:pt idx="4">
                  <c:v>87.93</c:v>
                </c:pt>
                <c:pt idx="5">
                  <c:v>70.539999999999992</c:v>
                </c:pt>
                <c:pt idx="6">
                  <c:v>27.590000000000003</c:v>
                </c:pt>
                <c:pt idx="7">
                  <c:v>22.11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99.37</c:v>
                </c:pt>
                <c:pt idx="1">
                  <c:v>96.44</c:v>
                </c:pt>
                <c:pt idx="2">
                  <c:v>95.06</c:v>
                </c:pt>
                <c:pt idx="3">
                  <c:v>92.37</c:v>
                </c:pt>
                <c:pt idx="4">
                  <c:v>83.9</c:v>
                </c:pt>
                <c:pt idx="5">
                  <c:v>74.81</c:v>
                </c:pt>
                <c:pt idx="6">
                  <c:v>41.209999999999994</c:v>
                </c:pt>
                <c:pt idx="7">
                  <c:v>35.519999999999996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99.46</c:v>
                </c:pt>
                <c:pt idx="2">
                  <c:v>97.76</c:v>
                </c:pt>
                <c:pt idx="3">
                  <c:v>90.87</c:v>
                </c:pt>
                <c:pt idx="4">
                  <c:v>87.09</c:v>
                </c:pt>
                <c:pt idx="5">
                  <c:v>70.67</c:v>
                </c:pt>
                <c:pt idx="6">
                  <c:v>41.99</c:v>
                </c:pt>
                <c:pt idx="7">
                  <c:v>36.85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99.105000000000004</c:v>
                </c:pt>
                <c:pt idx="1">
                  <c:v>97.52</c:v>
                </c:pt>
                <c:pt idx="2">
                  <c:v>92.81</c:v>
                </c:pt>
                <c:pt idx="3">
                  <c:v>82.73</c:v>
                </c:pt>
                <c:pt idx="4">
                  <c:v>78.41</c:v>
                </c:pt>
                <c:pt idx="5">
                  <c:v>63.32</c:v>
                </c:pt>
                <c:pt idx="6">
                  <c:v>43.64</c:v>
                </c:pt>
                <c:pt idx="7">
                  <c:v>41.57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100</c:v>
                </c:pt>
                <c:pt idx="1">
                  <c:v>99.65</c:v>
                </c:pt>
                <c:pt idx="2">
                  <c:v>97.99</c:v>
                </c:pt>
                <c:pt idx="3">
                  <c:v>89.95</c:v>
                </c:pt>
                <c:pt idx="4">
                  <c:v>85.740000000000009</c:v>
                </c:pt>
                <c:pt idx="5">
                  <c:v>68.92</c:v>
                </c:pt>
                <c:pt idx="6">
                  <c:v>42.61</c:v>
                </c:pt>
                <c:pt idx="7">
                  <c:v>37.58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99.875</c:v>
                </c:pt>
                <c:pt idx="1">
                  <c:v>98.8</c:v>
                </c:pt>
                <c:pt idx="2">
                  <c:v>95.655000000000001</c:v>
                </c:pt>
                <c:pt idx="3">
                  <c:v>85.13</c:v>
                </c:pt>
                <c:pt idx="4">
                  <c:v>81.185000000000002</c:v>
                </c:pt>
                <c:pt idx="5">
                  <c:v>65.114999999999995</c:v>
                </c:pt>
                <c:pt idx="6">
                  <c:v>44.199999999999996</c:v>
                </c:pt>
                <c:pt idx="7">
                  <c:v>41.429999999999993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98.54</c:v>
                </c:pt>
                <c:pt idx="2">
                  <c:v>97.53</c:v>
                </c:pt>
                <c:pt idx="3">
                  <c:v>93.84</c:v>
                </c:pt>
                <c:pt idx="4">
                  <c:v>84.76</c:v>
                </c:pt>
                <c:pt idx="5">
                  <c:v>72.89</c:v>
                </c:pt>
                <c:pt idx="6">
                  <c:v>38.910000000000004</c:v>
                </c:pt>
                <c:pt idx="7">
                  <c:v>32.659999999999997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6.6581948334806171E-2</c:v>
                </c:pt>
                <c:pt idx="9" formatCode="0.00000">
                  <c:v>4.7584096759722555E-2</c:v>
                </c:pt>
                <c:pt idx="10" formatCode="0.00000">
                  <c:v>3.3647037495436641E-2</c:v>
                </c:pt>
                <c:pt idx="11" formatCode="0.00000">
                  <c:v>2.3792048379861278E-2</c:v>
                </c:pt>
                <c:pt idx="12" formatCode="0.00000">
                  <c:v>1.7573074273045611E-2</c:v>
                </c:pt>
                <c:pt idx="13" formatCode="0.00000">
                  <c:v>1.2956779069035763E-2</c:v>
                </c:pt>
                <c:pt idx="14" formatCode="0.00000">
                  <c:v>9.161826342051111E-3</c:v>
                </c:pt>
                <c:pt idx="15" formatCode="0.00000">
                  <c:v>6.5394191893805168E-3</c:v>
                </c:pt>
                <c:pt idx="16" formatCode="0.00000">
                  <c:v>4.6240676538323996E-3</c:v>
                </c:pt>
                <c:pt idx="17" formatCode="0.00000">
                  <c:v>3.2697095946902584E-3</c:v>
                </c:pt>
                <c:pt idx="18" formatCode="0.00000">
                  <c:v>2.3334115503893999E-3</c:v>
                </c:pt>
                <c:pt idx="19" formatCode="0.00000">
                  <c:v>1.6499711305793599E-3</c:v>
                </c:pt>
                <c:pt idx="20" formatCode="0.00000">
                  <c:v>1.3594261669514062E-3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100</c:v>
                </c:pt>
                <c:pt idx="1">
                  <c:v>99.484999999999999</c:v>
                </c:pt>
                <c:pt idx="2">
                  <c:v>98.76</c:v>
                </c:pt>
                <c:pt idx="3">
                  <c:v>93.555000000000007</c:v>
                </c:pt>
                <c:pt idx="4">
                  <c:v>81.144999999999996</c:v>
                </c:pt>
                <c:pt idx="5">
                  <c:v>73.265000000000001</c:v>
                </c:pt>
                <c:pt idx="6">
                  <c:v>52.400000000000006</c:v>
                </c:pt>
                <c:pt idx="7">
                  <c:v>50.4</c:v>
                </c:pt>
                <c:pt idx="8">
                  <c:v>24.381174927113729</c:v>
                </c:pt>
                <c:pt idx="9">
                  <c:v>21.214994169095878</c:v>
                </c:pt>
                <c:pt idx="10">
                  <c:v>21.214994169095878</c:v>
                </c:pt>
                <c:pt idx="11">
                  <c:v>21.214994169095878</c:v>
                </c:pt>
                <c:pt idx="12">
                  <c:v>21.214994169095878</c:v>
                </c:pt>
                <c:pt idx="13">
                  <c:v>18.048813411078733</c:v>
                </c:pt>
                <c:pt idx="14">
                  <c:v>18.048813411078733</c:v>
                </c:pt>
                <c:pt idx="15">
                  <c:v>14.882632653060886</c:v>
                </c:pt>
                <c:pt idx="16">
                  <c:v>14.882632653060886</c:v>
                </c:pt>
                <c:pt idx="17">
                  <c:v>14.882632653060886</c:v>
                </c:pt>
                <c:pt idx="18">
                  <c:v>11.716451895043743</c:v>
                </c:pt>
                <c:pt idx="19">
                  <c:v>11.716451895043743</c:v>
                </c:pt>
                <c:pt idx="20">
                  <c:v>8.5502711370258968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99.75</c:v>
                </c:pt>
                <c:pt idx="1">
                  <c:v>96.94</c:v>
                </c:pt>
                <c:pt idx="2">
                  <c:v>95.68</c:v>
                </c:pt>
                <c:pt idx="3">
                  <c:v>92.6</c:v>
                </c:pt>
                <c:pt idx="4">
                  <c:v>84.67</c:v>
                </c:pt>
                <c:pt idx="5">
                  <c:v>70.62</c:v>
                </c:pt>
                <c:pt idx="6">
                  <c:v>35.849999999999994</c:v>
                </c:pt>
                <c:pt idx="7">
                  <c:v>30.919999999999987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99.41</c:v>
                </c:pt>
                <c:pt idx="2">
                  <c:v>98.85</c:v>
                </c:pt>
                <c:pt idx="3">
                  <c:v>96.88</c:v>
                </c:pt>
                <c:pt idx="4">
                  <c:v>87.93</c:v>
                </c:pt>
                <c:pt idx="5">
                  <c:v>70.539999999999992</c:v>
                </c:pt>
                <c:pt idx="6">
                  <c:v>27.590000000000003</c:v>
                </c:pt>
                <c:pt idx="7">
                  <c:v>22.11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99.37</c:v>
                </c:pt>
                <c:pt idx="1">
                  <c:v>96.44</c:v>
                </c:pt>
                <c:pt idx="2">
                  <c:v>95.06</c:v>
                </c:pt>
                <c:pt idx="3">
                  <c:v>92.37</c:v>
                </c:pt>
                <c:pt idx="4">
                  <c:v>83.9</c:v>
                </c:pt>
                <c:pt idx="5">
                  <c:v>74.81</c:v>
                </c:pt>
                <c:pt idx="6">
                  <c:v>41.209999999999994</c:v>
                </c:pt>
                <c:pt idx="7">
                  <c:v>35.519999999999996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A4" zoomScale="130" zoomScaleNormal="85" zoomScaleSheetLayoutView="130" zoomScalePageLayoutView="85" workbookViewId="0">
      <selection activeCell="R9" sqref="R9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48</v>
      </c>
      <c r="C5" s="71"/>
      <c r="D5" s="72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36.85</v>
      </c>
      <c r="J5" s="24">
        <v>0</v>
      </c>
      <c r="K5" s="24">
        <v>0.54</v>
      </c>
      <c r="L5" s="24">
        <v>1.7</v>
      </c>
      <c r="M5" s="24">
        <v>6.89</v>
      </c>
      <c r="N5" s="24">
        <v>3.78</v>
      </c>
      <c r="O5" s="24">
        <v>16.420000000000002</v>
      </c>
      <c r="P5" s="24">
        <v>28.68</v>
      </c>
      <c r="Q5" s="24">
        <v>5.14</v>
      </c>
      <c r="R5" s="10"/>
      <c r="S5" s="11">
        <f t="shared" ref="S5:S13" si="0">((H5-(SUM(J5)))/H5)*100</f>
        <v>100</v>
      </c>
      <c r="T5" s="11">
        <f t="shared" ref="T5:T13" si="1">((H5-(SUM(J5:K5)))/H5)*100</f>
        <v>99.46</v>
      </c>
      <c r="U5" s="11">
        <f t="shared" ref="U5:U13" si="2">((H5-(SUM(J5:L5)))/H5)*100</f>
        <v>97.76</v>
      </c>
      <c r="V5" s="11">
        <f t="shared" ref="V5:V13" si="3">((H5-(SUM(J5:M5)))/H5)*100</f>
        <v>90.87</v>
      </c>
      <c r="W5" s="11">
        <f t="shared" ref="W5:W13" si="4">((H5-(SUM(J5:N5)))/H5)*100</f>
        <v>87.09</v>
      </c>
      <c r="X5" s="11">
        <f t="shared" ref="X5:X13" si="5">((H5-(SUM(J5:O5)))/H5)*100</f>
        <v>70.67</v>
      </c>
      <c r="Y5" s="11">
        <f t="shared" ref="Y5:Y13" si="6">((H5-(SUM(J5:P5)))/H5)*100</f>
        <v>41.99</v>
      </c>
      <c r="Z5" s="11">
        <f t="shared" ref="Z5:Z13" si="7">((H5-(SUM(J5:Q5)))/H5)*100</f>
        <v>36.85</v>
      </c>
      <c r="AA5" s="11">
        <f t="shared" ref="AA5:AA13" si="8">100-S5</f>
        <v>0</v>
      </c>
      <c r="AB5" s="11">
        <f t="shared" ref="AB5:AB13" si="9">S5-Z5</f>
        <v>63.15</v>
      </c>
      <c r="AC5" s="11">
        <f t="shared" ref="AC5:AC13" si="10">Z5</f>
        <v>36.85</v>
      </c>
    </row>
    <row r="6" spans="1:29" ht="30" customHeight="1" x14ac:dyDescent="0.25">
      <c r="A6" s="9">
        <v>2</v>
      </c>
      <c r="B6" s="71"/>
      <c r="C6" s="71"/>
      <c r="D6" s="72"/>
      <c r="E6" s="46" t="s">
        <v>49</v>
      </c>
      <c r="F6" s="24">
        <v>1.5</v>
      </c>
      <c r="G6" s="46" t="s">
        <v>51</v>
      </c>
      <c r="H6" s="55">
        <v>200</v>
      </c>
      <c r="I6" s="24">
        <f t="shared" ref="I6:I13" si="11">H6-SUM(J6:Q6)</f>
        <v>83.14</v>
      </c>
      <c r="J6" s="24">
        <v>1.79</v>
      </c>
      <c r="K6" s="24">
        <v>3.17</v>
      </c>
      <c r="L6" s="24">
        <v>9.42</v>
      </c>
      <c r="M6" s="56">
        <v>20.16</v>
      </c>
      <c r="N6" s="24">
        <v>8.64</v>
      </c>
      <c r="O6" s="24">
        <v>30.18</v>
      </c>
      <c r="P6" s="24">
        <v>39.36</v>
      </c>
      <c r="Q6" s="56">
        <v>4.1399999999999997</v>
      </c>
      <c r="R6" s="10"/>
      <c r="S6" s="11">
        <f t="shared" si="0"/>
        <v>99.105000000000004</v>
      </c>
      <c r="T6" s="11">
        <f t="shared" si="1"/>
        <v>97.52</v>
      </c>
      <c r="U6" s="11">
        <f t="shared" si="2"/>
        <v>92.81</v>
      </c>
      <c r="V6" s="11">
        <f t="shared" si="3"/>
        <v>82.73</v>
      </c>
      <c r="W6" s="11">
        <f t="shared" si="4"/>
        <v>78.41</v>
      </c>
      <c r="X6" s="11">
        <f t="shared" si="5"/>
        <v>63.32</v>
      </c>
      <c r="Y6" s="11">
        <f t="shared" si="6"/>
        <v>43.64</v>
      </c>
      <c r="Z6" s="11">
        <f t="shared" si="7"/>
        <v>41.57</v>
      </c>
      <c r="AA6" s="11">
        <f t="shared" si="8"/>
        <v>0.89499999999999602</v>
      </c>
      <c r="AB6" s="11">
        <f t="shared" si="9"/>
        <v>57.535000000000004</v>
      </c>
      <c r="AC6" s="11">
        <f t="shared" si="10"/>
        <v>41.57</v>
      </c>
    </row>
    <row r="7" spans="1:29" ht="30" customHeight="1" x14ac:dyDescent="0.25">
      <c r="A7" s="9">
        <v>3</v>
      </c>
      <c r="B7" s="71"/>
      <c r="C7" s="71"/>
      <c r="D7" s="72"/>
      <c r="E7" s="46" t="s">
        <v>22</v>
      </c>
      <c r="F7" s="24">
        <v>3.5</v>
      </c>
      <c r="G7" s="46" t="s">
        <v>52</v>
      </c>
      <c r="H7" s="55">
        <v>100</v>
      </c>
      <c r="I7" s="24">
        <f t="shared" si="11"/>
        <v>37.58</v>
      </c>
      <c r="J7" s="24">
        <v>0</v>
      </c>
      <c r="K7" s="24">
        <v>0.35</v>
      </c>
      <c r="L7" s="24">
        <v>1.66</v>
      </c>
      <c r="M7" s="24">
        <v>8.0399999999999991</v>
      </c>
      <c r="N7" s="24">
        <v>4.21</v>
      </c>
      <c r="O7" s="24">
        <v>16.82</v>
      </c>
      <c r="P7" s="24">
        <v>26.31</v>
      </c>
      <c r="Q7" s="24">
        <v>5.03</v>
      </c>
      <c r="R7" s="10"/>
      <c r="S7" s="11">
        <f t="shared" si="0"/>
        <v>100</v>
      </c>
      <c r="T7" s="11">
        <f t="shared" si="1"/>
        <v>99.65</v>
      </c>
      <c r="U7" s="11">
        <f t="shared" si="2"/>
        <v>97.99</v>
      </c>
      <c r="V7" s="11">
        <f t="shared" si="3"/>
        <v>89.95</v>
      </c>
      <c r="W7" s="11">
        <f t="shared" si="4"/>
        <v>85.740000000000009</v>
      </c>
      <c r="X7" s="11">
        <f t="shared" si="5"/>
        <v>68.92</v>
      </c>
      <c r="Y7" s="11">
        <f t="shared" si="6"/>
        <v>42.61</v>
      </c>
      <c r="Z7" s="11">
        <f t="shared" si="7"/>
        <v>37.58</v>
      </c>
      <c r="AA7" s="11">
        <f t="shared" si="8"/>
        <v>0</v>
      </c>
      <c r="AB7" s="11">
        <f t="shared" si="9"/>
        <v>62.42</v>
      </c>
      <c r="AC7" s="11">
        <f t="shared" si="10"/>
        <v>37.58</v>
      </c>
    </row>
    <row r="8" spans="1:29" ht="30" customHeight="1" x14ac:dyDescent="0.25">
      <c r="A8" s="9">
        <v>4</v>
      </c>
      <c r="B8" s="71"/>
      <c r="C8" s="71"/>
      <c r="D8" s="72"/>
      <c r="E8" s="46" t="s">
        <v>49</v>
      </c>
      <c r="F8" s="24">
        <v>4.5</v>
      </c>
      <c r="G8" s="46" t="s">
        <v>53</v>
      </c>
      <c r="H8" s="55">
        <v>200</v>
      </c>
      <c r="I8" s="24">
        <f t="shared" si="11"/>
        <v>82.859999999999985</v>
      </c>
      <c r="J8" s="24">
        <v>0.25</v>
      </c>
      <c r="K8" s="24">
        <v>2.15</v>
      </c>
      <c r="L8" s="24">
        <v>6.29</v>
      </c>
      <c r="M8" s="24">
        <v>21.05</v>
      </c>
      <c r="N8" s="24">
        <v>7.89</v>
      </c>
      <c r="O8" s="24">
        <v>32.14</v>
      </c>
      <c r="P8" s="24">
        <v>41.83</v>
      </c>
      <c r="Q8" s="24">
        <v>5.54</v>
      </c>
      <c r="R8" s="10"/>
      <c r="S8" s="11">
        <f t="shared" si="0"/>
        <v>99.875</v>
      </c>
      <c r="T8" s="11">
        <f t="shared" si="1"/>
        <v>98.8</v>
      </c>
      <c r="U8" s="11">
        <f t="shared" si="2"/>
        <v>95.655000000000001</v>
      </c>
      <c r="V8" s="11">
        <f t="shared" si="3"/>
        <v>85.13</v>
      </c>
      <c r="W8" s="11">
        <f t="shared" si="4"/>
        <v>81.185000000000002</v>
      </c>
      <c r="X8" s="11">
        <f t="shared" si="5"/>
        <v>65.114999999999995</v>
      </c>
      <c r="Y8" s="11">
        <f t="shared" si="6"/>
        <v>44.199999999999996</v>
      </c>
      <c r="Z8" s="11">
        <f t="shared" si="7"/>
        <v>41.429999999999993</v>
      </c>
      <c r="AA8" s="11">
        <f t="shared" si="8"/>
        <v>0.125</v>
      </c>
      <c r="AB8" s="11">
        <f t="shared" si="9"/>
        <v>58.445000000000007</v>
      </c>
      <c r="AC8" s="11">
        <f t="shared" si="10"/>
        <v>41.429999999999993</v>
      </c>
    </row>
    <row r="9" spans="1:29" ht="30" customHeight="1" x14ac:dyDescent="0.25">
      <c r="A9" s="9">
        <v>5</v>
      </c>
      <c r="B9" s="71"/>
      <c r="C9" s="71"/>
      <c r="D9" s="72"/>
      <c r="E9" s="46" t="s">
        <v>22</v>
      </c>
      <c r="F9" s="24">
        <v>6.5</v>
      </c>
      <c r="G9" s="46">
        <v>102</v>
      </c>
      <c r="H9" s="55">
        <v>100</v>
      </c>
      <c r="I9" s="24">
        <f t="shared" si="11"/>
        <v>32.659999999999997</v>
      </c>
      <c r="J9" s="24">
        <v>0</v>
      </c>
      <c r="K9" s="24">
        <v>1.46</v>
      </c>
      <c r="L9" s="24">
        <v>1.01</v>
      </c>
      <c r="M9" s="24">
        <v>3.69</v>
      </c>
      <c r="N9" s="24">
        <v>9.08</v>
      </c>
      <c r="O9" s="24">
        <v>11.87</v>
      </c>
      <c r="P9" s="24">
        <v>33.979999999999997</v>
      </c>
      <c r="Q9" s="24">
        <v>6.25</v>
      </c>
      <c r="R9" s="10"/>
      <c r="S9" s="11">
        <f t="shared" si="0"/>
        <v>100</v>
      </c>
      <c r="T9" s="11">
        <f t="shared" si="1"/>
        <v>98.54</v>
      </c>
      <c r="U9" s="11">
        <f t="shared" si="2"/>
        <v>97.53</v>
      </c>
      <c r="V9" s="11">
        <f t="shared" si="3"/>
        <v>93.84</v>
      </c>
      <c r="W9" s="11">
        <f t="shared" si="4"/>
        <v>84.76</v>
      </c>
      <c r="X9" s="11">
        <f>((H9-(SUM(J9:O9)))/H9)*100</f>
        <v>72.89</v>
      </c>
      <c r="Y9" s="11">
        <f t="shared" si="6"/>
        <v>38.910000000000004</v>
      </c>
      <c r="Z9" s="11">
        <f t="shared" si="7"/>
        <v>32.659999999999997</v>
      </c>
      <c r="AA9" s="11">
        <f t="shared" si="8"/>
        <v>0</v>
      </c>
      <c r="AB9" s="11">
        <f t="shared" si="9"/>
        <v>67.34</v>
      </c>
      <c r="AC9" s="11">
        <f t="shared" si="10"/>
        <v>32.659999999999997</v>
      </c>
    </row>
    <row r="10" spans="1:29" s="34" customFormat="1" ht="30" customHeight="1" x14ac:dyDescent="0.25">
      <c r="A10" s="42">
        <v>6</v>
      </c>
      <c r="B10" s="71"/>
      <c r="C10" s="71"/>
      <c r="D10" s="72"/>
      <c r="E10" s="46" t="s">
        <v>49</v>
      </c>
      <c r="F10" s="43">
        <v>7.5</v>
      </c>
      <c r="G10" s="47">
        <v>1149</v>
      </c>
      <c r="H10" s="55">
        <v>200</v>
      </c>
      <c r="I10" s="24">
        <f t="shared" si="11"/>
        <v>100.80000000000001</v>
      </c>
      <c r="J10" s="43">
        <v>0</v>
      </c>
      <c r="K10" s="43">
        <v>1.03</v>
      </c>
      <c r="L10" s="43">
        <v>1.45</v>
      </c>
      <c r="M10" s="43">
        <v>10.41</v>
      </c>
      <c r="N10" s="43">
        <v>24.82</v>
      </c>
      <c r="O10" s="43">
        <v>15.76</v>
      </c>
      <c r="P10" s="43">
        <v>41.73</v>
      </c>
      <c r="Q10" s="43">
        <v>4</v>
      </c>
      <c r="R10" s="44"/>
      <c r="S10" s="45">
        <f t="shared" si="0"/>
        <v>100</v>
      </c>
      <c r="T10" s="45">
        <f t="shared" si="1"/>
        <v>99.484999999999999</v>
      </c>
      <c r="U10" s="45">
        <f t="shared" si="2"/>
        <v>98.76</v>
      </c>
      <c r="V10" s="45">
        <f t="shared" si="3"/>
        <v>93.555000000000007</v>
      </c>
      <c r="W10" s="45">
        <f t="shared" si="4"/>
        <v>81.144999999999996</v>
      </c>
      <c r="X10" s="45">
        <f t="shared" si="5"/>
        <v>73.265000000000001</v>
      </c>
      <c r="Y10" s="45">
        <f t="shared" si="6"/>
        <v>52.400000000000006</v>
      </c>
      <c r="Z10" s="45">
        <f t="shared" si="7"/>
        <v>50.4</v>
      </c>
      <c r="AA10" s="45">
        <f t="shared" si="8"/>
        <v>0</v>
      </c>
      <c r="AB10" s="45">
        <f t="shared" si="9"/>
        <v>49.6</v>
      </c>
      <c r="AC10" s="45">
        <f t="shared" si="10"/>
        <v>50.4</v>
      </c>
    </row>
    <row r="11" spans="1:29" ht="30" customHeight="1" x14ac:dyDescent="0.25">
      <c r="A11" s="9">
        <v>7</v>
      </c>
      <c r="B11" s="71"/>
      <c r="C11" s="71"/>
      <c r="D11" s="72"/>
      <c r="E11" s="46" t="s">
        <v>22</v>
      </c>
      <c r="F11" s="24">
        <v>10.5</v>
      </c>
      <c r="G11" s="46">
        <v>104</v>
      </c>
      <c r="H11" s="55">
        <v>100</v>
      </c>
      <c r="I11" s="24">
        <f t="shared" si="11"/>
        <v>30.919999999999987</v>
      </c>
      <c r="J11" s="24">
        <v>0.25</v>
      </c>
      <c r="K11" s="24">
        <v>2.81</v>
      </c>
      <c r="L11" s="24">
        <v>1.26</v>
      </c>
      <c r="M11" s="24">
        <v>3.08</v>
      </c>
      <c r="N11" s="24">
        <v>7.93</v>
      </c>
      <c r="O11" s="24">
        <v>14.05</v>
      </c>
      <c r="P11" s="24">
        <v>34.770000000000003</v>
      </c>
      <c r="Q11" s="24">
        <v>4.93</v>
      </c>
      <c r="R11" s="10"/>
      <c r="S11" s="11">
        <f t="shared" si="0"/>
        <v>99.75</v>
      </c>
      <c r="T11" s="11">
        <f t="shared" si="1"/>
        <v>96.94</v>
      </c>
      <c r="U11" s="11">
        <f t="shared" si="2"/>
        <v>95.68</v>
      </c>
      <c r="V11" s="11">
        <f t="shared" si="3"/>
        <v>92.6</v>
      </c>
      <c r="W11" s="11">
        <f t="shared" si="4"/>
        <v>84.67</v>
      </c>
      <c r="X11" s="11">
        <f t="shared" si="5"/>
        <v>70.62</v>
      </c>
      <c r="Y11" s="11">
        <f t="shared" si="6"/>
        <v>35.849999999999994</v>
      </c>
      <c r="Z11" s="11">
        <f t="shared" si="7"/>
        <v>30.919999999999987</v>
      </c>
      <c r="AA11" s="11">
        <f t="shared" si="8"/>
        <v>0.25</v>
      </c>
      <c r="AB11" s="11">
        <f t="shared" si="9"/>
        <v>68.830000000000013</v>
      </c>
      <c r="AC11" s="11">
        <f t="shared" si="10"/>
        <v>30.919999999999987</v>
      </c>
    </row>
    <row r="12" spans="1:29" ht="30" customHeight="1" x14ac:dyDescent="0.25">
      <c r="A12" s="9">
        <v>8</v>
      </c>
      <c r="B12" s="71"/>
      <c r="C12" s="71"/>
      <c r="D12" s="72"/>
      <c r="E12" s="46" t="s">
        <v>22</v>
      </c>
      <c r="F12" s="24">
        <v>13.5</v>
      </c>
      <c r="G12" s="46">
        <v>198</v>
      </c>
      <c r="H12" s="55">
        <v>100</v>
      </c>
      <c r="I12" s="24">
        <f t="shared" si="11"/>
        <v>22.11</v>
      </c>
      <c r="J12" s="24">
        <v>0</v>
      </c>
      <c r="K12" s="24">
        <v>0.59</v>
      </c>
      <c r="L12" s="24">
        <v>0.56000000000000005</v>
      </c>
      <c r="M12" s="24">
        <v>1.97</v>
      </c>
      <c r="N12" s="24">
        <v>8.9499999999999993</v>
      </c>
      <c r="O12" s="24">
        <v>17.39</v>
      </c>
      <c r="P12" s="24">
        <v>42.95</v>
      </c>
      <c r="Q12" s="24">
        <v>5.48</v>
      </c>
      <c r="R12" s="10"/>
      <c r="S12" s="11">
        <f t="shared" si="0"/>
        <v>100</v>
      </c>
      <c r="T12" s="11">
        <f t="shared" si="1"/>
        <v>99.41</v>
      </c>
      <c r="U12" s="11">
        <f t="shared" si="2"/>
        <v>98.85</v>
      </c>
      <c r="V12" s="11">
        <f t="shared" si="3"/>
        <v>96.88</v>
      </c>
      <c r="W12" s="11">
        <f t="shared" si="4"/>
        <v>87.93</v>
      </c>
      <c r="X12" s="11">
        <f t="shared" si="5"/>
        <v>70.539999999999992</v>
      </c>
      <c r="Y12" s="11">
        <f t="shared" si="6"/>
        <v>27.590000000000003</v>
      </c>
      <c r="Z12" s="11">
        <f t="shared" si="7"/>
        <v>22.11</v>
      </c>
      <c r="AA12" s="11">
        <f t="shared" si="8"/>
        <v>0</v>
      </c>
      <c r="AB12" s="11">
        <f t="shared" si="9"/>
        <v>77.89</v>
      </c>
      <c r="AC12" s="11">
        <f t="shared" si="10"/>
        <v>22.11</v>
      </c>
    </row>
    <row r="13" spans="1:29" ht="30" customHeight="1" x14ac:dyDescent="0.25">
      <c r="A13" s="9">
        <v>9</v>
      </c>
      <c r="B13" s="71"/>
      <c r="C13" s="71"/>
      <c r="D13" s="72"/>
      <c r="E13" s="46" t="s">
        <v>22</v>
      </c>
      <c r="F13" s="24">
        <v>15</v>
      </c>
      <c r="G13" s="46">
        <v>119</v>
      </c>
      <c r="H13" s="55">
        <v>100</v>
      </c>
      <c r="I13" s="24">
        <f t="shared" si="11"/>
        <v>35.519999999999996</v>
      </c>
      <c r="J13" s="24">
        <v>0.63</v>
      </c>
      <c r="K13" s="24">
        <v>2.93</v>
      </c>
      <c r="L13" s="24">
        <v>1.38</v>
      </c>
      <c r="M13" s="24">
        <v>2.69</v>
      </c>
      <c r="N13" s="24">
        <v>8.4700000000000006</v>
      </c>
      <c r="O13" s="24">
        <v>9.09</v>
      </c>
      <c r="P13" s="24">
        <v>33.6</v>
      </c>
      <c r="Q13" s="24">
        <v>5.69</v>
      </c>
      <c r="R13" s="10"/>
      <c r="S13" s="11">
        <f t="shared" si="0"/>
        <v>99.37</v>
      </c>
      <c r="T13" s="11">
        <f t="shared" si="1"/>
        <v>96.44</v>
      </c>
      <c r="U13" s="11">
        <f t="shared" si="2"/>
        <v>95.06</v>
      </c>
      <c r="V13" s="11">
        <f t="shared" si="3"/>
        <v>92.37</v>
      </c>
      <c r="W13" s="11">
        <f t="shared" si="4"/>
        <v>83.9</v>
      </c>
      <c r="X13" s="11">
        <f t="shared" si="5"/>
        <v>74.81</v>
      </c>
      <c r="Y13" s="11">
        <f t="shared" si="6"/>
        <v>41.209999999999994</v>
      </c>
      <c r="Z13" s="11">
        <f t="shared" si="7"/>
        <v>35.519999999999996</v>
      </c>
      <c r="AA13" s="11">
        <f t="shared" si="8"/>
        <v>0.62999999999999545</v>
      </c>
      <c r="AB13" s="11">
        <f t="shared" si="9"/>
        <v>63.850000000000009</v>
      </c>
      <c r="AC13" s="11">
        <f t="shared" si="10"/>
        <v>35.519999999999996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I1" zoomScale="145" zoomScaleNormal="145" zoomScaleSheetLayoutView="145" workbookViewId="0">
      <selection activeCell="AO9" sqref="AO9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CBH-17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CBH-17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CBH-17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CBH-17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CBH-17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CBH-17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>
        <v>2.7149999999999999</v>
      </c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>
        <v>1.008</v>
      </c>
      <c r="N10" s="38">
        <v>1.0069999999999999</v>
      </c>
      <c r="O10" s="38">
        <v>1.0069999999999999</v>
      </c>
      <c r="P10" s="38">
        <v>1.0069999999999999</v>
      </c>
      <c r="Q10" s="38">
        <v>1.0069999999999999</v>
      </c>
      <c r="R10" s="38">
        <v>1.006</v>
      </c>
      <c r="S10" s="38">
        <v>1.006</v>
      </c>
      <c r="T10" s="38">
        <v>1.0049999999999999</v>
      </c>
      <c r="U10" s="38">
        <v>1.0049999999999999</v>
      </c>
      <c r="V10" s="38">
        <v>1.0049999999999999</v>
      </c>
      <c r="W10" s="38">
        <v>1.004</v>
      </c>
      <c r="X10" s="38">
        <v>1.004</v>
      </c>
      <c r="Y10" s="38">
        <v>1.0029999999999999</v>
      </c>
      <c r="Z10" s="39">
        <v>6.6581948334806171E-2</v>
      </c>
      <c r="AA10" s="39">
        <v>4.7584096759722555E-2</v>
      </c>
      <c r="AB10" s="39">
        <v>3.3647037495436641E-2</v>
      </c>
      <c r="AC10" s="39">
        <v>2.3792048379861278E-2</v>
      </c>
      <c r="AD10" s="39">
        <v>1.7573074273045611E-2</v>
      </c>
      <c r="AE10" s="39">
        <v>1.2956779069035763E-2</v>
      </c>
      <c r="AF10" s="39">
        <v>9.161826342051111E-3</v>
      </c>
      <c r="AG10" s="39">
        <v>6.5394191893805168E-3</v>
      </c>
      <c r="AH10" s="39">
        <v>4.6240676538323996E-3</v>
      </c>
      <c r="AI10" s="39">
        <v>3.2697095946902584E-3</v>
      </c>
      <c r="AJ10" s="39">
        <v>2.3334115503893999E-3</v>
      </c>
      <c r="AK10" s="39">
        <v>1.6499711305793599E-3</v>
      </c>
      <c r="AL10" s="39">
        <v>1.3594261669514062E-3</v>
      </c>
      <c r="AM10" s="36">
        <v>24.381174927113729</v>
      </c>
      <c r="AN10" s="36">
        <v>21.214994169095878</v>
      </c>
      <c r="AO10" s="36">
        <v>21.214994169095878</v>
      </c>
      <c r="AP10" s="36">
        <v>21.214994169095878</v>
      </c>
      <c r="AQ10" s="36">
        <v>21.214994169095878</v>
      </c>
      <c r="AR10" s="36">
        <v>18.048813411078733</v>
      </c>
      <c r="AS10" s="36">
        <v>18.048813411078733</v>
      </c>
      <c r="AT10" s="36">
        <v>14.882632653060886</v>
      </c>
      <c r="AU10" s="36">
        <v>14.882632653060886</v>
      </c>
      <c r="AV10" s="36">
        <v>14.882632653060886</v>
      </c>
      <c r="AW10" s="36">
        <v>11.716451895043743</v>
      </c>
      <c r="AX10" s="36">
        <v>11.716451895043743</v>
      </c>
      <c r="AY10" s="36">
        <v>8.5502711370258968</v>
      </c>
      <c r="AZ10" s="40"/>
      <c r="BA10" s="40"/>
    </row>
    <row r="11" spans="1:53" s="41" customFormat="1" x14ac:dyDescent="0.25">
      <c r="A11" s="27">
        <v>7</v>
      </c>
      <c r="B11" s="27" t="str">
        <f t="shared" si="2"/>
        <v>CBH-17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CBH-17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CBH-17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C1" zoomScale="130" zoomScaleNormal="130" workbookViewId="0">
      <selection activeCell="AM14" sqref="AM14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CBH-17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100</v>
      </c>
      <c r="Z3" s="52">
        <f>GSD!T5</f>
        <v>99.46</v>
      </c>
      <c r="AA3" s="52">
        <f>GSD!U5</f>
        <v>97.76</v>
      </c>
      <c r="AB3" s="52">
        <f>GSD!V5</f>
        <v>90.87</v>
      </c>
      <c r="AC3" s="52">
        <f>GSD!W5</f>
        <v>87.09</v>
      </c>
      <c r="AD3" s="52">
        <f>GSD!X5</f>
        <v>70.67</v>
      </c>
      <c r="AE3" s="52">
        <f>GSD!Y5</f>
        <v>41.99</v>
      </c>
      <c r="AF3" s="52">
        <f>GSD!Z5</f>
        <v>36.85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>
        <v>0</v>
      </c>
      <c r="AU3" s="52">
        <v>63.15</v>
      </c>
      <c r="AV3" s="52"/>
      <c r="AW3" s="52"/>
    </row>
    <row r="4" spans="1:49" s="41" customFormat="1" x14ac:dyDescent="0.25">
      <c r="A4" s="48">
        <v>2</v>
      </c>
      <c r="B4" s="48" t="str">
        <f>B3</f>
        <v>CBH-17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99.105000000000004</v>
      </c>
      <c r="Z4" s="52">
        <f>GSD!T6</f>
        <v>97.52</v>
      </c>
      <c r="AA4" s="52">
        <f>GSD!U6</f>
        <v>92.81</v>
      </c>
      <c r="AB4" s="52">
        <f>GSD!V6</f>
        <v>82.73</v>
      </c>
      <c r="AC4" s="52">
        <f>GSD!W6</f>
        <v>78.41</v>
      </c>
      <c r="AD4" s="52">
        <f>GSD!X6</f>
        <v>63.32</v>
      </c>
      <c r="AE4" s="52">
        <f>GSD!Y6</f>
        <v>43.64</v>
      </c>
      <c r="AF4" s="52">
        <f>GSD!Z6</f>
        <v>41.57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>
        <v>0.89499999999999602</v>
      </c>
      <c r="AU4" s="52">
        <v>57.535000000000004</v>
      </c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CBH-17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100</v>
      </c>
      <c r="Z5" s="52">
        <f>GSD!T7</f>
        <v>99.65</v>
      </c>
      <c r="AA5" s="52">
        <f>GSD!U7</f>
        <v>97.99</v>
      </c>
      <c r="AB5" s="52">
        <f>GSD!V7</f>
        <v>89.95</v>
      </c>
      <c r="AC5" s="52">
        <f>GSD!W7</f>
        <v>85.740000000000009</v>
      </c>
      <c r="AD5" s="52">
        <f>GSD!X7</f>
        <v>68.92</v>
      </c>
      <c r="AE5" s="52">
        <f>GSD!Y7</f>
        <v>42.61</v>
      </c>
      <c r="AF5" s="52">
        <f>GSD!Z7</f>
        <v>37.58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>
        <v>0</v>
      </c>
      <c r="AU5" s="52">
        <v>62.42</v>
      </c>
      <c r="AV5" s="52"/>
      <c r="AW5" s="52"/>
    </row>
    <row r="6" spans="1:49" s="41" customFormat="1" x14ac:dyDescent="0.25">
      <c r="A6" s="48">
        <v>4</v>
      </c>
      <c r="B6" s="48" t="str">
        <f t="shared" si="0"/>
        <v>CBH-17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99.875</v>
      </c>
      <c r="Z6" s="52">
        <f>GSD!T8</f>
        <v>98.8</v>
      </c>
      <c r="AA6" s="52">
        <f>GSD!U8</f>
        <v>95.655000000000001</v>
      </c>
      <c r="AB6" s="52">
        <f>GSD!V8</f>
        <v>85.13</v>
      </c>
      <c r="AC6" s="52">
        <f>GSD!W8</f>
        <v>81.185000000000002</v>
      </c>
      <c r="AD6" s="52">
        <f>GSD!X8</f>
        <v>65.114999999999995</v>
      </c>
      <c r="AE6" s="52">
        <f>GSD!Y8</f>
        <v>44.199999999999996</v>
      </c>
      <c r="AF6" s="52">
        <f>GSD!Z8</f>
        <v>41.429999999999993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>
        <v>0.125</v>
      </c>
      <c r="AU6" s="52">
        <v>58.445000000000007</v>
      </c>
      <c r="AV6" s="52"/>
      <c r="AW6" s="52"/>
    </row>
    <row r="7" spans="1:49" s="41" customFormat="1" x14ac:dyDescent="0.25">
      <c r="A7" s="48">
        <v>5</v>
      </c>
      <c r="B7" s="48" t="str">
        <f t="shared" si="0"/>
        <v>CBH-17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100</v>
      </c>
      <c r="Z7" s="52">
        <f>GSD!T9</f>
        <v>98.54</v>
      </c>
      <c r="AA7" s="52">
        <f>GSD!U9</f>
        <v>97.53</v>
      </c>
      <c r="AB7" s="52">
        <f>GSD!V9</f>
        <v>93.84</v>
      </c>
      <c r="AC7" s="52">
        <f>GSD!W9</f>
        <v>84.76</v>
      </c>
      <c r="AD7" s="52">
        <f>GSD!X9</f>
        <v>72.89</v>
      </c>
      <c r="AE7" s="52">
        <f>GSD!Y9</f>
        <v>38.910000000000004</v>
      </c>
      <c r="AF7" s="52">
        <f>GSD!Z9</f>
        <v>32.659999999999997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>
        <v>0</v>
      </c>
      <c r="AU7" s="52">
        <v>67.34</v>
      </c>
      <c r="AV7" s="52"/>
      <c r="AW7" s="52"/>
    </row>
    <row r="8" spans="1:49" s="41" customFormat="1" x14ac:dyDescent="0.25">
      <c r="A8" s="48">
        <v>6</v>
      </c>
      <c r="B8" s="48" t="str">
        <f t="shared" si="0"/>
        <v>CBH-17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6.6581948334806171E-2</v>
      </c>
      <c r="M8" s="51">
        <f>HYD!AA10</f>
        <v>4.7584096759722555E-2</v>
      </c>
      <c r="N8" s="51">
        <f>HYD!AB10</f>
        <v>3.3647037495436641E-2</v>
      </c>
      <c r="O8" s="51">
        <f>HYD!AC10</f>
        <v>2.3792048379861278E-2</v>
      </c>
      <c r="P8" s="51">
        <f>HYD!AD10</f>
        <v>1.7573074273045611E-2</v>
      </c>
      <c r="Q8" s="51">
        <f>HYD!AE10</f>
        <v>1.2956779069035763E-2</v>
      </c>
      <c r="R8" s="51">
        <f>HYD!AF10</f>
        <v>9.161826342051111E-3</v>
      </c>
      <c r="S8" s="51">
        <f>HYD!AG10</f>
        <v>6.5394191893805168E-3</v>
      </c>
      <c r="T8" s="51">
        <f>HYD!AH10</f>
        <v>4.6240676538323996E-3</v>
      </c>
      <c r="U8" s="51">
        <f>HYD!AI10</f>
        <v>3.2697095946902584E-3</v>
      </c>
      <c r="V8" s="51">
        <f>HYD!AJ10</f>
        <v>2.3334115503893999E-3</v>
      </c>
      <c r="W8" s="51">
        <f>HYD!AK10</f>
        <v>1.6499711305793599E-3</v>
      </c>
      <c r="X8" s="51">
        <f>HYD!AL10</f>
        <v>1.3594261669514062E-3</v>
      </c>
      <c r="Y8" s="52">
        <f>GSD!S10</f>
        <v>100</v>
      </c>
      <c r="Z8" s="52">
        <f>GSD!T10</f>
        <v>99.484999999999999</v>
      </c>
      <c r="AA8" s="52">
        <f>GSD!U10</f>
        <v>98.76</v>
      </c>
      <c r="AB8" s="52">
        <f>GSD!V10</f>
        <v>93.555000000000007</v>
      </c>
      <c r="AC8" s="52">
        <f>GSD!W10</f>
        <v>81.144999999999996</v>
      </c>
      <c r="AD8" s="52">
        <f>GSD!X10</f>
        <v>73.265000000000001</v>
      </c>
      <c r="AE8" s="52">
        <f>GSD!Y10</f>
        <v>52.400000000000006</v>
      </c>
      <c r="AF8" s="52">
        <f>GSD!Z10</f>
        <v>50.4</v>
      </c>
      <c r="AG8" s="52">
        <f>HYD!AM10</f>
        <v>24.381174927113729</v>
      </c>
      <c r="AH8" s="52">
        <f>HYD!AN10</f>
        <v>21.214994169095878</v>
      </c>
      <c r="AI8" s="52">
        <f>HYD!AO10</f>
        <v>21.214994169095878</v>
      </c>
      <c r="AJ8" s="52">
        <f>HYD!AP10</f>
        <v>21.214994169095878</v>
      </c>
      <c r="AK8" s="52">
        <f>HYD!AQ10</f>
        <v>21.214994169095878</v>
      </c>
      <c r="AL8" s="52">
        <f>HYD!AR10</f>
        <v>18.048813411078733</v>
      </c>
      <c r="AM8" s="52">
        <f>HYD!AS10</f>
        <v>18.048813411078733</v>
      </c>
      <c r="AN8" s="52">
        <f>HYD!AT10</f>
        <v>14.882632653060886</v>
      </c>
      <c r="AO8" s="52">
        <f>HYD!AU10</f>
        <v>14.882632653060886</v>
      </c>
      <c r="AP8" s="52">
        <f>HYD!AV10</f>
        <v>14.882632653060886</v>
      </c>
      <c r="AQ8" s="52">
        <f>HYD!AW10</f>
        <v>11.716451895043743</v>
      </c>
      <c r="AR8" s="52">
        <f>HYD!AX10</f>
        <v>11.716451895043743</v>
      </c>
      <c r="AS8" s="52">
        <f>HYD!AY10</f>
        <v>8.5502711370258968</v>
      </c>
      <c r="AT8" s="52">
        <v>0</v>
      </c>
      <c r="AU8" s="52">
        <v>49.6</v>
      </c>
      <c r="AV8" s="52">
        <v>38.683548104956259</v>
      </c>
      <c r="AW8" s="52">
        <v>11.716451895043743</v>
      </c>
    </row>
    <row r="9" spans="1:49" s="41" customFormat="1" x14ac:dyDescent="0.25">
      <c r="A9" s="48">
        <v>7</v>
      </c>
      <c r="B9" s="48" t="str">
        <f t="shared" si="0"/>
        <v>CBH-17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99.75</v>
      </c>
      <c r="Z9" s="52">
        <f>GSD!T11</f>
        <v>96.94</v>
      </c>
      <c r="AA9" s="52">
        <f>GSD!U11</f>
        <v>95.68</v>
      </c>
      <c r="AB9" s="52">
        <f>GSD!V11</f>
        <v>92.6</v>
      </c>
      <c r="AC9" s="52">
        <f>GSD!W11</f>
        <v>84.67</v>
      </c>
      <c r="AD9" s="52">
        <f>GSD!X11</f>
        <v>70.62</v>
      </c>
      <c r="AE9" s="52">
        <f>GSD!Y11</f>
        <v>35.849999999999994</v>
      </c>
      <c r="AF9" s="52">
        <f>GSD!Z11</f>
        <v>30.919999999999987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>
        <v>0.25</v>
      </c>
      <c r="AU9" s="54">
        <v>68.830000000000013</v>
      </c>
      <c r="AV9" s="54"/>
      <c r="AW9" s="54"/>
    </row>
    <row r="10" spans="1:49" s="41" customFormat="1" x14ac:dyDescent="0.25">
      <c r="A10" s="48">
        <v>8</v>
      </c>
      <c r="B10" s="48" t="str">
        <f t="shared" si="0"/>
        <v>CBH-17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100</v>
      </c>
      <c r="Z10" s="52">
        <f>GSD!T12</f>
        <v>99.41</v>
      </c>
      <c r="AA10" s="52">
        <f>GSD!U12</f>
        <v>98.85</v>
      </c>
      <c r="AB10" s="52">
        <f>GSD!V12</f>
        <v>96.88</v>
      </c>
      <c r="AC10" s="52">
        <f>GSD!W12</f>
        <v>87.93</v>
      </c>
      <c r="AD10" s="52">
        <f>GSD!X12</f>
        <v>70.539999999999992</v>
      </c>
      <c r="AE10" s="52">
        <f>GSD!Y12</f>
        <v>27.590000000000003</v>
      </c>
      <c r="AF10" s="52">
        <f>GSD!Z12</f>
        <v>22.11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>
        <v>0</v>
      </c>
      <c r="AU10" s="54">
        <v>77.89</v>
      </c>
      <c r="AV10" s="54"/>
      <c r="AW10" s="54"/>
    </row>
    <row r="11" spans="1:49" s="41" customFormat="1" x14ac:dyDescent="0.25">
      <c r="A11" s="48">
        <v>9</v>
      </c>
      <c r="B11" s="48" t="str">
        <f t="shared" si="0"/>
        <v>CBH-17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99.37</v>
      </c>
      <c r="Z11" s="52">
        <f>GSD!T13</f>
        <v>96.44</v>
      </c>
      <c r="AA11" s="52">
        <f>GSD!U13</f>
        <v>95.06</v>
      </c>
      <c r="AB11" s="52">
        <f>GSD!V13</f>
        <v>92.37</v>
      </c>
      <c r="AC11" s="52">
        <f>GSD!W13</f>
        <v>83.9</v>
      </c>
      <c r="AD11" s="52">
        <f>GSD!X13</f>
        <v>74.81</v>
      </c>
      <c r="AE11" s="52">
        <f>GSD!Y13</f>
        <v>41.209999999999994</v>
      </c>
      <c r="AF11" s="52">
        <f>GSD!Z13</f>
        <v>35.519999999999996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>
        <v>0.62999999999999545</v>
      </c>
      <c r="AU11" s="54">
        <v>63.850000000000009</v>
      </c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2026-09-11T09:07:34Z</dcterms:modified>
</cp:coreProperties>
</file>