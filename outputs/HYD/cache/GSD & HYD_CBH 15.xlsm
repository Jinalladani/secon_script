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1. Lined Canal_CH_287.291km (CBH-07)\"/>
    </mc:Choice>
  </mc:AlternateContent>
  <xr:revisionPtr revIDLastSave="0" documentId="13_ncr:1_{B2A34528-A6FD-4D3F-AACD-30553D1F9D15}" xr6:coauthVersionLast="47" xr6:coauthVersionMax="47" xr10:uidLastSave="{00000000-0000-0000-0000-000000000000}"/>
  <bookViews>
    <workbookView xWindow="-108" yWindow="-108" windowWidth="23256" windowHeight="12576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<sst xmlns="http://schemas.openxmlformats.org/spreadsheetml/2006/main" count="82" uniqueCount="59">
  <si>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</si>
  <si>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</si>
  <si>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</si>
  <si>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</si>
  <si>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</si>
  <si>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</si>
  <si>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</si>
  <si>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</si>
  <si>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</si>
  <si>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</si>
  <si>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</si>
  <si>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</si>
  <si>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</si>
  <si>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</si>
  <si>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</si>
  <si>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</si>
  <si>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</si>
  <si>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</si>
  <si>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</si>
  <si>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</si>
  <si>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</si>
  <si>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</si>
  <si>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</si>
  <si>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</si>
  <si>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</si>
  <si>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</si>
  <si>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</si>
  <si>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</si>
  <si>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</si>
  <si>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</si>
  <si>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</si>
  <si>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</si>
  <si>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</si>
  <si>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</si>
  <si>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</si>
  <si>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</si>
  <si>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</si>
  <si>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</si>
  <si>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</si>
  <si>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</si>
  <si>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</si>
  <si>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</si>
  <si>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</si>
  <si>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</si>
  <si>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</si>
  <si>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</si>
  <si>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</si>
  <si>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</si>
  <si>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</si>
  <si>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CBH-15</t>
  </si>
  <si>
    <t>A068</t>
  </si>
  <si>
    <t>A136</t>
  </si>
  <si>
    <t>A059</t>
  </si>
  <si>
    <t>A155</t>
  </si>
  <si>
    <t>A02</t>
  </si>
  <si>
    <t>A088</t>
  </si>
  <si>
    <t>A027</t>
  </si>
  <si>
    <t>A018</t>
  </si>
  <si>
    <t>A084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</si>
</sst>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99.49</c:v>
                </c:pt>
                <c:pt idx="1">
                  <c:v>95.81</c:v>
                </c:pt>
                <c:pt idx="2">
                  <c:v>94.23</c:v>
                </c:pt>
                <c:pt idx="3">
                  <c:v>91.87</c:v>
                </c:pt>
                <c:pt idx="4">
                  <c:v>90.17</c:v>
                </c:pt>
                <c:pt idx="5">
                  <c:v>88.85</c:v>
                </c:pt>
                <c:pt idx="6">
                  <c:v>79.06</c:v>
                </c:pt>
                <c:pt idx="7">
                  <c:v>72.44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99.165000000000006</c:v>
                </c:pt>
                <c:pt idx="1">
                  <c:v>94.36</c:v>
                </c:pt>
                <c:pt idx="2">
                  <c:v>92.694999999999993</c:v>
                </c:pt>
                <c:pt idx="3">
                  <c:v>89.98</c:v>
                </c:pt>
                <c:pt idx="4">
                  <c:v>87.76</c:v>
                </c:pt>
                <c:pt idx="5">
                  <c:v>85.625</c:v>
                </c:pt>
                <c:pt idx="6">
                  <c:v>70.81</c:v>
                </c:pt>
                <c:pt idx="7">
                  <c:v>66.91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99.72</c:v>
                </c:pt>
                <c:pt idx="1">
                  <c:v>94.48</c:v>
                </c:pt>
                <c:pt idx="2">
                  <c:v>92.21</c:v>
                </c:pt>
                <c:pt idx="3">
                  <c:v>88.99</c:v>
                </c:pt>
                <c:pt idx="4">
                  <c:v>86.89</c:v>
                </c:pt>
                <c:pt idx="5">
                  <c:v>85.35</c:v>
                </c:pt>
                <c:pt idx="6">
                  <c:v>75.56</c:v>
                </c:pt>
                <c:pt idx="7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100</c:v>
                </c:pt>
                <c:pt idx="1">
                  <c:v>98.92</c:v>
                </c:pt>
                <c:pt idx="2">
                  <c:v>98.23</c:v>
                </c:pt>
                <c:pt idx="3">
                  <c:v>97.02</c:v>
                </c:pt>
                <c:pt idx="4">
                  <c:v>95.954999999999998</c:v>
                </c:pt>
                <c:pt idx="5">
                  <c:v>94.775000000000006</c:v>
                </c:pt>
                <c:pt idx="6">
                  <c:v>84.85</c:v>
                </c:pt>
                <c:pt idx="7">
                  <c:v>79.319999999999993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99.12</c:v>
                </c:pt>
                <c:pt idx="1">
                  <c:v>92.27</c:v>
                </c:pt>
                <c:pt idx="2">
                  <c:v>90.09</c:v>
                </c:pt>
                <c:pt idx="3">
                  <c:v>87.26</c:v>
                </c:pt>
                <c:pt idx="4">
                  <c:v>85.3</c:v>
                </c:pt>
                <c:pt idx="5">
                  <c:v>83.84</c:v>
                </c:pt>
                <c:pt idx="6">
                  <c:v>74.59</c:v>
                </c:pt>
                <c:pt idx="7">
                  <c:v>69.42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99.33</c:v>
                </c:pt>
                <c:pt idx="1">
                  <c:v>95.71</c:v>
                </c:pt>
                <c:pt idx="2">
                  <c:v>94.59</c:v>
                </c:pt>
                <c:pt idx="3">
                  <c:v>92.82</c:v>
                </c:pt>
                <c:pt idx="4">
                  <c:v>91.44</c:v>
                </c:pt>
                <c:pt idx="5">
                  <c:v>90.4</c:v>
                </c:pt>
                <c:pt idx="6">
                  <c:v>81.400000000000006</c:v>
                </c:pt>
                <c:pt idx="7">
                  <c:v>75.86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99.88</c:v>
                </c:pt>
                <c:pt idx="1">
                  <c:v>97.85</c:v>
                </c:pt>
                <c:pt idx="2">
                  <c:v>96.6</c:v>
                </c:pt>
                <c:pt idx="3">
                  <c:v>93.65</c:v>
                </c:pt>
                <c:pt idx="4">
                  <c:v>91.03</c:v>
                </c:pt>
                <c:pt idx="5">
                  <c:v>88.92</c:v>
                </c:pt>
                <c:pt idx="6">
                  <c:v>74.349999999999994</c:v>
                </c:pt>
                <c:pt idx="7">
                  <c:v>65.14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99.44</c:v>
                </c:pt>
                <c:pt idx="1">
                  <c:v>96.4</c:v>
                </c:pt>
                <c:pt idx="2">
                  <c:v>95.07</c:v>
                </c:pt>
                <c:pt idx="3">
                  <c:v>93.06</c:v>
                </c:pt>
                <c:pt idx="4">
                  <c:v>91.08</c:v>
                </c:pt>
                <c:pt idx="5">
                  <c:v>89.08</c:v>
                </c:pt>
                <c:pt idx="6">
                  <c:v>72.11</c:v>
                </c:pt>
                <c:pt idx="7">
                  <c:v>64.31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99.39</c:v>
                </c:pt>
                <c:pt idx="1">
                  <c:v>96.8</c:v>
                </c:pt>
                <c:pt idx="2">
                  <c:v>95.58</c:v>
                </c:pt>
                <c:pt idx="3">
                  <c:v>93.58</c:v>
                </c:pt>
                <c:pt idx="4">
                  <c:v>91.93</c:v>
                </c:pt>
                <c:pt idx="5">
                  <c:v>90.23</c:v>
                </c:pt>
                <c:pt idx="6">
                  <c:v>77.849999999999994</c:v>
                </c:pt>
                <c:pt idx="7">
                  <c:v>70.88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99.49</c:v>
                </c:pt>
                <c:pt idx="1">
                  <c:v>95.81</c:v>
                </c:pt>
                <c:pt idx="2">
                  <c:v>94.23</c:v>
                </c:pt>
                <c:pt idx="3">
                  <c:v>91.87</c:v>
                </c:pt>
                <c:pt idx="4">
                  <c:v>90.17</c:v>
                </c:pt>
                <c:pt idx="5">
                  <c:v>88.85</c:v>
                </c:pt>
                <c:pt idx="6">
                  <c:v>79.06</c:v>
                </c:pt>
                <c:pt idx="7">
                  <c:v>72.44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99.165000000000006</c:v>
                </c:pt>
                <c:pt idx="1">
                  <c:v>94.36</c:v>
                </c:pt>
                <c:pt idx="2">
                  <c:v>92.694999999999993</c:v>
                </c:pt>
                <c:pt idx="3">
                  <c:v>89.98</c:v>
                </c:pt>
                <c:pt idx="4">
                  <c:v>87.76</c:v>
                </c:pt>
                <c:pt idx="5">
                  <c:v>85.625</c:v>
                </c:pt>
                <c:pt idx="6">
                  <c:v>70.81</c:v>
                </c:pt>
                <c:pt idx="7">
                  <c:v>66.91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99.72</c:v>
                </c:pt>
                <c:pt idx="1">
                  <c:v>94.48</c:v>
                </c:pt>
                <c:pt idx="2">
                  <c:v>92.21</c:v>
                </c:pt>
                <c:pt idx="3">
                  <c:v>88.99</c:v>
                </c:pt>
                <c:pt idx="4">
                  <c:v>86.89</c:v>
                </c:pt>
                <c:pt idx="5">
                  <c:v>85.35</c:v>
                </c:pt>
                <c:pt idx="6">
                  <c:v>75.56</c:v>
                </c:pt>
                <c:pt idx="7">
                  <c:v>68.8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100</c:v>
                </c:pt>
                <c:pt idx="1">
                  <c:v>98.92</c:v>
                </c:pt>
                <c:pt idx="2">
                  <c:v>98.23</c:v>
                </c:pt>
                <c:pt idx="3">
                  <c:v>97.02</c:v>
                </c:pt>
                <c:pt idx="4">
                  <c:v>95.954999999999998</c:v>
                </c:pt>
                <c:pt idx="5">
                  <c:v>94.775000000000006</c:v>
                </c:pt>
                <c:pt idx="6">
                  <c:v>84.85</c:v>
                </c:pt>
                <c:pt idx="7">
                  <c:v>79.319999999999993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99.12</c:v>
                </c:pt>
                <c:pt idx="1">
                  <c:v>92.27</c:v>
                </c:pt>
                <c:pt idx="2">
                  <c:v>90.09</c:v>
                </c:pt>
                <c:pt idx="3">
                  <c:v>87.26</c:v>
                </c:pt>
                <c:pt idx="4">
                  <c:v>85.3</c:v>
                </c:pt>
                <c:pt idx="5">
                  <c:v>83.84</c:v>
                </c:pt>
                <c:pt idx="6">
                  <c:v>74.59</c:v>
                </c:pt>
                <c:pt idx="7">
                  <c:v>69.42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99.33</c:v>
                </c:pt>
                <c:pt idx="1">
                  <c:v>95.71</c:v>
                </c:pt>
                <c:pt idx="2">
                  <c:v>94.59</c:v>
                </c:pt>
                <c:pt idx="3">
                  <c:v>92.82</c:v>
                </c:pt>
                <c:pt idx="4">
                  <c:v>91.44</c:v>
                </c:pt>
                <c:pt idx="5">
                  <c:v>90.4</c:v>
                </c:pt>
                <c:pt idx="6">
                  <c:v>81.400000000000006</c:v>
                </c:pt>
                <c:pt idx="7">
                  <c:v>75.86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99.88</c:v>
                </c:pt>
                <c:pt idx="1">
                  <c:v>97.85</c:v>
                </c:pt>
                <c:pt idx="2">
                  <c:v>96.6</c:v>
                </c:pt>
                <c:pt idx="3">
                  <c:v>93.65</c:v>
                </c:pt>
                <c:pt idx="4">
                  <c:v>91.03</c:v>
                </c:pt>
                <c:pt idx="5">
                  <c:v>88.92</c:v>
                </c:pt>
                <c:pt idx="6">
                  <c:v>74.349999999999994</c:v>
                </c:pt>
                <c:pt idx="7">
                  <c:v>65.14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99.44</c:v>
                </c:pt>
                <c:pt idx="1">
                  <c:v>96.4</c:v>
                </c:pt>
                <c:pt idx="2">
                  <c:v>95.07</c:v>
                </c:pt>
                <c:pt idx="3">
                  <c:v>93.06</c:v>
                </c:pt>
                <c:pt idx="4">
                  <c:v>91.08</c:v>
                </c:pt>
                <c:pt idx="5">
                  <c:v>89.08</c:v>
                </c:pt>
                <c:pt idx="6">
                  <c:v>72.11</c:v>
                </c:pt>
                <c:pt idx="7">
                  <c:v>64.31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99.39</c:v>
                </c:pt>
                <c:pt idx="1">
                  <c:v>96.8</c:v>
                </c:pt>
                <c:pt idx="2">
                  <c:v>95.58</c:v>
                </c:pt>
                <c:pt idx="3">
                  <c:v>93.58</c:v>
                </c:pt>
                <c:pt idx="4">
                  <c:v>91.93</c:v>
                </c:pt>
                <c:pt idx="5">
                  <c:v>90.23</c:v>
                </c:pt>
                <c:pt idx="6">
                  <c:v>77.849999999999994</c:v>
                </c:pt>
                <c:pt idx="7">
                  <c:v>70.88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R6" sqref="R6"/>
    </sheetView>
  </sheetViews>
  <sheetFormatPr defaultColWidth="9" defaultRowHeight="14.4" x14ac:dyDescent="0.3"/>
  <cols>
    <col min="1" max="1" width="6.5546875" style="1" customWidth="1"/>
    <col min="2" max="2" width="4.88671875" style="1" customWidth="1"/>
    <col min="3" max="4" width="5.5546875" style="1" customWidth="1"/>
    <col min="5" max="5" width="7.6640625" style="1" customWidth="1"/>
    <col min="6" max="6" width="7.6640625" style="12" customWidth="1"/>
    <col min="7" max="7" width="9.6640625" style="1" customWidth="1"/>
    <col min="8" max="8" width="11.33203125" style="1" customWidth="1"/>
    <col min="9" max="9" width="13" style="1" customWidth="1"/>
    <col min="10" max="18" width="7.6640625" style="1" customWidth="1"/>
    <col min="19" max="16384" width="9" style="1"/>
  </cols>
  <sheetData>
    <row r="1" spans="1:29" ht="25.2" customHeight="1" x14ac:dyDescent="0.3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3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3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3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3">
      <c r="A5" s="9">
        <v>1</v>
      </c>
      <c r="B5" s="57" t="s">
        <v>49</v>
      </c>
      <c r="C5" s="57"/>
      <c r="D5" s="58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72.44</v>
      </c>
      <c r="J5" s="24">
        <v>0.51</v>
      </c>
      <c r="K5" s="24">
        <v>3.68</v>
      </c>
      <c r="L5" s="24">
        <v>1.58</v>
      </c>
      <c r="M5" s="24">
        <v>2.36</v>
      </c>
      <c r="N5" s="24">
        <v>1.7</v>
      </c>
      <c r="O5" s="24">
        <v>1.32</v>
      </c>
      <c r="P5" s="24">
        <v>9.7899999999999991</v>
      </c>
      <c r="Q5" s="24">
        <v>6.62</v>
      </c>
      <c r="R5" s="10"/>
      <c r="S5" s="11">
        <f t="shared" ref="S5:S13" si="0">((H5-(SUM(J5)))/H5)*100</f>
        <v>99.49</v>
      </c>
      <c r="T5" s="11">
        <f t="shared" ref="T5:T13" si="1">((H5-(SUM(J5:K5)))/H5)*100</f>
        <v>95.81</v>
      </c>
      <c r="U5" s="11">
        <f t="shared" ref="U5:U13" si="2">((H5-(SUM(J5:L5)))/H5)*100</f>
        <v>94.23</v>
      </c>
      <c r="V5" s="11">
        <f t="shared" ref="V5:V13" si="3">((H5-(SUM(J5:M5)))/H5)*100</f>
        <v>91.87</v>
      </c>
      <c r="W5" s="11">
        <f t="shared" ref="W5:W13" si="4">((H5-(SUM(J5:N5)))/H5)*100</f>
        <v>90.17</v>
      </c>
      <c r="X5" s="11">
        <f t="shared" ref="X5:X13" si="5">((H5-(SUM(J5:O5)))/H5)*100</f>
        <v>88.85</v>
      </c>
      <c r="Y5" s="11">
        <f t="shared" ref="Y5:Y13" si="6">((H5-(SUM(J5:P5)))/H5)*100</f>
        <v>79.06</v>
      </c>
      <c r="Z5" s="11">
        <f t="shared" ref="Z5:Z13" si="7">((H5-(SUM(J5:Q5)))/H5)*100</f>
        <v>72.44</v>
      </c>
      <c r="AA5" s="11">
        <f t="shared" ref="AA5:AA13" si="8">100-S5</f>
        <v>0.51000000000000512</v>
      </c>
      <c r="AB5" s="11">
        <f t="shared" ref="AB5:AB13" si="9">S5-Z5</f>
        <v>27.049999999999997</v>
      </c>
      <c r="AC5" s="11">
        <f t="shared" ref="AC5:AC13" si="10">Z5</f>
        <v>72.44</v>
      </c>
    </row>
    <row r="6" spans="1:29" ht="30" customHeight="1" x14ac:dyDescent="0.3">
      <c r="A6" s="9">
        <v>2</v>
      </c>
      <c r="B6" s="57"/>
      <c r="C6" s="57"/>
      <c r="D6" s="58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3" si="11">H6-SUM(J6:Q6)</f>
        <v>133.82</v>
      </c>
      <c r="J6" s="24">
        <v>1.67</v>
      </c>
      <c r="K6" s="24">
        <v>9.61</v>
      </c>
      <c r="L6" s="24">
        <v>3.33</v>
      </c>
      <c r="M6" s="24">
        <v>5.43</v>
      </c>
      <c r="N6" s="24">
        <v>4.4400000000000004</v>
      </c>
      <c r="O6" s="24">
        <v>4.2699999999999996</v>
      </c>
      <c r="P6" s="24">
        <v>29.63</v>
      </c>
      <c r="Q6" s="88">
        <v>7.8</v>
      </c>
      <c r="R6" s="10"/>
      <c r="S6" s="11">
        <f t="shared" si="0"/>
        <v>99.165000000000006</v>
      </c>
      <c r="T6" s="11">
        <f t="shared" si="1"/>
        <v>94.36</v>
      </c>
      <c r="U6" s="11">
        <f t="shared" si="2"/>
        <v>92.694999999999993</v>
      </c>
      <c r="V6" s="11">
        <f t="shared" si="3"/>
        <v>89.98</v>
      </c>
      <c r="W6" s="11">
        <f t="shared" si="4"/>
        <v>87.76</v>
      </c>
      <c r="X6" s="11">
        <f t="shared" si="5"/>
        <v>85.625</v>
      </c>
      <c r="Y6" s="11">
        <f t="shared" si="6"/>
        <v>70.81</v>
      </c>
      <c r="Z6" s="11">
        <f t="shared" si="7"/>
        <v>66.91</v>
      </c>
      <c r="AA6" s="11">
        <f t="shared" si="8"/>
        <v>0.83499999999999375</v>
      </c>
      <c r="AB6" s="11">
        <f t="shared" si="9"/>
        <v>32.25500000000001</v>
      </c>
      <c r="AC6" s="11">
        <f t="shared" si="10"/>
        <v>66.91</v>
      </c>
    </row>
    <row r="7" spans="1:29" ht="30" customHeight="1" x14ac:dyDescent="0.3">
      <c r="A7" s="9">
        <v>3</v>
      </c>
      <c r="B7" s="57"/>
      <c r="C7" s="57"/>
      <c r="D7" s="58"/>
      <c r="E7" s="46" t="s">
        <v>22</v>
      </c>
      <c r="F7" s="24">
        <v>3.5</v>
      </c>
      <c r="G7" s="46" t="s">
        <v>52</v>
      </c>
      <c r="H7" s="55">
        <v>100</v>
      </c>
      <c r="I7" s="24">
        <f t="shared" si="11"/>
        <v>68.8</v>
      </c>
      <c r="J7" s="24">
        <v>0.28000000000000003</v>
      </c>
      <c r="K7" s="24">
        <v>5.24</v>
      </c>
      <c r="L7" s="24">
        <v>2.27</v>
      </c>
      <c r="M7" s="24">
        <v>3.22</v>
      </c>
      <c r="N7" s="24">
        <v>2.1</v>
      </c>
      <c r="O7" s="24">
        <v>1.54</v>
      </c>
      <c r="P7" s="24">
        <v>9.7899999999999991</v>
      </c>
      <c r="Q7" s="24">
        <v>6.76</v>
      </c>
      <c r="R7" s="10"/>
      <c r="S7" s="11">
        <f t="shared" si="0"/>
        <v>99.72</v>
      </c>
      <c r="T7" s="11">
        <f t="shared" si="1"/>
        <v>94.48</v>
      </c>
      <c r="U7" s="11">
        <f t="shared" si="2"/>
        <v>92.21</v>
      </c>
      <c r="V7" s="11">
        <f t="shared" si="3"/>
        <v>88.99</v>
      </c>
      <c r="W7" s="11">
        <f t="shared" si="4"/>
        <v>86.89</v>
      </c>
      <c r="X7" s="11">
        <f t="shared" si="5"/>
        <v>85.35</v>
      </c>
      <c r="Y7" s="11">
        <f t="shared" si="6"/>
        <v>75.56</v>
      </c>
      <c r="Z7" s="11">
        <f t="shared" si="7"/>
        <v>68.8</v>
      </c>
      <c r="AA7" s="11">
        <f t="shared" si="8"/>
        <v>0.28000000000000114</v>
      </c>
      <c r="AB7" s="11">
        <f t="shared" si="9"/>
        <v>30.92</v>
      </c>
      <c r="AC7" s="11">
        <f t="shared" si="10"/>
        <v>68.8</v>
      </c>
    </row>
    <row r="8" spans="1:29" ht="30" customHeight="1" x14ac:dyDescent="0.3">
      <c r="A8" s="9">
        <v>4</v>
      </c>
      <c r="B8" s="57"/>
      <c r="C8" s="57"/>
      <c r="D8" s="58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158.63999999999999</v>
      </c>
      <c r="J8" s="24">
        <v>0</v>
      </c>
      <c r="K8" s="24">
        <v>2.16</v>
      </c>
      <c r="L8" s="24">
        <v>1.38</v>
      </c>
      <c r="M8" s="24">
        <v>2.42</v>
      </c>
      <c r="N8" s="24">
        <v>2.13</v>
      </c>
      <c r="O8" s="24">
        <v>2.36</v>
      </c>
      <c r="P8" s="24">
        <v>19.850000000000001</v>
      </c>
      <c r="Q8" s="24">
        <v>11.06</v>
      </c>
      <c r="R8" s="10"/>
      <c r="S8" s="11">
        <f t="shared" si="0"/>
        <v>100</v>
      </c>
      <c r="T8" s="11">
        <f t="shared" si="1"/>
        <v>98.92</v>
      </c>
      <c r="U8" s="11">
        <f t="shared" si="2"/>
        <v>98.23</v>
      </c>
      <c r="V8" s="11">
        <f t="shared" si="3"/>
        <v>97.02</v>
      </c>
      <c r="W8" s="11">
        <f t="shared" si="4"/>
        <v>95.954999999999998</v>
      </c>
      <c r="X8" s="11">
        <f t="shared" si="5"/>
        <v>94.775000000000006</v>
      </c>
      <c r="Y8" s="11">
        <f t="shared" si="6"/>
        <v>84.85</v>
      </c>
      <c r="Z8" s="11">
        <f t="shared" si="7"/>
        <v>79.319999999999993</v>
      </c>
      <c r="AA8" s="11">
        <f t="shared" si="8"/>
        <v>0</v>
      </c>
      <c r="AB8" s="11">
        <f t="shared" si="9"/>
        <v>20.680000000000007</v>
      </c>
      <c r="AC8" s="11">
        <f t="shared" si="10"/>
        <v>79.319999999999993</v>
      </c>
    </row>
    <row r="9" spans="1:29" ht="30" customHeight="1" x14ac:dyDescent="0.3">
      <c r="A9" s="9">
        <v>5</v>
      </c>
      <c r="B9" s="57"/>
      <c r="C9" s="57"/>
      <c r="D9" s="58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69.42</v>
      </c>
      <c r="J9" s="24">
        <v>0.88</v>
      </c>
      <c r="K9" s="24">
        <v>6.85</v>
      </c>
      <c r="L9" s="24">
        <v>2.1800000000000002</v>
      </c>
      <c r="M9" s="24">
        <v>2.83</v>
      </c>
      <c r="N9" s="24">
        <v>1.96</v>
      </c>
      <c r="O9" s="24">
        <v>1.46</v>
      </c>
      <c r="P9" s="24">
        <v>9.25</v>
      </c>
      <c r="Q9" s="24">
        <v>5.17</v>
      </c>
      <c r="R9" s="10"/>
      <c r="S9" s="11">
        <f t="shared" si="0"/>
        <v>99.12</v>
      </c>
      <c r="T9" s="11">
        <f t="shared" si="1"/>
        <v>92.27</v>
      </c>
      <c r="U9" s="11">
        <f t="shared" si="2"/>
        <v>90.09</v>
      </c>
      <c r="V9" s="11">
        <f t="shared" si="3"/>
        <v>87.26</v>
      </c>
      <c r="W9" s="11">
        <f t="shared" si="4"/>
        <v>85.3</v>
      </c>
      <c r="X9" s="11">
        <f>((H9-(SUM(J9:O9)))/H9)*100</f>
        <v>83.84</v>
      </c>
      <c r="Y9" s="11">
        <f t="shared" si="6"/>
        <v>74.59</v>
      </c>
      <c r="Z9" s="11">
        <f t="shared" si="7"/>
        <v>69.42</v>
      </c>
      <c r="AA9" s="11">
        <f t="shared" si="8"/>
        <v>0.87999999999999545</v>
      </c>
      <c r="AB9" s="11">
        <f t="shared" si="9"/>
        <v>29.700000000000003</v>
      </c>
      <c r="AC9" s="11">
        <f t="shared" si="10"/>
        <v>69.42</v>
      </c>
    </row>
    <row r="10" spans="1:29" s="34" customFormat="1" ht="30" customHeight="1" x14ac:dyDescent="0.3">
      <c r="A10" s="42">
        <v>6</v>
      </c>
      <c r="B10" s="57"/>
      <c r="C10" s="57"/>
      <c r="D10" s="58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75.86</v>
      </c>
      <c r="J10" s="43">
        <v>0.67</v>
      </c>
      <c r="K10" s="43">
        <v>3.62</v>
      </c>
      <c r="L10" s="43">
        <v>1.1200000000000001</v>
      </c>
      <c r="M10" s="43">
        <v>1.77</v>
      </c>
      <c r="N10" s="43">
        <v>1.38</v>
      </c>
      <c r="O10" s="43">
        <v>1.04</v>
      </c>
      <c r="P10" s="43">
        <v>9</v>
      </c>
      <c r="Q10" s="43">
        <v>5.54</v>
      </c>
      <c r="R10" s="44"/>
      <c r="S10" s="45">
        <f t="shared" si="0"/>
        <v>99.33</v>
      </c>
      <c r="T10" s="45">
        <f t="shared" si="1"/>
        <v>95.71</v>
      </c>
      <c r="U10" s="45">
        <f t="shared" si="2"/>
        <v>94.59</v>
      </c>
      <c r="V10" s="45">
        <f t="shared" si="3"/>
        <v>92.82</v>
      </c>
      <c r="W10" s="45">
        <f t="shared" si="4"/>
        <v>91.44</v>
      </c>
      <c r="X10" s="45">
        <f t="shared" si="5"/>
        <v>90.4</v>
      </c>
      <c r="Y10" s="45">
        <f t="shared" si="6"/>
        <v>81.400000000000006</v>
      </c>
      <c r="Z10" s="45">
        <f t="shared" si="7"/>
        <v>75.86</v>
      </c>
      <c r="AA10" s="45">
        <f t="shared" si="8"/>
        <v>0.67000000000000171</v>
      </c>
      <c r="AB10" s="45">
        <f t="shared" si="9"/>
        <v>23.47</v>
      </c>
      <c r="AC10" s="45">
        <f t="shared" si="10"/>
        <v>75.86</v>
      </c>
    </row>
    <row r="11" spans="1:29" ht="30" customHeight="1" x14ac:dyDescent="0.3">
      <c r="A11" s="9">
        <v>7</v>
      </c>
      <c r="B11" s="57"/>
      <c r="C11" s="57"/>
      <c r="D11" s="58"/>
      <c r="E11" s="46" t="s">
        <v>22</v>
      </c>
      <c r="F11" s="24">
        <v>10.5</v>
      </c>
      <c r="G11" s="46" t="s">
        <v>56</v>
      </c>
      <c r="H11" s="55">
        <v>100</v>
      </c>
      <c r="I11" s="24">
        <f t="shared" si="11"/>
        <v>65.14</v>
      </c>
      <c r="J11" s="24">
        <v>0.12</v>
      </c>
      <c r="K11" s="24">
        <v>2.0299999999999998</v>
      </c>
      <c r="L11" s="24">
        <v>1.25</v>
      </c>
      <c r="M11" s="24">
        <v>2.95</v>
      </c>
      <c r="N11" s="24">
        <v>2.62</v>
      </c>
      <c r="O11" s="24">
        <v>2.11</v>
      </c>
      <c r="P11" s="24">
        <v>14.57</v>
      </c>
      <c r="Q11" s="24">
        <v>9.2100000000000009</v>
      </c>
      <c r="R11" s="10"/>
      <c r="S11" s="11">
        <f t="shared" si="0"/>
        <v>99.88</v>
      </c>
      <c r="T11" s="11">
        <f t="shared" si="1"/>
        <v>97.85</v>
      </c>
      <c r="U11" s="11">
        <f t="shared" si="2"/>
        <v>96.6</v>
      </c>
      <c r="V11" s="11">
        <f t="shared" si="3"/>
        <v>93.65</v>
      </c>
      <c r="W11" s="11">
        <f t="shared" si="4"/>
        <v>91.03</v>
      </c>
      <c r="X11" s="11">
        <f t="shared" si="5"/>
        <v>88.92</v>
      </c>
      <c r="Y11" s="11">
        <f t="shared" si="6"/>
        <v>74.349999999999994</v>
      </c>
      <c r="Z11" s="11">
        <f t="shared" si="7"/>
        <v>65.14</v>
      </c>
      <c r="AA11" s="11">
        <f t="shared" si="8"/>
        <v>0.12000000000000455</v>
      </c>
      <c r="AB11" s="11">
        <f t="shared" si="9"/>
        <v>34.739999999999995</v>
      </c>
      <c r="AC11" s="11">
        <f t="shared" si="10"/>
        <v>65.14</v>
      </c>
    </row>
    <row r="12" spans="1:29" ht="30" customHeight="1" x14ac:dyDescent="0.3">
      <c r="A12" s="9">
        <v>8</v>
      </c>
      <c r="B12" s="57"/>
      <c r="C12" s="57"/>
      <c r="D12" s="58"/>
      <c r="E12" s="46" t="s">
        <v>22</v>
      </c>
      <c r="F12" s="24">
        <v>13.5</v>
      </c>
      <c r="G12" s="46" t="s">
        <v>57</v>
      </c>
      <c r="H12" s="55">
        <v>100</v>
      </c>
      <c r="I12" s="24">
        <f t="shared" si="11"/>
        <v>64.31</v>
      </c>
      <c r="J12" s="24">
        <v>0.56000000000000005</v>
      </c>
      <c r="K12" s="24">
        <v>3.04</v>
      </c>
      <c r="L12" s="24">
        <v>1.33</v>
      </c>
      <c r="M12" s="24">
        <v>2.0099999999999998</v>
      </c>
      <c r="N12" s="24">
        <v>1.98</v>
      </c>
      <c r="O12" s="24">
        <v>2</v>
      </c>
      <c r="P12" s="24">
        <v>16.97</v>
      </c>
      <c r="Q12" s="24">
        <v>7.8</v>
      </c>
      <c r="R12" s="10"/>
      <c r="S12" s="11">
        <f t="shared" si="0"/>
        <v>99.44</v>
      </c>
      <c r="T12" s="11">
        <f t="shared" si="1"/>
        <v>96.4</v>
      </c>
      <c r="U12" s="11">
        <f t="shared" si="2"/>
        <v>95.07</v>
      </c>
      <c r="V12" s="11">
        <f t="shared" si="3"/>
        <v>93.06</v>
      </c>
      <c r="W12" s="11">
        <f t="shared" si="4"/>
        <v>91.08</v>
      </c>
      <c r="X12" s="11">
        <f t="shared" si="5"/>
        <v>89.08</v>
      </c>
      <c r="Y12" s="11">
        <f t="shared" si="6"/>
        <v>72.11</v>
      </c>
      <c r="Z12" s="11">
        <f t="shared" si="7"/>
        <v>64.31</v>
      </c>
      <c r="AA12" s="11">
        <f t="shared" si="8"/>
        <v>0.56000000000000227</v>
      </c>
      <c r="AB12" s="11">
        <f t="shared" si="9"/>
        <v>35.129999999999995</v>
      </c>
      <c r="AC12" s="11">
        <f t="shared" si="10"/>
        <v>64.31</v>
      </c>
    </row>
    <row r="13" spans="1:29" ht="30" customHeight="1" x14ac:dyDescent="0.3">
      <c r="A13" s="9">
        <v>9</v>
      </c>
      <c r="B13" s="57"/>
      <c r="C13" s="57"/>
      <c r="D13" s="58"/>
      <c r="E13" s="46" t="s">
        <v>22</v>
      </c>
      <c r="F13" s="24">
        <v>15</v>
      </c>
      <c r="G13" s="46" t="s">
        <v>58</v>
      </c>
      <c r="H13" s="55">
        <v>100</v>
      </c>
      <c r="I13" s="24">
        <f t="shared" si="11"/>
        <v>70.88</v>
      </c>
      <c r="J13" s="24">
        <v>0.61</v>
      </c>
      <c r="K13" s="24">
        <v>2.59</v>
      </c>
      <c r="L13" s="24">
        <v>1.22</v>
      </c>
      <c r="M13" s="24">
        <v>2</v>
      </c>
      <c r="N13" s="24">
        <v>1.65</v>
      </c>
      <c r="O13" s="24">
        <v>1.7</v>
      </c>
      <c r="P13" s="24">
        <v>12.38</v>
      </c>
      <c r="Q13" s="24">
        <v>6.97</v>
      </c>
      <c r="R13" s="10"/>
      <c r="S13" s="11">
        <f t="shared" si="0"/>
        <v>99.39</v>
      </c>
      <c r="T13" s="11">
        <f t="shared" si="1"/>
        <v>96.8</v>
      </c>
      <c r="U13" s="11">
        <f t="shared" si="2"/>
        <v>95.58</v>
      </c>
      <c r="V13" s="11">
        <f t="shared" si="3"/>
        <v>93.58</v>
      </c>
      <c r="W13" s="11">
        <f t="shared" si="4"/>
        <v>91.93</v>
      </c>
      <c r="X13" s="11">
        <f t="shared" si="5"/>
        <v>90.23</v>
      </c>
      <c r="Y13" s="11">
        <f t="shared" si="6"/>
        <v>77.849999999999994</v>
      </c>
      <c r="Z13" s="11">
        <f t="shared" si="7"/>
        <v>70.88</v>
      </c>
      <c r="AA13" s="11">
        <f t="shared" si="8"/>
        <v>0.60999999999999943</v>
      </c>
      <c r="AB13" s="11">
        <f t="shared" si="9"/>
        <v>28.510000000000005</v>
      </c>
      <c r="AC13" s="11">
        <f t="shared" si="10"/>
        <v>70.88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3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3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3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3">
      <c r="A5" s="27">
        <v>1</v>
      </c>
      <c r="B5" s="27" t="str">
        <f>GSD!B5</f>
        <v>CBH-15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3">
      <c r="A6" s="27">
        <v>2</v>
      </c>
      <c r="B6" s="27" t="str">
        <f>B5</f>
        <v>CBH-15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3">
      <c r="A7" s="27">
        <v>3</v>
      </c>
      <c r="B7" s="27" t="str">
        <f t="shared" ref="B7:B13" si="2">B6</f>
        <v>CBH-15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3">
      <c r="A8" s="27">
        <v>4</v>
      </c>
      <c r="B8" s="27" t="str">
        <f t="shared" si="2"/>
        <v>CBH-15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3">
      <c r="A9" s="27">
        <v>5</v>
      </c>
      <c r="B9" s="27" t="str">
        <f t="shared" si="2"/>
        <v>CBH-15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3">
      <c r="A10" s="27">
        <v>6</v>
      </c>
      <c r="B10" s="27" t="str">
        <f t="shared" si="2"/>
        <v>CBH-15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3">
      <c r="A11" s="27">
        <v>7</v>
      </c>
      <c r="B11" s="27" t="str">
        <f t="shared" si="2"/>
        <v>CBH-15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3">
      <c r="A12" s="27">
        <v>8</v>
      </c>
      <c r="B12" s="27" t="str">
        <f t="shared" si="2"/>
        <v>CBH-15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3">
      <c r="A13" s="27">
        <v>9</v>
      </c>
      <c r="B13" s="27" t="str">
        <f t="shared" si="2"/>
        <v>CBH-15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4.4" x14ac:dyDescent="0.3"/>
  <sheetData>
    <row r="1" spans="1:6" ht="28.8" x14ac:dyDescent="0.3">
      <c r="A1" s="17" t="s">
        <v>36</v>
      </c>
      <c r="B1" s="17" t="s">
        <v>37</v>
      </c>
      <c r="C1" s="17" t="s">
        <v>38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H1" zoomScale="130" zoomScaleNormal="130" workbookViewId="0">
      <selection activeCell="H17" sqref="H17"/>
    </sheetView>
  </sheetViews>
  <sheetFormatPr defaultRowHeight="14.4" x14ac:dyDescent="0.3"/>
  <sheetData>
    <row r="1" spans="1:49" x14ac:dyDescent="0.3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3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3">
      <c r="A3" s="48">
        <v>1</v>
      </c>
      <c r="B3" s="48" t="str">
        <f>GSD!B5</f>
        <v>CBH-15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99.49</v>
      </c>
      <c r="Z3" s="52">
        <f>GSD!T5</f>
        <v>95.81</v>
      </c>
      <c r="AA3" s="52">
        <f>GSD!U5</f>
        <v>94.23</v>
      </c>
      <c r="AB3" s="52">
        <f>GSD!V5</f>
        <v>91.87</v>
      </c>
      <c r="AC3" s="52">
        <f>GSD!W5</f>
        <v>90.17</v>
      </c>
      <c r="AD3" s="52">
        <f>GSD!X5</f>
        <v>88.85</v>
      </c>
      <c r="AE3" s="52">
        <f>GSD!Y5</f>
        <v>79.06</v>
      </c>
      <c r="AF3" s="52">
        <f>GSD!Z5</f>
        <v>72.44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3">
      <c r="A4" s="48">
        <v>2</v>
      </c>
      <c r="B4" s="48" t="str">
        <f>B3</f>
        <v>CBH-15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99.165000000000006</v>
      </c>
      <c r="Z4" s="52">
        <f>GSD!T6</f>
        <v>94.36</v>
      </c>
      <c r="AA4" s="52">
        <f>GSD!U6</f>
        <v>92.694999999999993</v>
      </c>
      <c r="AB4" s="52">
        <f>GSD!V6</f>
        <v>89.98</v>
      </c>
      <c r="AC4" s="52">
        <f>GSD!W6</f>
        <v>87.76</v>
      </c>
      <c r="AD4" s="52">
        <f>GSD!X6</f>
        <v>85.625</v>
      </c>
      <c r="AE4" s="52">
        <f>GSD!Y6</f>
        <v>70.81</v>
      </c>
      <c r="AF4" s="52">
        <f>GSD!Z6</f>
        <v>66.91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3">
      <c r="A5" s="48">
        <v>3</v>
      </c>
      <c r="B5" s="48" t="str">
        <f t="shared" ref="B5:B11" si="0">B4</f>
        <v>CBH-15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99.72</v>
      </c>
      <c r="Z5" s="52">
        <f>GSD!T7</f>
        <v>94.48</v>
      </c>
      <c r="AA5" s="52">
        <f>GSD!U7</f>
        <v>92.21</v>
      </c>
      <c r="AB5" s="52">
        <f>GSD!V7</f>
        <v>88.99</v>
      </c>
      <c r="AC5" s="52">
        <f>GSD!W7</f>
        <v>86.89</v>
      </c>
      <c r="AD5" s="52">
        <f>GSD!X7</f>
        <v>85.35</v>
      </c>
      <c r="AE5" s="52">
        <f>GSD!Y7</f>
        <v>75.56</v>
      </c>
      <c r="AF5" s="52">
        <f>GSD!Z7</f>
        <v>68.8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3">
      <c r="A6" s="48">
        <v>4</v>
      </c>
      <c r="B6" s="48" t="str">
        <f t="shared" si="0"/>
        <v>CBH-15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100</v>
      </c>
      <c r="Z6" s="52">
        <f>GSD!T8</f>
        <v>98.92</v>
      </c>
      <c r="AA6" s="52">
        <f>GSD!U8</f>
        <v>98.23</v>
      </c>
      <c r="AB6" s="52">
        <f>GSD!V8</f>
        <v>97.02</v>
      </c>
      <c r="AC6" s="52">
        <f>GSD!W8</f>
        <v>95.954999999999998</v>
      </c>
      <c r="AD6" s="52">
        <f>GSD!X8</f>
        <v>94.775000000000006</v>
      </c>
      <c r="AE6" s="52">
        <f>GSD!Y8</f>
        <v>84.85</v>
      </c>
      <c r="AF6" s="52">
        <f>GSD!Z8</f>
        <v>79.319999999999993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3">
      <c r="A7" s="48">
        <v>5</v>
      </c>
      <c r="B7" s="48" t="str">
        <f t="shared" si="0"/>
        <v>CBH-15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99.12</v>
      </c>
      <c r="Z7" s="52">
        <f>GSD!T9</f>
        <v>92.27</v>
      </c>
      <c r="AA7" s="52">
        <f>GSD!U9</f>
        <v>90.09</v>
      </c>
      <c r="AB7" s="52">
        <f>GSD!V9</f>
        <v>87.26</v>
      </c>
      <c r="AC7" s="52">
        <f>GSD!W9</f>
        <v>85.3</v>
      </c>
      <c r="AD7" s="52">
        <f>GSD!X9</f>
        <v>83.84</v>
      </c>
      <c r="AE7" s="52">
        <f>GSD!Y9</f>
        <v>74.59</v>
      </c>
      <c r="AF7" s="52">
        <f>GSD!Z9</f>
        <v>69.42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3">
      <c r="A8" s="48">
        <v>6</v>
      </c>
      <c r="B8" s="48" t="str">
        <f t="shared" si="0"/>
        <v>CBH-15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99.33</v>
      </c>
      <c r="Z8" s="52">
        <f>GSD!T10</f>
        <v>95.71</v>
      </c>
      <c r="AA8" s="52">
        <f>GSD!U10</f>
        <v>94.59</v>
      </c>
      <c r="AB8" s="52">
        <f>GSD!V10</f>
        <v>92.82</v>
      </c>
      <c r="AC8" s="52">
        <f>GSD!W10</f>
        <v>91.44</v>
      </c>
      <c r="AD8" s="52">
        <f>GSD!X10</f>
        <v>90.4</v>
      </c>
      <c r="AE8" s="52">
        <f>GSD!Y10</f>
        <v>81.400000000000006</v>
      </c>
      <c r="AF8" s="52">
        <f>GSD!Z10</f>
        <v>75.86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3">
      <c r="A9" s="48">
        <v>7</v>
      </c>
      <c r="B9" s="48" t="str">
        <f t="shared" si="0"/>
        <v>CBH-15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99.88</v>
      </c>
      <c r="Z9" s="52">
        <f>GSD!T11</f>
        <v>97.85</v>
      </c>
      <c r="AA9" s="52">
        <f>GSD!U11</f>
        <v>96.6</v>
      </c>
      <c r="AB9" s="52">
        <f>GSD!V11</f>
        <v>93.65</v>
      </c>
      <c r="AC9" s="52">
        <f>GSD!W11</f>
        <v>91.03</v>
      </c>
      <c r="AD9" s="52">
        <f>GSD!X11</f>
        <v>88.92</v>
      </c>
      <c r="AE9" s="52">
        <f>GSD!Y11</f>
        <v>74.349999999999994</v>
      </c>
      <c r="AF9" s="52">
        <f>GSD!Z11</f>
        <v>65.14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3">
      <c r="A10" s="48">
        <v>8</v>
      </c>
      <c r="B10" s="48" t="str">
        <f t="shared" si="0"/>
        <v>CBH-15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99.44</v>
      </c>
      <c r="Z10" s="52">
        <f>GSD!T12</f>
        <v>96.4</v>
      </c>
      <c r="AA10" s="52">
        <f>GSD!U12</f>
        <v>95.07</v>
      </c>
      <c r="AB10" s="52">
        <f>GSD!V12</f>
        <v>93.06</v>
      </c>
      <c r="AC10" s="52">
        <f>GSD!W12</f>
        <v>91.08</v>
      </c>
      <c r="AD10" s="52">
        <f>GSD!X12</f>
        <v>89.08</v>
      </c>
      <c r="AE10" s="52">
        <f>GSD!Y12</f>
        <v>72.11</v>
      </c>
      <c r="AF10" s="52">
        <f>GSD!Z12</f>
        <v>64.31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3">
      <c r="A11" s="48">
        <v>9</v>
      </c>
      <c r="B11" s="48" t="str">
        <f t="shared" si="0"/>
        <v>CBH-15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99.39</v>
      </c>
      <c r="Z11" s="52">
        <f>GSD!T13</f>
        <v>96.8</v>
      </c>
      <c r="AA11" s="52">
        <f>GSD!U13</f>
        <v>95.58</v>
      </c>
      <c r="AB11" s="52">
        <f>GSD!V13</f>
        <v>93.58</v>
      </c>
      <c r="AC11" s="52">
        <f>GSD!W13</f>
        <v>91.93</v>
      </c>
      <c r="AD11" s="52">
        <f>GSD!X13</f>
        <v>90.23</v>
      </c>
      <c r="AE11" s="52">
        <f>GSD!Y13</f>
        <v>77.849999999999994</v>
      </c>
      <c r="AF11" s="52">
        <f>GSD!Z13</f>
        <v>70.88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2026-09-08T05:21:43Z</dcterms:modified>
</cp:coreProperties>
</file>