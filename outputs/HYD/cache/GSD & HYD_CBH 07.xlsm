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1. Lined Canal_CH_287.291km (CBH-07)\"/>
    </mc:Choice>
  </mc:AlternateContent>
  <xr:revisionPtr revIDLastSave="0" documentId="13_ncr:1_{C6298013-EE5F-4B20-9A81-3EBE5BDC392F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<sst xmlns="http://schemas.openxmlformats.org/spreadsheetml/2006/main" count="82" uniqueCount="59">
  <si>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</si>
  <si>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</si>
  <si>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</si>
  <si>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</si>
  <si>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</si>
  <si>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</si>
  <si>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</si>
  <si>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</si>
  <si>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</si>
  <si>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</si>
  <si>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</si>
  <si>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</si>
  <si>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</si>
  <si>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</si>
  <si>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</si>
  <si>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</si>
  <si>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</si>
  <si>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</si>
  <si>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</si>
  <si>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</si>
  <si>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</si>
  <si>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</si>
  <si>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</si>
  <si>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</si>
  <si>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</si>
  <si>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</si>
  <si>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</si>
  <si>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</si>
  <si>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</si>
  <si>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</si>
  <si>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</si>
  <si>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</si>
  <si>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</si>
  <si>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</si>
  <si>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</si>
  <si>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</si>
  <si>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</si>
  <si>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</si>
  <si>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</si>
  <si>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</si>
  <si>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</si>
  <si>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</si>
  <si>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</si>
  <si>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</si>
  <si>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</si>
  <si>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</si>
  <si>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</si>
  <si>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</si>
  <si>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</si>
  <si>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A073</t>
  </si>
  <si>
    <t>A058</t>
  </si>
  <si>
    <t>CBH-07</t>
  </si>
  <si>
    <t>A121</t>
  </si>
  <si>
    <t>A042</t>
  </si>
  <si>
    <t>A146</t>
  </si>
  <si>
    <t>A101</t>
  </si>
  <si>
    <t>A100</t>
  </si>
  <si>
    <t>A062</t>
  </si>
  <si>
    <t>A019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</si>
</sst>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99.25</c:v>
                </c:pt>
                <c:pt idx="1">
                  <c:v>97.05</c:v>
                </c:pt>
                <c:pt idx="2">
                  <c:v>95.91</c:v>
                </c:pt>
                <c:pt idx="3">
                  <c:v>93.56</c:v>
                </c:pt>
                <c:pt idx="4">
                  <c:v>90.63</c:v>
                </c:pt>
                <c:pt idx="5">
                  <c:v>87.69</c:v>
                </c:pt>
                <c:pt idx="6">
                  <c:v>69.92</c:v>
                </c:pt>
                <c:pt idx="7">
                  <c:v>56.999999999999993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99.78</c:v>
                </c:pt>
                <c:pt idx="1">
                  <c:v>97.674999999999997</c:v>
                </c:pt>
                <c:pt idx="2">
                  <c:v>96.73</c:v>
                </c:pt>
                <c:pt idx="3">
                  <c:v>94.944999999999993</c:v>
                </c:pt>
                <c:pt idx="4">
                  <c:v>91.51</c:v>
                </c:pt>
                <c:pt idx="5">
                  <c:v>90.084999999999994</c:v>
                </c:pt>
                <c:pt idx="6">
                  <c:v>74.680000000000007</c:v>
                </c:pt>
                <c:pt idx="7">
                  <c:v>67.894999999999996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99.76</c:v>
                </c:pt>
                <c:pt idx="1">
                  <c:v>98.56</c:v>
                </c:pt>
                <c:pt idx="2">
                  <c:v>97.69</c:v>
                </c:pt>
                <c:pt idx="3">
                  <c:v>95.63</c:v>
                </c:pt>
                <c:pt idx="4">
                  <c:v>93.14</c:v>
                </c:pt>
                <c:pt idx="5">
                  <c:v>90.51</c:v>
                </c:pt>
                <c:pt idx="6">
                  <c:v>73.3</c:v>
                </c:pt>
                <c:pt idx="7">
                  <c:v>62.059999999999995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99.37</c:v>
                </c:pt>
                <c:pt idx="1">
                  <c:v>96.63</c:v>
                </c:pt>
                <c:pt idx="2">
                  <c:v>95.44</c:v>
                </c:pt>
                <c:pt idx="3">
                  <c:v>93.43</c:v>
                </c:pt>
                <c:pt idx="4">
                  <c:v>91.16</c:v>
                </c:pt>
                <c:pt idx="5">
                  <c:v>89.15</c:v>
                </c:pt>
                <c:pt idx="6">
                  <c:v>75.914999999999992</c:v>
                </c:pt>
                <c:pt idx="7">
                  <c:v>69.125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97.81</c:v>
                </c:pt>
                <c:pt idx="2">
                  <c:v>96.92</c:v>
                </c:pt>
                <c:pt idx="3">
                  <c:v>94.7</c:v>
                </c:pt>
                <c:pt idx="4">
                  <c:v>91.98</c:v>
                </c:pt>
                <c:pt idx="5">
                  <c:v>89.22</c:v>
                </c:pt>
                <c:pt idx="6">
                  <c:v>72.59</c:v>
                </c:pt>
                <c:pt idx="7">
                  <c:v>60.28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99.305000000000007</c:v>
                </c:pt>
                <c:pt idx="1">
                  <c:v>97.32</c:v>
                </c:pt>
                <c:pt idx="2">
                  <c:v>96.65</c:v>
                </c:pt>
                <c:pt idx="3">
                  <c:v>95.444999999999993</c:v>
                </c:pt>
                <c:pt idx="4">
                  <c:v>94.265000000000001</c:v>
                </c:pt>
                <c:pt idx="5">
                  <c:v>93.24</c:v>
                </c:pt>
                <c:pt idx="6">
                  <c:v>87.305000000000007</c:v>
                </c:pt>
                <c:pt idx="7">
                  <c:v>82.31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99.96</c:v>
                </c:pt>
                <c:pt idx="1">
                  <c:v>98.41</c:v>
                </c:pt>
                <c:pt idx="2">
                  <c:v>97.644999999999996</c:v>
                </c:pt>
                <c:pt idx="3">
                  <c:v>95.564999999999998</c:v>
                </c:pt>
                <c:pt idx="4">
                  <c:v>94.12</c:v>
                </c:pt>
                <c:pt idx="5">
                  <c:v>92.584999999999994</c:v>
                </c:pt>
                <c:pt idx="6">
                  <c:v>76.650000000000006</c:v>
                </c:pt>
                <c:pt idx="7">
                  <c:v>69.515000000000001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99.89</c:v>
                </c:pt>
                <c:pt idx="1">
                  <c:v>98.14</c:v>
                </c:pt>
                <c:pt idx="2">
                  <c:v>95.41</c:v>
                </c:pt>
                <c:pt idx="3">
                  <c:v>53.339999999999996</c:v>
                </c:pt>
                <c:pt idx="4">
                  <c:v>36.340000000000003</c:v>
                </c:pt>
                <c:pt idx="5">
                  <c:v>30.740000000000013</c:v>
                </c:pt>
                <c:pt idx="6">
                  <c:v>19.540000000000006</c:v>
                </c:pt>
                <c:pt idx="7">
                  <c:v>15.990000000000009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99.94</c:v>
                </c:pt>
                <c:pt idx="1">
                  <c:v>98.18</c:v>
                </c:pt>
                <c:pt idx="2">
                  <c:v>97.58</c:v>
                </c:pt>
                <c:pt idx="3">
                  <c:v>94.63</c:v>
                </c:pt>
                <c:pt idx="4">
                  <c:v>89.31</c:v>
                </c:pt>
                <c:pt idx="5">
                  <c:v>66.73</c:v>
                </c:pt>
                <c:pt idx="6">
                  <c:v>26.439999999999998</c:v>
                </c:pt>
                <c:pt idx="7">
                  <c:v>21.209999999999994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99.25</c:v>
                </c:pt>
                <c:pt idx="1">
                  <c:v>97.05</c:v>
                </c:pt>
                <c:pt idx="2">
                  <c:v>95.91</c:v>
                </c:pt>
                <c:pt idx="3">
                  <c:v>93.56</c:v>
                </c:pt>
                <c:pt idx="4">
                  <c:v>90.63</c:v>
                </c:pt>
                <c:pt idx="5">
                  <c:v>87.69</c:v>
                </c:pt>
                <c:pt idx="6">
                  <c:v>69.92</c:v>
                </c:pt>
                <c:pt idx="7">
                  <c:v>56.999999999999993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99.78</c:v>
                </c:pt>
                <c:pt idx="1">
                  <c:v>97.674999999999997</c:v>
                </c:pt>
                <c:pt idx="2">
                  <c:v>96.73</c:v>
                </c:pt>
                <c:pt idx="3">
                  <c:v>94.944999999999993</c:v>
                </c:pt>
                <c:pt idx="4">
                  <c:v>91.51</c:v>
                </c:pt>
                <c:pt idx="5">
                  <c:v>90.084999999999994</c:v>
                </c:pt>
                <c:pt idx="6">
                  <c:v>74.680000000000007</c:v>
                </c:pt>
                <c:pt idx="7">
                  <c:v>67.894999999999996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99.76</c:v>
                </c:pt>
                <c:pt idx="1">
                  <c:v>98.56</c:v>
                </c:pt>
                <c:pt idx="2">
                  <c:v>97.69</c:v>
                </c:pt>
                <c:pt idx="3">
                  <c:v>95.63</c:v>
                </c:pt>
                <c:pt idx="4">
                  <c:v>93.14</c:v>
                </c:pt>
                <c:pt idx="5">
                  <c:v>90.51</c:v>
                </c:pt>
                <c:pt idx="6">
                  <c:v>73.3</c:v>
                </c:pt>
                <c:pt idx="7">
                  <c:v>62.059999999999995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99.37</c:v>
                </c:pt>
                <c:pt idx="1">
                  <c:v>96.63</c:v>
                </c:pt>
                <c:pt idx="2">
                  <c:v>95.44</c:v>
                </c:pt>
                <c:pt idx="3">
                  <c:v>93.43</c:v>
                </c:pt>
                <c:pt idx="4">
                  <c:v>91.16</c:v>
                </c:pt>
                <c:pt idx="5">
                  <c:v>89.15</c:v>
                </c:pt>
                <c:pt idx="6">
                  <c:v>75.914999999999992</c:v>
                </c:pt>
                <c:pt idx="7">
                  <c:v>69.125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97.81</c:v>
                </c:pt>
                <c:pt idx="2">
                  <c:v>96.92</c:v>
                </c:pt>
                <c:pt idx="3">
                  <c:v>94.7</c:v>
                </c:pt>
                <c:pt idx="4">
                  <c:v>91.98</c:v>
                </c:pt>
                <c:pt idx="5">
                  <c:v>89.22</c:v>
                </c:pt>
                <c:pt idx="6">
                  <c:v>72.59</c:v>
                </c:pt>
                <c:pt idx="7">
                  <c:v>60.28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99.305000000000007</c:v>
                </c:pt>
                <c:pt idx="1">
                  <c:v>97.32</c:v>
                </c:pt>
                <c:pt idx="2">
                  <c:v>96.65</c:v>
                </c:pt>
                <c:pt idx="3">
                  <c:v>95.444999999999993</c:v>
                </c:pt>
                <c:pt idx="4">
                  <c:v>94.265000000000001</c:v>
                </c:pt>
                <c:pt idx="5">
                  <c:v>93.24</c:v>
                </c:pt>
                <c:pt idx="6">
                  <c:v>87.305000000000007</c:v>
                </c:pt>
                <c:pt idx="7">
                  <c:v>82.31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6.5355890639987396E-2</c:v>
                </c:pt>
                <c:pt idx="9" formatCode="0.00000">
                  <c:v>4.7369111646466691E-2</c:v>
                </c:pt>
                <c:pt idx="10" formatCode="0.00000">
                  <c:v>3.3896172327614181E-2</c:v>
                </c:pt>
                <c:pt idx="11" formatCode="0.00000">
                  <c:v>2.3968213309123788E-2</c:v>
                </c:pt>
                <c:pt idx="12" formatCode="0.00000">
                  <c:v>1.7978871113746023E-2</c:v>
                </c:pt>
                <c:pt idx="13" formatCode="0.00000">
                  <c:v>1.31299110233023E-2</c:v>
                </c:pt>
                <c:pt idx="14" formatCode="0.00000">
                  <c:v>9.284249120953058E-3</c:v>
                </c:pt>
                <c:pt idx="15" formatCode="0.00000">
                  <c:v>6.6332328856909808E-3</c:v>
                </c:pt>
                <c:pt idx="16" formatCode="0.00000">
                  <c:v>4.7855017400226414E-3</c:v>
                </c:pt>
                <c:pt idx="17" formatCode="0.00000">
                  <c:v>3.3838607317500323E-3</c:v>
                </c:pt>
                <c:pt idx="18" formatCode="0.00000">
                  <c:v>2.416174441482163E-3</c:v>
                </c:pt>
                <c:pt idx="19" formatCode="0.00000">
                  <c:v>1.7248972632309622E-3</c:v>
                </c:pt>
                <c:pt idx="20" formatCode="0.00000">
                  <c:v>1.4216402900798591E-3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99.96</c:v>
                </c:pt>
                <c:pt idx="1">
                  <c:v>98.41</c:v>
                </c:pt>
                <c:pt idx="2">
                  <c:v>97.644999999999996</c:v>
                </c:pt>
                <c:pt idx="3">
                  <c:v>95.564999999999998</c:v>
                </c:pt>
                <c:pt idx="4">
                  <c:v>94.12</c:v>
                </c:pt>
                <c:pt idx="5">
                  <c:v>92.584999999999994</c:v>
                </c:pt>
                <c:pt idx="6">
                  <c:v>76.650000000000006</c:v>
                </c:pt>
                <c:pt idx="7">
                  <c:v>69.515000000000001</c:v>
                </c:pt>
                <c:pt idx="8">
                  <c:v>48.8461058201055</c:v>
                </c:pt>
                <c:pt idx="9">
                  <c:v>42.200603174602847</c:v>
                </c:pt>
                <c:pt idx="10">
                  <c:v>38.877851851851887</c:v>
                </c:pt>
                <c:pt idx="11">
                  <c:v>38.877851851851887</c:v>
                </c:pt>
                <c:pt idx="12">
                  <c:v>35.555100529100194</c:v>
                </c:pt>
                <c:pt idx="13">
                  <c:v>35.555100529100194</c:v>
                </c:pt>
                <c:pt idx="14">
                  <c:v>35.555100529100194</c:v>
                </c:pt>
                <c:pt idx="15">
                  <c:v>32.232349206349241</c:v>
                </c:pt>
                <c:pt idx="16">
                  <c:v>25.586846560846585</c:v>
                </c:pt>
                <c:pt idx="17">
                  <c:v>25.586846560846585</c:v>
                </c:pt>
                <c:pt idx="18">
                  <c:v>22.264095238094889</c:v>
                </c:pt>
                <c:pt idx="19">
                  <c:v>18.941343915343932</c:v>
                </c:pt>
                <c:pt idx="20">
                  <c:v>15.618592592592238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99.89</c:v>
                </c:pt>
                <c:pt idx="1">
                  <c:v>98.14</c:v>
                </c:pt>
                <c:pt idx="2">
                  <c:v>95.41</c:v>
                </c:pt>
                <c:pt idx="3">
                  <c:v>53.339999999999996</c:v>
                </c:pt>
                <c:pt idx="4">
                  <c:v>36.340000000000003</c:v>
                </c:pt>
                <c:pt idx="5">
                  <c:v>30.740000000000013</c:v>
                </c:pt>
                <c:pt idx="6">
                  <c:v>19.540000000000006</c:v>
                </c:pt>
                <c:pt idx="7">
                  <c:v>15.990000000000009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99.94</c:v>
                </c:pt>
                <c:pt idx="1">
                  <c:v>98.18</c:v>
                </c:pt>
                <c:pt idx="2">
                  <c:v>97.58</c:v>
                </c:pt>
                <c:pt idx="3">
                  <c:v>94.63</c:v>
                </c:pt>
                <c:pt idx="4">
                  <c:v>89.31</c:v>
                </c:pt>
                <c:pt idx="5">
                  <c:v>66.73</c:v>
                </c:pt>
                <c:pt idx="6">
                  <c:v>26.439999999999998</c:v>
                </c:pt>
                <c:pt idx="7">
                  <c:v>21.209999999999994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A2" zoomScale="130" zoomScaleNormal="85" zoomScaleSheetLayoutView="130" zoomScalePageLayoutView="85" workbookViewId="0">
      <selection activeCell="R9" sqref="R9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51</v>
      </c>
      <c r="C5" s="57"/>
      <c r="D5" s="58"/>
      <c r="E5" s="47" t="s">
        <v>22</v>
      </c>
      <c r="F5" s="24">
        <v>0.5</v>
      </c>
      <c r="G5" s="47" t="s">
        <v>49</v>
      </c>
      <c r="H5" s="33">
        <v>100</v>
      </c>
      <c r="I5" s="24">
        <f>H5-SUM(J5:Q5)</f>
        <v>57</v>
      </c>
      <c r="J5" s="24">
        <v>0.75</v>
      </c>
      <c r="K5" s="24">
        <v>2.2000000000000002</v>
      </c>
      <c r="L5" s="24">
        <v>1.1399999999999999</v>
      </c>
      <c r="M5" s="24">
        <v>2.35</v>
      </c>
      <c r="N5" s="24">
        <v>2.93</v>
      </c>
      <c r="O5" s="24">
        <v>2.94</v>
      </c>
      <c r="P5" s="24">
        <v>17.77</v>
      </c>
      <c r="Q5" s="24">
        <v>12.92</v>
      </c>
      <c r="R5" s="10"/>
      <c r="S5" s="11">
        <f t="shared" ref="S5:S13" si="0">((H5-(SUM(J5)))/H5)*100</f>
        <v>99.25</v>
      </c>
      <c r="T5" s="11">
        <f t="shared" ref="T5:T13" si="1">((H5-(SUM(J5:K5)))/H5)*100</f>
        <v>97.05</v>
      </c>
      <c r="U5" s="11">
        <f t="shared" ref="U5:U13" si="2">((H5-(SUM(J5:L5)))/H5)*100</f>
        <v>95.91</v>
      </c>
      <c r="V5" s="11">
        <f t="shared" ref="V5:V13" si="3">((H5-(SUM(J5:M5)))/H5)*100</f>
        <v>93.56</v>
      </c>
      <c r="W5" s="11">
        <f t="shared" ref="W5:W13" si="4">((H5-(SUM(J5:N5)))/H5)*100</f>
        <v>90.63</v>
      </c>
      <c r="X5" s="11">
        <f t="shared" ref="X5:X13" si="5">((H5-(SUM(J5:O5)))/H5)*100</f>
        <v>87.69</v>
      </c>
      <c r="Y5" s="11">
        <f t="shared" ref="Y5:Y13" si="6">((H5-(SUM(J5:P5)))/H5)*100</f>
        <v>69.92</v>
      </c>
      <c r="Z5" s="11">
        <f t="shared" ref="Z5:Z13" si="7">((H5-(SUM(J5:Q5)))/H5)*100</f>
        <v>56.999999999999993</v>
      </c>
      <c r="AA5" s="11">
        <f t="shared" ref="AA5:AA13" si="8">100-S5</f>
        <v>0.75</v>
      </c>
      <c r="AB5" s="11">
        <f t="shared" ref="AB5:AB13" si="9">S5-Z5</f>
        <v>42.250000000000007</v>
      </c>
      <c r="AC5" s="11">
        <f t="shared" ref="AC5:AC13" si="10">Z5</f>
        <v>56.999999999999993</v>
      </c>
    </row>
    <row r="6" spans="1:29" ht="30" customHeight="1" x14ac:dyDescent="0.25">
      <c r="A6" s="9">
        <v>2</v>
      </c>
      <c r="B6" s="57"/>
      <c r="C6" s="57"/>
      <c r="D6" s="58"/>
      <c r="E6" s="47" t="s">
        <v>48</v>
      </c>
      <c r="F6" s="24">
        <v>1.5</v>
      </c>
      <c r="G6" s="47" t="s">
        <v>52</v>
      </c>
      <c r="H6" s="33">
        <v>200</v>
      </c>
      <c r="I6" s="24">
        <f t="shared" ref="I6:I13" si="11">H6-SUM(J6:Q6)</f>
        <v>135.79</v>
      </c>
      <c r="J6" s="24">
        <v>0.44</v>
      </c>
      <c r="K6" s="24">
        <v>4.21</v>
      </c>
      <c r="L6" s="24">
        <v>1.89</v>
      </c>
      <c r="M6" s="24">
        <v>3.57</v>
      </c>
      <c r="N6" s="24">
        <v>6.87</v>
      </c>
      <c r="O6" s="24">
        <v>2.85</v>
      </c>
      <c r="P6" s="24">
        <v>30.81</v>
      </c>
      <c r="Q6" s="24">
        <v>13.57</v>
      </c>
      <c r="R6" s="10"/>
      <c r="S6" s="11">
        <f t="shared" si="0"/>
        <v>99.78</v>
      </c>
      <c r="T6" s="11">
        <f t="shared" si="1"/>
        <v>97.674999999999997</v>
      </c>
      <c r="U6" s="11">
        <f t="shared" si="2"/>
        <v>96.73</v>
      </c>
      <c r="V6" s="11">
        <f t="shared" si="3"/>
        <v>94.944999999999993</v>
      </c>
      <c r="W6" s="11">
        <f t="shared" si="4"/>
        <v>91.51</v>
      </c>
      <c r="X6" s="11">
        <f t="shared" si="5"/>
        <v>90.084999999999994</v>
      </c>
      <c r="Y6" s="11">
        <f t="shared" si="6"/>
        <v>74.680000000000007</v>
      </c>
      <c r="Z6" s="11">
        <f t="shared" si="7"/>
        <v>67.894999999999996</v>
      </c>
      <c r="AA6" s="11">
        <f t="shared" si="8"/>
        <v>0.21999999999999886</v>
      </c>
      <c r="AB6" s="11">
        <f t="shared" si="9"/>
        <v>31.885000000000005</v>
      </c>
      <c r="AC6" s="11">
        <f t="shared" si="10"/>
        <v>67.894999999999996</v>
      </c>
    </row>
    <row r="7" spans="1:29" ht="30" customHeight="1" x14ac:dyDescent="0.25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50</v>
      </c>
      <c r="H7" s="33">
        <v>100</v>
      </c>
      <c r="I7" s="24">
        <f t="shared" si="11"/>
        <v>62.059999999999995</v>
      </c>
      <c r="J7" s="24">
        <v>0.24</v>
      </c>
      <c r="K7" s="24">
        <v>1.2</v>
      </c>
      <c r="L7" s="24">
        <v>0.87</v>
      </c>
      <c r="M7" s="24">
        <v>2.06</v>
      </c>
      <c r="N7" s="24">
        <v>2.4900000000000002</v>
      </c>
      <c r="O7" s="24">
        <v>2.63</v>
      </c>
      <c r="P7" s="24">
        <v>17.21</v>
      </c>
      <c r="Q7" s="24">
        <v>11.24</v>
      </c>
      <c r="R7" s="10"/>
      <c r="S7" s="11">
        <f t="shared" si="0"/>
        <v>99.76</v>
      </c>
      <c r="T7" s="11">
        <f t="shared" si="1"/>
        <v>98.56</v>
      </c>
      <c r="U7" s="11">
        <f t="shared" si="2"/>
        <v>97.69</v>
      </c>
      <c r="V7" s="11">
        <f t="shared" si="3"/>
        <v>95.63</v>
      </c>
      <c r="W7" s="11">
        <f t="shared" si="4"/>
        <v>93.14</v>
      </c>
      <c r="X7" s="11">
        <f t="shared" si="5"/>
        <v>90.51</v>
      </c>
      <c r="Y7" s="11">
        <f t="shared" si="6"/>
        <v>73.3</v>
      </c>
      <c r="Z7" s="11">
        <f t="shared" si="7"/>
        <v>62.059999999999995</v>
      </c>
      <c r="AA7" s="11">
        <f t="shared" si="8"/>
        <v>0.23999999999999488</v>
      </c>
      <c r="AB7" s="11">
        <f t="shared" si="9"/>
        <v>37.70000000000001</v>
      </c>
      <c r="AC7" s="11">
        <f t="shared" si="10"/>
        <v>62.059999999999995</v>
      </c>
    </row>
    <row r="8" spans="1:29" ht="30" customHeight="1" x14ac:dyDescent="0.25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138.25</v>
      </c>
      <c r="J8" s="24">
        <v>1.26</v>
      </c>
      <c r="K8" s="24">
        <v>5.48</v>
      </c>
      <c r="L8" s="24">
        <v>2.38</v>
      </c>
      <c r="M8" s="24">
        <v>4.0199999999999996</v>
      </c>
      <c r="N8" s="24">
        <v>4.54</v>
      </c>
      <c r="O8" s="24">
        <v>4.0199999999999996</v>
      </c>
      <c r="P8" s="24">
        <v>26.47</v>
      </c>
      <c r="Q8" s="24">
        <v>13.58</v>
      </c>
      <c r="R8" s="10"/>
      <c r="S8" s="11">
        <f t="shared" si="0"/>
        <v>99.37</v>
      </c>
      <c r="T8" s="11">
        <f t="shared" si="1"/>
        <v>96.63</v>
      </c>
      <c r="U8" s="11">
        <f t="shared" si="2"/>
        <v>95.44</v>
      </c>
      <c r="V8" s="11">
        <f t="shared" si="3"/>
        <v>93.43</v>
      </c>
      <c r="W8" s="11">
        <f t="shared" si="4"/>
        <v>91.16</v>
      </c>
      <c r="X8" s="11">
        <f t="shared" si="5"/>
        <v>89.15</v>
      </c>
      <c r="Y8" s="11">
        <f t="shared" si="6"/>
        <v>75.914999999999992</v>
      </c>
      <c r="Z8" s="11">
        <f t="shared" si="7"/>
        <v>69.125</v>
      </c>
      <c r="AA8" s="11">
        <f t="shared" si="8"/>
        <v>0.62999999999999545</v>
      </c>
      <c r="AB8" s="11">
        <f t="shared" si="9"/>
        <v>30.245000000000005</v>
      </c>
      <c r="AC8" s="11">
        <f t="shared" si="10"/>
        <v>69.125</v>
      </c>
    </row>
    <row r="9" spans="1:29" ht="30" customHeight="1" x14ac:dyDescent="0.25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57</v>
      </c>
      <c r="H9" s="33">
        <v>100</v>
      </c>
      <c r="I9" s="24">
        <f t="shared" si="11"/>
        <v>60.28</v>
      </c>
      <c r="J9" s="24">
        <v>0</v>
      </c>
      <c r="K9" s="24">
        <v>2.19</v>
      </c>
      <c r="L9" s="24">
        <v>0.89</v>
      </c>
      <c r="M9" s="24">
        <v>2.2200000000000002</v>
      </c>
      <c r="N9" s="24">
        <v>2.72</v>
      </c>
      <c r="O9" s="24">
        <v>2.76</v>
      </c>
      <c r="P9" s="24">
        <v>16.63</v>
      </c>
      <c r="Q9" s="24">
        <v>12.31</v>
      </c>
      <c r="R9" s="10"/>
      <c r="S9" s="11">
        <f t="shared" si="0"/>
        <v>100</v>
      </c>
      <c r="T9" s="11">
        <f t="shared" si="1"/>
        <v>97.81</v>
      </c>
      <c r="U9" s="11">
        <f t="shared" si="2"/>
        <v>96.92</v>
      </c>
      <c r="V9" s="11">
        <f t="shared" si="3"/>
        <v>94.7</v>
      </c>
      <c r="W9" s="11">
        <f t="shared" si="4"/>
        <v>91.98</v>
      </c>
      <c r="X9" s="11">
        <f>((H9-(SUM(J9:O9)))/H9)*100</f>
        <v>89.22</v>
      </c>
      <c r="Y9" s="11">
        <f t="shared" si="6"/>
        <v>72.59</v>
      </c>
      <c r="Z9" s="11">
        <f t="shared" si="7"/>
        <v>60.28</v>
      </c>
      <c r="AA9" s="11">
        <f t="shared" si="8"/>
        <v>0</v>
      </c>
      <c r="AB9" s="11">
        <f t="shared" si="9"/>
        <v>39.72</v>
      </c>
      <c r="AC9" s="11">
        <f t="shared" si="10"/>
        <v>60.28</v>
      </c>
    </row>
    <row r="10" spans="1:29" s="34" customFormat="1" ht="30" customHeight="1" x14ac:dyDescent="0.25">
      <c r="A10" s="43"/>
      <c r="B10" s="57"/>
      <c r="C10" s="57"/>
      <c r="D10" s="58"/>
      <c r="E10" s="48" t="s">
        <v>48</v>
      </c>
      <c r="F10" s="44">
        <v>7.5</v>
      </c>
      <c r="G10" s="48" t="s">
        <v>54</v>
      </c>
      <c r="H10" s="42">
        <v>200</v>
      </c>
      <c r="I10" s="24">
        <f t="shared" si="11"/>
        <v>164.62</v>
      </c>
      <c r="J10" s="44">
        <v>1.39</v>
      </c>
      <c r="K10" s="44">
        <v>3.97</v>
      </c>
      <c r="L10" s="44">
        <v>1.34</v>
      </c>
      <c r="M10" s="44">
        <v>2.41</v>
      </c>
      <c r="N10" s="44">
        <v>2.36</v>
      </c>
      <c r="O10" s="44">
        <v>2.0499999999999998</v>
      </c>
      <c r="P10" s="44">
        <v>11.87</v>
      </c>
      <c r="Q10" s="44">
        <v>9.99</v>
      </c>
      <c r="R10" s="45"/>
      <c r="S10" s="46">
        <f t="shared" si="0"/>
        <v>99.305000000000007</v>
      </c>
      <c r="T10" s="46">
        <f t="shared" si="1"/>
        <v>97.32</v>
      </c>
      <c r="U10" s="46">
        <f t="shared" si="2"/>
        <v>96.65</v>
      </c>
      <c r="V10" s="46">
        <f t="shared" si="3"/>
        <v>95.444999999999993</v>
      </c>
      <c r="W10" s="46">
        <f t="shared" si="4"/>
        <v>94.265000000000001</v>
      </c>
      <c r="X10" s="46">
        <f t="shared" si="5"/>
        <v>93.24</v>
      </c>
      <c r="Y10" s="46">
        <f t="shared" si="6"/>
        <v>87.305000000000007</v>
      </c>
      <c r="Z10" s="46">
        <f t="shared" si="7"/>
        <v>82.31</v>
      </c>
      <c r="AA10" s="46">
        <f t="shared" si="8"/>
        <v>0.69499999999999318</v>
      </c>
      <c r="AB10" s="46">
        <f t="shared" si="9"/>
        <v>16.995000000000005</v>
      </c>
      <c r="AC10" s="46">
        <f t="shared" si="10"/>
        <v>82.31</v>
      </c>
    </row>
    <row r="11" spans="1:29" ht="30" customHeight="1" x14ac:dyDescent="0.25">
      <c r="A11" s="9">
        <v>7</v>
      </c>
      <c r="B11" s="57"/>
      <c r="C11" s="57"/>
      <c r="D11" s="58"/>
      <c r="E11" s="47" t="s">
        <v>48</v>
      </c>
      <c r="F11" s="24">
        <v>10.5</v>
      </c>
      <c r="G11" s="47" t="s">
        <v>55</v>
      </c>
      <c r="H11" s="33">
        <v>200</v>
      </c>
      <c r="I11" s="24">
        <f t="shared" si="11"/>
        <v>139.03</v>
      </c>
      <c r="J11" s="24">
        <v>0.08</v>
      </c>
      <c r="K11" s="24">
        <v>3.1</v>
      </c>
      <c r="L11" s="24">
        <v>1.53</v>
      </c>
      <c r="M11" s="24">
        <v>4.16</v>
      </c>
      <c r="N11" s="24">
        <v>2.89</v>
      </c>
      <c r="O11" s="24">
        <v>3.07</v>
      </c>
      <c r="P11" s="24">
        <v>31.87</v>
      </c>
      <c r="Q11" s="24">
        <v>14.27</v>
      </c>
      <c r="R11" s="10"/>
      <c r="S11" s="11">
        <f t="shared" si="0"/>
        <v>99.96</v>
      </c>
      <c r="T11" s="11">
        <f t="shared" si="1"/>
        <v>98.41</v>
      </c>
      <c r="U11" s="11">
        <f t="shared" si="2"/>
        <v>97.644999999999996</v>
      </c>
      <c r="V11" s="11">
        <f t="shared" si="3"/>
        <v>95.564999999999998</v>
      </c>
      <c r="W11" s="11">
        <f t="shared" si="4"/>
        <v>94.12</v>
      </c>
      <c r="X11" s="11">
        <f t="shared" si="5"/>
        <v>92.584999999999994</v>
      </c>
      <c r="Y11" s="11">
        <f t="shared" si="6"/>
        <v>76.650000000000006</v>
      </c>
      <c r="Z11" s="11">
        <f t="shared" si="7"/>
        <v>69.515000000000001</v>
      </c>
      <c r="AA11" s="11">
        <f t="shared" si="8"/>
        <v>4.0000000000006253E-2</v>
      </c>
      <c r="AB11" s="11">
        <f t="shared" si="9"/>
        <v>30.444999999999993</v>
      </c>
      <c r="AC11" s="11">
        <f t="shared" si="10"/>
        <v>69.515000000000001</v>
      </c>
    </row>
    <row r="12" spans="1:29" ht="30" customHeight="1" x14ac:dyDescent="0.25">
      <c r="A12" s="9">
        <v>8</v>
      </c>
      <c r="B12" s="57"/>
      <c r="C12" s="57"/>
      <c r="D12" s="58"/>
      <c r="E12" s="47" t="s">
        <v>22</v>
      </c>
      <c r="F12" s="24">
        <v>13.5</v>
      </c>
      <c r="G12" s="47" t="s">
        <v>56</v>
      </c>
      <c r="H12" s="33">
        <v>100</v>
      </c>
      <c r="I12" s="24">
        <f t="shared" si="11"/>
        <v>15.990000000000009</v>
      </c>
      <c r="J12" s="24">
        <v>0.11</v>
      </c>
      <c r="K12" s="24">
        <v>1.75</v>
      </c>
      <c r="L12" s="24">
        <v>2.73</v>
      </c>
      <c r="M12" s="24">
        <v>42.07</v>
      </c>
      <c r="N12" s="24">
        <v>17</v>
      </c>
      <c r="O12" s="24">
        <v>5.6</v>
      </c>
      <c r="P12" s="24">
        <v>11.2</v>
      </c>
      <c r="Q12" s="24">
        <v>3.55</v>
      </c>
      <c r="R12" s="10"/>
      <c r="S12" s="11">
        <f t="shared" si="0"/>
        <v>99.89</v>
      </c>
      <c r="T12" s="11">
        <f t="shared" si="1"/>
        <v>98.14</v>
      </c>
      <c r="U12" s="11">
        <f t="shared" si="2"/>
        <v>95.41</v>
      </c>
      <c r="V12" s="11">
        <f t="shared" si="3"/>
        <v>53.339999999999996</v>
      </c>
      <c r="W12" s="11">
        <f t="shared" si="4"/>
        <v>36.340000000000003</v>
      </c>
      <c r="X12" s="11">
        <f t="shared" si="5"/>
        <v>30.740000000000013</v>
      </c>
      <c r="Y12" s="11">
        <f t="shared" si="6"/>
        <v>19.540000000000006</v>
      </c>
      <c r="Z12" s="11">
        <f t="shared" si="7"/>
        <v>15.990000000000009</v>
      </c>
      <c r="AA12" s="11">
        <f t="shared" si="8"/>
        <v>0.10999999999999943</v>
      </c>
      <c r="AB12" s="11">
        <f t="shared" si="9"/>
        <v>83.899999999999991</v>
      </c>
      <c r="AC12" s="11">
        <f t="shared" si="10"/>
        <v>15.990000000000009</v>
      </c>
    </row>
    <row r="13" spans="1:29" ht="30" customHeight="1" x14ac:dyDescent="0.25">
      <c r="A13" s="9">
        <v>9</v>
      </c>
      <c r="B13" s="57"/>
      <c r="C13" s="57"/>
      <c r="D13" s="58"/>
      <c r="E13" s="47" t="s">
        <v>22</v>
      </c>
      <c r="F13" s="24">
        <v>15</v>
      </c>
      <c r="G13" s="47" t="s">
        <v>58</v>
      </c>
      <c r="H13" s="33">
        <v>100</v>
      </c>
      <c r="I13" s="24">
        <f t="shared" si="11"/>
        <v>21.209999999999994</v>
      </c>
      <c r="J13" s="24">
        <v>0.06</v>
      </c>
      <c r="K13" s="24">
        <v>1.76</v>
      </c>
      <c r="L13" s="24">
        <v>0.6</v>
      </c>
      <c r="M13" s="24">
        <v>2.95</v>
      </c>
      <c r="N13" s="24">
        <v>5.32</v>
      </c>
      <c r="O13" s="24">
        <v>22.58</v>
      </c>
      <c r="P13" s="24">
        <v>40.29</v>
      </c>
      <c r="Q13" s="24">
        <v>5.23</v>
      </c>
      <c r="R13" s="10"/>
      <c r="S13" s="11">
        <f t="shared" si="0"/>
        <v>99.94</v>
      </c>
      <c r="T13" s="11">
        <f t="shared" si="1"/>
        <v>98.18</v>
      </c>
      <c r="U13" s="11">
        <f t="shared" si="2"/>
        <v>97.58</v>
      </c>
      <c r="V13" s="11">
        <f t="shared" si="3"/>
        <v>94.63</v>
      </c>
      <c r="W13" s="11">
        <f t="shared" si="4"/>
        <v>89.31</v>
      </c>
      <c r="X13" s="11">
        <f t="shared" si="5"/>
        <v>66.73</v>
      </c>
      <c r="Y13" s="11">
        <f t="shared" si="6"/>
        <v>26.439999999999998</v>
      </c>
      <c r="Z13" s="11">
        <f t="shared" si="7"/>
        <v>21.209999999999994</v>
      </c>
      <c r="AA13" s="11">
        <f t="shared" si="8"/>
        <v>6.0000000000002274E-2</v>
      </c>
      <c r="AB13" s="11">
        <f t="shared" si="9"/>
        <v>78.73</v>
      </c>
      <c r="AC13" s="11">
        <f t="shared" si="10"/>
        <v>21.209999999999994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I1" zoomScale="145" zoomScaleNormal="145" zoomScaleSheetLayoutView="145" workbookViewId="0">
      <selection activeCell="AP10" sqref="AP10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CBH-07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CBH-07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CBH-07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CBH-07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CBH-07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CBH-07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CBH-07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>
        <v>2.512</v>
      </c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>
        <v>1.0149999999999999</v>
      </c>
      <c r="N11" s="38">
        <v>1.0129999999999999</v>
      </c>
      <c r="O11" s="38">
        <v>1.012</v>
      </c>
      <c r="P11" s="38">
        <v>1.012</v>
      </c>
      <c r="Q11" s="38">
        <v>1.0109999999999999</v>
      </c>
      <c r="R11" s="38">
        <v>1.0109999999999999</v>
      </c>
      <c r="S11" s="38">
        <v>1.0109999999999999</v>
      </c>
      <c r="T11" s="38">
        <v>1.01</v>
      </c>
      <c r="U11" s="38">
        <v>1.008</v>
      </c>
      <c r="V11" s="38">
        <v>1.008</v>
      </c>
      <c r="W11" s="38">
        <v>1.0069999999999999</v>
      </c>
      <c r="X11" s="38">
        <v>1.006</v>
      </c>
      <c r="Y11" s="38">
        <v>1.0049999999999999</v>
      </c>
      <c r="Z11" s="39">
        <v>6.5355890639987396E-2</v>
      </c>
      <c r="AA11" s="39">
        <v>4.7369111646466691E-2</v>
      </c>
      <c r="AB11" s="39">
        <v>3.3896172327614181E-2</v>
      </c>
      <c r="AC11" s="39">
        <v>2.3968213309123788E-2</v>
      </c>
      <c r="AD11" s="39">
        <v>1.7978871113746023E-2</v>
      </c>
      <c r="AE11" s="39">
        <v>1.31299110233023E-2</v>
      </c>
      <c r="AF11" s="39">
        <v>9.284249120953058E-3</v>
      </c>
      <c r="AG11" s="39">
        <v>6.6332328856909808E-3</v>
      </c>
      <c r="AH11" s="39">
        <v>4.7855017400226414E-3</v>
      </c>
      <c r="AI11" s="39">
        <v>3.3838607317500323E-3</v>
      </c>
      <c r="AJ11" s="39">
        <v>2.416174441482163E-3</v>
      </c>
      <c r="AK11" s="39">
        <v>1.7248972632309622E-3</v>
      </c>
      <c r="AL11" s="39">
        <v>1.4216402900798591E-3</v>
      </c>
      <c r="AM11" s="36">
        <v>48.8461058201055</v>
      </c>
      <c r="AN11" s="36">
        <v>42.200603174602847</v>
      </c>
      <c r="AO11" s="36">
        <v>38.877851851851887</v>
      </c>
      <c r="AP11" s="36">
        <v>38.877851851851887</v>
      </c>
      <c r="AQ11" s="36">
        <v>35.555100529100194</v>
      </c>
      <c r="AR11" s="36">
        <v>35.555100529100194</v>
      </c>
      <c r="AS11" s="36">
        <v>35.555100529100194</v>
      </c>
      <c r="AT11" s="36">
        <v>32.232349206349241</v>
      </c>
      <c r="AU11" s="36">
        <v>25.586846560846585</v>
      </c>
      <c r="AV11" s="36">
        <v>25.586846560846585</v>
      </c>
      <c r="AW11" s="36">
        <v>22.264095238094889</v>
      </c>
      <c r="AX11" s="36">
        <v>18.941343915343932</v>
      </c>
      <c r="AY11" s="36">
        <v>15.618592592592238</v>
      </c>
      <c r="AZ11" s="40"/>
      <c r="BA11" s="40"/>
    </row>
    <row r="12" spans="1:53" s="41" customFormat="1" x14ac:dyDescent="0.25">
      <c r="A12" s="27">
        <v>8</v>
      </c>
      <c r="B12" s="27" t="str">
        <f t="shared" si="2"/>
        <v>CBH-07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CBH-07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K14" sqref="K14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CBH-07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99.25</v>
      </c>
      <c r="Z3" s="53">
        <f>GSD!T5</f>
        <v>97.05</v>
      </c>
      <c r="AA3" s="53">
        <f>GSD!U5</f>
        <v>95.91</v>
      </c>
      <c r="AB3" s="53">
        <f>GSD!V5</f>
        <v>93.56</v>
      </c>
      <c r="AC3" s="53">
        <f>GSD!W5</f>
        <v>90.63</v>
      </c>
      <c r="AD3" s="53">
        <f>GSD!X5</f>
        <v>87.69</v>
      </c>
      <c r="AE3" s="53">
        <f>GSD!Y5</f>
        <v>69.92</v>
      </c>
      <c r="AF3" s="53">
        <f>GSD!Z5</f>
        <v>56.999999999999993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>
        <v>0.75</v>
      </c>
      <c r="AU3" s="53">
        <v>42.250000000000007</v>
      </c>
      <c r="AV3" s="53"/>
      <c r="AW3" s="53"/>
    </row>
    <row r="4" spans="1:49" s="41" customFormat="1" x14ac:dyDescent="0.25">
      <c r="A4" s="49">
        <v>2</v>
      </c>
      <c r="B4" s="49" t="str">
        <f>B3</f>
        <v>CBH-07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99.78</v>
      </c>
      <c r="Z4" s="53">
        <f>GSD!T6</f>
        <v>97.674999999999997</v>
      </c>
      <c r="AA4" s="53">
        <f>GSD!U6</f>
        <v>96.73</v>
      </c>
      <c r="AB4" s="53">
        <f>GSD!V6</f>
        <v>94.944999999999993</v>
      </c>
      <c r="AC4" s="53">
        <f>GSD!W6</f>
        <v>91.51</v>
      </c>
      <c r="AD4" s="53">
        <f>GSD!X6</f>
        <v>90.084999999999994</v>
      </c>
      <c r="AE4" s="53">
        <f>GSD!Y6</f>
        <v>74.680000000000007</v>
      </c>
      <c r="AF4" s="53">
        <f>GSD!Z6</f>
        <v>67.894999999999996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>
        <v>0.21999999999999886</v>
      </c>
      <c r="AU4" s="53">
        <v>31.885000000000005</v>
      </c>
      <c r="AV4" s="53"/>
      <c r="AW4" s="53"/>
    </row>
    <row r="5" spans="1:49" s="41" customFormat="1" x14ac:dyDescent="0.25">
      <c r="A5" s="49">
        <v>3</v>
      </c>
      <c r="B5" s="49" t="str">
        <f t="shared" ref="B5:B11" si="0">B4</f>
        <v>CBH-07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99.76</v>
      </c>
      <c r="Z5" s="53">
        <f>GSD!T7</f>
        <v>98.56</v>
      </c>
      <c r="AA5" s="53">
        <f>GSD!U7</f>
        <v>97.69</v>
      </c>
      <c r="AB5" s="53">
        <f>GSD!V7</f>
        <v>95.63</v>
      </c>
      <c r="AC5" s="53">
        <f>GSD!W7</f>
        <v>93.14</v>
      </c>
      <c r="AD5" s="53">
        <f>GSD!X7</f>
        <v>90.51</v>
      </c>
      <c r="AE5" s="53">
        <f>GSD!Y7</f>
        <v>73.3</v>
      </c>
      <c r="AF5" s="53">
        <f>GSD!Z7</f>
        <v>62.059999999999995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>
        <v>0.23999999999999488</v>
      </c>
      <c r="AU5" s="53">
        <v>37.70000000000001</v>
      </c>
      <c r="AV5" s="53"/>
      <c r="AW5" s="53"/>
    </row>
    <row r="6" spans="1:49" s="41" customFormat="1" x14ac:dyDescent="0.25">
      <c r="A6" s="49">
        <v>4</v>
      </c>
      <c r="B6" s="49" t="str">
        <f t="shared" si="0"/>
        <v>CBH-07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99.37</v>
      </c>
      <c r="Z6" s="53">
        <f>GSD!T8</f>
        <v>96.63</v>
      </c>
      <c r="AA6" s="53">
        <f>GSD!U8</f>
        <v>95.44</v>
      </c>
      <c r="AB6" s="53">
        <f>GSD!V8</f>
        <v>93.43</v>
      </c>
      <c r="AC6" s="53">
        <f>GSD!W8</f>
        <v>91.16</v>
      </c>
      <c r="AD6" s="53">
        <f>GSD!X8</f>
        <v>89.15</v>
      </c>
      <c r="AE6" s="53">
        <f>GSD!Y8</f>
        <v>75.914999999999992</v>
      </c>
      <c r="AF6" s="53">
        <f>GSD!Z8</f>
        <v>69.125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>
        <v>0.62999999999999545</v>
      </c>
      <c r="AU6" s="53">
        <v>30.245000000000005</v>
      </c>
      <c r="AV6" s="53"/>
      <c r="AW6" s="53"/>
    </row>
    <row r="7" spans="1:49" s="41" customFormat="1" x14ac:dyDescent="0.25">
      <c r="A7" s="49">
        <v>5</v>
      </c>
      <c r="B7" s="49" t="str">
        <f t="shared" si="0"/>
        <v>CBH-07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100</v>
      </c>
      <c r="Z7" s="53">
        <f>GSD!T9</f>
        <v>97.81</v>
      </c>
      <c r="AA7" s="53">
        <f>GSD!U9</f>
        <v>96.92</v>
      </c>
      <c r="AB7" s="53">
        <f>GSD!V9</f>
        <v>94.7</v>
      </c>
      <c r="AC7" s="53">
        <f>GSD!W9</f>
        <v>91.98</v>
      </c>
      <c r="AD7" s="53">
        <f>GSD!X9</f>
        <v>89.22</v>
      </c>
      <c r="AE7" s="53">
        <f>GSD!Y9</f>
        <v>72.59</v>
      </c>
      <c r="AF7" s="53">
        <f>GSD!Z9</f>
        <v>60.28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>
        <v>0</v>
      </c>
      <c r="AU7" s="53">
        <v>39.72</v>
      </c>
      <c r="AV7" s="53"/>
      <c r="AW7" s="53"/>
    </row>
    <row r="8" spans="1:49" s="41" customFormat="1" x14ac:dyDescent="0.25">
      <c r="A8" s="49">
        <v>6</v>
      </c>
      <c r="B8" s="49" t="str">
        <f t="shared" si="0"/>
        <v>CBH-07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99.305000000000007</v>
      </c>
      <c r="Z8" s="53">
        <f>GSD!T10</f>
        <v>97.32</v>
      </c>
      <c r="AA8" s="53">
        <f>GSD!U10</f>
        <v>96.65</v>
      </c>
      <c r="AB8" s="53">
        <f>GSD!V10</f>
        <v>95.444999999999993</v>
      </c>
      <c r="AC8" s="53">
        <f>GSD!W10</f>
        <v>94.265000000000001</v>
      </c>
      <c r="AD8" s="53">
        <f>GSD!X10</f>
        <v>93.24</v>
      </c>
      <c r="AE8" s="53">
        <f>GSD!Y10</f>
        <v>87.305000000000007</v>
      </c>
      <c r="AF8" s="53">
        <f>GSD!Z10</f>
        <v>82.31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>
        <v>0.69499999999999318</v>
      </c>
      <c r="AU8" s="53">
        <v>16.995000000000005</v>
      </c>
      <c r="AV8" s="53"/>
      <c r="AW8" s="53"/>
    </row>
    <row r="9" spans="1:49" s="41" customFormat="1" x14ac:dyDescent="0.25">
      <c r="A9" s="49">
        <v>7</v>
      </c>
      <c r="B9" s="49" t="str">
        <f t="shared" si="0"/>
        <v>CBH-07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6.5355890639987396E-2</v>
      </c>
      <c r="M9" s="52">
        <f>HYD!AA11</f>
        <v>4.7369111646466691E-2</v>
      </c>
      <c r="N9" s="52">
        <f>HYD!AB11</f>
        <v>3.3896172327614181E-2</v>
      </c>
      <c r="O9" s="52">
        <f>HYD!AC11</f>
        <v>2.3968213309123788E-2</v>
      </c>
      <c r="P9" s="52">
        <f>HYD!AD11</f>
        <v>1.7978871113746023E-2</v>
      </c>
      <c r="Q9" s="52">
        <f>HYD!AE11</f>
        <v>1.31299110233023E-2</v>
      </c>
      <c r="R9" s="52">
        <f>HYD!AF11</f>
        <v>9.284249120953058E-3</v>
      </c>
      <c r="S9" s="52">
        <f>HYD!AG11</f>
        <v>6.6332328856909808E-3</v>
      </c>
      <c r="T9" s="52">
        <f>HYD!AH11</f>
        <v>4.7855017400226414E-3</v>
      </c>
      <c r="U9" s="52">
        <f>HYD!AI11</f>
        <v>3.3838607317500323E-3</v>
      </c>
      <c r="V9" s="52">
        <f>HYD!AJ11</f>
        <v>2.416174441482163E-3</v>
      </c>
      <c r="W9" s="52">
        <f>HYD!AK11</f>
        <v>1.7248972632309622E-3</v>
      </c>
      <c r="X9" s="52">
        <f>HYD!AL11</f>
        <v>1.4216402900798591E-3</v>
      </c>
      <c r="Y9" s="53">
        <f>GSD!S11</f>
        <v>99.96</v>
      </c>
      <c r="Z9" s="53">
        <f>GSD!T11</f>
        <v>98.41</v>
      </c>
      <c r="AA9" s="53">
        <f>GSD!U11</f>
        <v>97.644999999999996</v>
      </c>
      <c r="AB9" s="53">
        <f>GSD!V11</f>
        <v>95.564999999999998</v>
      </c>
      <c r="AC9" s="53">
        <f>GSD!W11</f>
        <v>94.12</v>
      </c>
      <c r="AD9" s="53">
        <f>GSD!X11</f>
        <v>92.584999999999994</v>
      </c>
      <c r="AE9" s="53">
        <f>GSD!Y11</f>
        <v>76.650000000000006</v>
      </c>
      <c r="AF9" s="53">
        <f>GSD!Z11</f>
        <v>69.515000000000001</v>
      </c>
      <c r="AG9" s="53">
        <f>HYD!AM11</f>
        <v>48.8461058201055</v>
      </c>
      <c r="AH9" s="53">
        <f>HYD!AN11</f>
        <v>42.200603174602847</v>
      </c>
      <c r="AI9" s="53">
        <f>HYD!AO11</f>
        <v>38.877851851851887</v>
      </c>
      <c r="AJ9" s="53">
        <f>HYD!AP11</f>
        <v>38.877851851851887</v>
      </c>
      <c r="AK9" s="53">
        <f>HYD!AQ11</f>
        <v>35.555100529100194</v>
      </c>
      <c r="AL9" s="53">
        <f>HYD!AR11</f>
        <v>35.555100529100194</v>
      </c>
      <c r="AM9" s="53">
        <f>HYD!AS11</f>
        <v>35.555100529100194</v>
      </c>
      <c r="AN9" s="53">
        <f>HYD!AT11</f>
        <v>32.232349206349241</v>
      </c>
      <c r="AO9" s="53">
        <f>HYD!AU11</f>
        <v>25.586846560846585</v>
      </c>
      <c r="AP9" s="53">
        <f>HYD!AV11</f>
        <v>25.586846560846585</v>
      </c>
      <c r="AQ9" s="53">
        <f>HYD!AW11</f>
        <v>22.264095238094889</v>
      </c>
      <c r="AR9" s="53">
        <f>HYD!AX11</f>
        <v>18.941343915343932</v>
      </c>
      <c r="AS9" s="53">
        <f>HYD!AY11</f>
        <v>15.618592592592238</v>
      </c>
      <c r="AT9" s="55">
        <v>4.0000000000006253E-2</v>
      </c>
      <c r="AU9" s="55">
        <v>30.444999999999993</v>
      </c>
      <c r="AV9" s="55">
        <v>49.114684383219426</v>
      </c>
      <c r="AW9" s="55">
        <v>20.400315616780578</v>
      </c>
    </row>
    <row r="10" spans="1:49" s="41" customFormat="1" x14ac:dyDescent="0.25">
      <c r="A10" s="49">
        <v>8</v>
      </c>
      <c r="B10" s="49" t="str">
        <f t="shared" si="0"/>
        <v>CBH-07</v>
      </c>
      <c r="C10" s="50">
        <f>GSD!F12</f>
        <v>13.5</v>
      </c>
      <c r="D10" s="51">
        <v>4.75</v>
      </c>
      <c r="E10" s="51">
        <v>2</v>
      </c>
      <c r="F10" s="51">
        <v>1.18</v>
      </c>
      <c r="G10" s="51">
        <v>0.6</v>
      </c>
      <c r="H10" s="51">
        <v>0.42499999999999999</v>
      </c>
      <c r="I10" s="51">
        <v>0.3</v>
      </c>
      <c r="J10" s="51">
        <v>0.15</v>
      </c>
      <c r="K10" s="51">
        <v>7.4999999999999997E-2</v>
      </c>
      <c r="L10" s="52">
        <f>HYD!Z12</f>
        <v>0</v>
      </c>
      <c r="M10" s="52">
        <f>HYD!AA12</f>
        <v>0</v>
      </c>
      <c r="N10" s="52">
        <f>HYD!AB12</f>
        <v>0</v>
      </c>
      <c r="O10" s="52">
        <f>HYD!AC12</f>
        <v>0</v>
      </c>
      <c r="P10" s="52">
        <f>HYD!AD12</f>
        <v>0</v>
      </c>
      <c r="Q10" s="52">
        <f>HYD!AE12</f>
        <v>0</v>
      </c>
      <c r="R10" s="52">
        <f>HYD!AF12</f>
        <v>0</v>
      </c>
      <c r="S10" s="52">
        <f>HYD!AG12</f>
        <v>0</v>
      </c>
      <c r="T10" s="52">
        <f>HYD!AH12</f>
        <v>0</v>
      </c>
      <c r="U10" s="52">
        <f>HYD!AI12</f>
        <v>0</v>
      </c>
      <c r="V10" s="52">
        <f>HYD!AJ12</f>
        <v>0</v>
      </c>
      <c r="W10" s="52">
        <f>HYD!AK12</f>
        <v>0</v>
      </c>
      <c r="X10" s="52">
        <f>HYD!AL12</f>
        <v>0</v>
      </c>
      <c r="Y10" s="53">
        <f>GSD!S12</f>
        <v>99.89</v>
      </c>
      <c r="Z10" s="53">
        <f>GSD!T12</f>
        <v>98.14</v>
      </c>
      <c r="AA10" s="53">
        <f>GSD!U12</f>
        <v>95.41</v>
      </c>
      <c r="AB10" s="53">
        <f>GSD!V12</f>
        <v>53.339999999999996</v>
      </c>
      <c r="AC10" s="53">
        <f>GSD!W12</f>
        <v>36.340000000000003</v>
      </c>
      <c r="AD10" s="53">
        <f>GSD!X12</f>
        <v>30.740000000000013</v>
      </c>
      <c r="AE10" s="53">
        <f>GSD!Y12</f>
        <v>19.540000000000006</v>
      </c>
      <c r="AF10" s="53">
        <f>GSD!Z12</f>
        <v>15.990000000000009</v>
      </c>
      <c r="AG10" s="53">
        <f>HYD!AM12</f>
        <v>0</v>
      </c>
      <c r="AH10" s="53">
        <f>HYD!AN12</f>
        <v>0</v>
      </c>
      <c r="AI10" s="53">
        <f>HYD!AO12</f>
        <v>0</v>
      </c>
      <c r="AJ10" s="53">
        <f>HYD!AP12</f>
        <v>0</v>
      </c>
      <c r="AK10" s="53">
        <f>HYD!AQ12</f>
        <v>0</v>
      </c>
      <c r="AL10" s="53">
        <f>HYD!AR12</f>
        <v>0</v>
      </c>
      <c r="AM10" s="53">
        <f>HYD!AS12</f>
        <v>0</v>
      </c>
      <c r="AN10" s="53">
        <f>HYD!AT12</f>
        <v>0</v>
      </c>
      <c r="AO10" s="53">
        <f>HYD!AU12</f>
        <v>0</v>
      </c>
      <c r="AP10" s="53">
        <f>HYD!AV12</f>
        <v>0</v>
      </c>
      <c r="AQ10" s="53">
        <f>HYD!AW12</f>
        <v>0</v>
      </c>
      <c r="AR10" s="53">
        <f>HYD!AX12</f>
        <v>0</v>
      </c>
      <c r="AS10" s="53">
        <f>HYD!AY12</f>
        <v>0</v>
      </c>
      <c r="AT10" s="55">
        <v>0.10999999999999943</v>
      </c>
      <c r="AU10" s="55">
        <v>83.899999999999991</v>
      </c>
      <c r="AV10" s="55"/>
      <c r="AW10" s="55"/>
    </row>
    <row r="11" spans="1:49" s="41" customFormat="1" x14ac:dyDescent="0.25">
      <c r="A11" s="49">
        <v>9</v>
      </c>
      <c r="B11" s="49" t="str">
        <f t="shared" si="0"/>
        <v>CBH-07</v>
      </c>
      <c r="C11" s="50">
        <f>GSD!F13</f>
        <v>15</v>
      </c>
      <c r="D11" s="51">
        <v>4.75</v>
      </c>
      <c r="E11" s="51">
        <v>2</v>
      </c>
      <c r="F11" s="51">
        <v>1.18</v>
      </c>
      <c r="G11" s="51">
        <v>0.6</v>
      </c>
      <c r="H11" s="51">
        <v>0.42499999999999999</v>
      </c>
      <c r="I11" s="51">
        <v>0.3</v>
      </c>
      <c r="J11" s="51">
        <v>0.15</v>
      </c>
      <c r="K11" s="51">
        <v>7.4999999999999997E-2</v>
      </c>
      <c r="L11" s="52">
        <f>HYD!Z13</f>
        <v>0</v>
      </c>
      <c r="M11" s="52">
        <f>HYD!AA13</f>
        <v>0</v>
      </c>
      <c r="N11" s="52">
        <f>HYD!AB13</f>
        <v>0</v>
      </c>
      <c r="O11" s="52">
        <f>HYD!AC13</f>
        <v>0</v>
      </c>
      <c r="P11" s="52">
        <f>HYD!AD13</f>
        <v>0</v>
      </c>
      <c r="Q11" s="52">
        <f>HYD!AE13</f>
        <v>0</v>
      </c>
      <c r="R11" s="52">
        <f>HYD!AF13</f>
        <v>0</v>
      </c>
      <c r="S11" s="52">
        <f>HYD!AG13</f>
        <v>0</v>
      </c>
      <c r="T11" s="52">
        <f>HYD!AH13</f>
        <v>0</v>
      </c>
      <c r="U11" s="52">
        <f>HYD!AI13</f>
        <v>0</v>
      </c>
      <c r="V11" s="52">
        <f>HYD!AJ13</f>
        <v>0</v>
      </c>
      <c r="W11" s="52">
        <f>HYD!AK13</f>
        <v>0</v>
      </c>
      <c r="X11" s="52">
        <f>HYD!AL13</f>
        <v>0</v>
      </c>
      <c r="Y11" s="53">
        <f>GSD!S13</f>
        <v>99.94</v>
      </c>
      <c r="Z11" s="53">
        <f>GSD!T13</f>
        <v>98.18</v>
      </c>
      <c r="AA11" s="53">
        <f>GSD!U13</f>
        <v>97.58</v>
      </c>
      <c r="AB11" s="53">
        <f>GSD!V13</f>
        <v>94.63</v>
      </c>
      <c r="AC11" s="53">
        <f>GSD!W13</f>
        <v>89.31</v>
      </c>
      <c r="AD11" s="53">
        <f>GSD!X13</f>
        <v>66.73</v>
      </c>
      <c r="AE11" s="53">
        <f>GSD!Y13</f>
        <v>26.439999999999998</v>
      </c>
      <c r="AF11" s="53">
        <f>GSD!Z13</f>
        <v>21.209999999999994</v>
      </c>
      <c r="AG11" s="53">
        <f>HYD!AM13</f>
        <v>0</v>
      </c>
      <c r="AH11" s="53">
        <f>HYD!AN13</f>
        <v>0</v>
      </c>
      <c r="AI11" s="53">
        <f>HYD!AO13</f>
        <v>0</v>
      </c>
      <c r="AJ11" s="53">
        <f>HYD!AP13</f>
        <v>0</v>
      </c>
      <c r="AK11" s="53">
        <f>HYD!AQ13</f>
        <v>0</v>
      </c>
      <c r="AL11" s="53">
        <f>HYD!AR13</f>
        <v>0</v>
      </c>
      <c r="AM11" s="53">
        <f>HYD!AS13</f>
        <v>0</v>
      </c>
      <c r="AN11" s="53">
        <f>HYD!AT13</f>
        <v>0</v>
      </c>
      <c r="AO11" s="53">
        <f>HYD!AU13</f>
        <v>0</v>
      </c>
      <c r="AP11" s="53">
        <f>HYD!AV13</f>
        <v>0</v>
      </c>
      <c r="AQ11" s="53">
        <f>HYD!AW13</f>
        <v>0</v>
      </c>
      <c r="AR11" s="53">
        <f>HYD!AX13</f>
        <v>0</v>
      </c>
      <c r="AS11" s="53">
        <f>HYD!AY13</f>
        <v>0</v>
      </c>
      <c r="AT11" s="55">
        <v>6.0000000000002274E-2</v>
      </c>
      <c r="AU11" s="55">
        <v>78.73</v>
      </c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2026-09-11T09:15:05Z</dcterms:modified>
</cp:coreProperties>
</file>