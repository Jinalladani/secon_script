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2. Unlined Canal _CH_288.292 km (CBH-08 &amp; CBH-09)\"/>
    </mc:Choice>
  </mc:AlternateContent>
  <xr:revisionPtr revIDLastSave="0" documentId="13_ncr:1_{0F4226C5-FDD9-4703-973D-70AA046F2E76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13" i="7"/>
  <c r="I12" i="7"/>
  <c r="I11" i="7"/>
  <c r="I10" i="7"/>
  <c r="I9" i="7"/>
  <c r="I8" i="7"/>
  <c r="I7" i="7"/>
  <c r="I6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<sst xmlns="http://schemas.openxmlformats.org/spreadsheetml/2006/main" count="82" uniqueCount="59">
  <si>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</si>
  <si>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</si>
  <si>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</si>
  <si>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</si>
  <si>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</si>
  <si>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</si>
  <si>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</si>
  <si>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</si>
  <si>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</si>
  <si>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</si>
  <si>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</si>
  <si>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</si>
  <si>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</si>
  <si>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</si>
  <si>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</si>
  <si>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</si>
  <si>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</si>
  <si>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</si>
  <si>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</si>
  <si>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</si>
  <si>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</si>
  <si>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</si>
  <si>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</si>
  <si>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</si>
  <si>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</si>
  <si>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</si>
  <si>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</si>
  <si>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</si>
  <si>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</si>
  <si>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</si>
  <si>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</si>
  <si>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</si>
  <si>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</si>
  <si>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</si>
  <si>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</si>
  <si>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</si>
  <si>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</si>
  <si>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</si>
  <si>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</si>
  <si>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</si>
  <si>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</si>
  <si>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</si>
  <si>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</si>
  <si>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</si>
  <si>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</si>
  <si>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</si>
  <si>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</si>
  <si>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</si>
  <si>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</si>
  <si>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CBH-08</t>
  </si>
  <si>
    <t>A032</t>
  </si>
  <si>
    <t>A110</t>
  </si>
  <si>
    <t>A158</t>
  </si>
  <si>
    <t>A109</t>
  </si>
  <si>
    <t>A054</t>
  </si>
  <si>
    <t>A162</t>
  </si>
  <si>
    <t>A060</t>
  </si>
  <si>
    <t>A133</t>
  </si>
  <si>
    <t>A150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</si>
</sst>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99.99</c:v>
                </c:pt>
                <c:pt idx="1">
                  <c:v>99.55</c:v>
                </c:pt>
                <c:pt idx="2">
                  <c:v>99.2</c:v>
                </c:pt>
                <c:pt idx="3">
                  <c:v>97.81</c:v>
                </c:pt>
                <c:pt idx="4">
                  <c:v>93.97</c:v>
                </c:pt>
                <c:pt idx="5">
                  <c:v>89.17</c:v>
                </c:pt>
                <c:pt idx="6">
                  <c:v>67.42</c:v>
                </c:pt>
                <c:pt idx="7">
                  <c:v>60.699999999999996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99.935000000000002</c:v>
                </c:pt>
                <c:pt idx="1">
                  <c:v>98.7</c:v>
                </c:pt>
                <c:pt idx="2">
                  <c:v>98.19</c:v>
                </c:pt>
                <c:pt idx="3">
                  <c:v>96.14</c:v>
                </c:pt>
                <c:pt idx="4">
                  <c:v>90.27</c:v>
                </c:pt>
                <c:pt idx="5">
                  <c:v>83.314999999999998</c:v>
                </c:pt>
                <c:pt idx="6">
                  <c:v>60.254999999999995</c:v>
                </c:pt>
                <c:pt idx="7">
                  <c:v>52.42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99.97</c:v>
                </c:pt>
                <c:pt idx="1">
                  <c:v>99.56</c:v>
                </c:pt>
                <c:pt idx="2">
                  <c:v>99.14</c:v>
                </c:pt>
                <c:pt idx="3">
                  <c:v>97.7</c:v>
                </c:pt>
                <c:pt idx="4">
                  <c:v>93.89</c:v>
                </c:pt>
                <c:pt idx="5">
                  <c:v>89.81</c:v>
                </c:pt>
                <c:pt idx="6">
                  <c:v>72.12</c:v>
                </c:pt>
                <c:pt idx="7">
                  <c:v>66.759999999999991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99.65</c:v>
                </c:pt>
                <c:pt idx="1">
                  <c:v>97.9</c:v>
                </c:pt>
                <c:pt idx="2">
                  <c:v>97.22</c:v>
                </c:pt>
                <c:pt idx="3">
                  <c:v>94.86</c:v>
                </c:pt>
                <c:pt idx="4">
                  <c:v>90.12</c:v>
                </c:pt>
                <c:pt idx="5">
                  <c:v>84.89</c:v>
                </c:pt>
                <c:pt idx="6">
                  <c:v>63.094999999999999</c:v>
                </c:pt>
                <c:pt idx="7">
                  <c:v>62.484999999999999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99.75</c:v>
                </c:pt>
                <c:pt idx="2">
                  <c:v>99.33</c:v>
                </c:pt>
                <c:pt idx="3">
                  <c:v>96.8</c:v>
                </c:pt>
                <c:pt idx="4">
                  <c:v>94.01</c:v>
                </c:pt>
                <c:pt idx="5">
                  <c:v>72.14</c:v>
                </c:pt>
                <c:pt idx="6">
                  <c:v>30.61</c:v>
                </c:pt>
                <c:pt idx="7">
                  <c:v>24.61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98.814999999999998</c:v>
                </c:pt>
                <c:pt idx="1">
                  <c:v>96.444999999999993</c:v>
                </c:pt>
                <c:pt idx="2">
                  <c:v>95.3</c:v>
                </c:pt>
                <c:pt idx="3">
                  <c:v>93.435000000000002</c:v>
                </c:pt>
                <c:pt idx="4">
                  <c:v>89.085000000000008</c:v>
                </c:pt>
                <c:pt idx="5">
                  <c:v>85.085000000000008</c:v>
                </c:pt>
                <c:pt idx="6">
                  <c:v>60.174999999999997</c:v>
                </c:pt>
                <c:pt idx="7">
                  <c:v>52.144999999999996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99.995000000000005</c:v>
                </c:pt>
                <c:pt idx="1">
                  <c:v>99.575000000000003</c:v>
                </c:pt>
                <c:pt idx="2">
                  <c:v>99.385000000000005</c:v>
                </c:pt>
                <c:pt idx="3">
                  <c:v>98.6</c:v>
                </c:pt>
                <c:pt idx="4">
                  <c:v>95.935000000000002</c:v>
                </c:pt>
                <c:pt idx="5">
                  <c:v>92.935000000000002</c:v>
                </c:pt>
                <c:pt idx="6">
                  <c:v>80.045000000000002</c:v>
                </c:pt>
                <c:pt idx="7">
                  <c:v>73.86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100</c:v>
                </c:pt>
                <c:pt idx="1">
                  <c:v>99.69</c:v>
                </c:pt>
                <c:pt idx="2">
                  <c:v>99.46</c:v>
                </c:pt>
                <c:pt idx="3">
                  <c:v>99.025000000000006</c:v>
                </c:pt>
                <c:pt idx="4">
                  <c:v>98.06</c:v>
                </c:pt>
                <c:pt idx="5">
                  <c:v>96.52</c:v>
                </c:pt>
                <c:pt idx="6">
                  <c:v>86.504999999999995</c:v>
                </c:pt>
                <c:pt idx="7">
                  <c:v>80.745000000000005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99.3</c:v>
                </c:pt>
                <c:pt idx="1">
                  <c:v>97.4</c:v>
                </c:pt>
                <c:pt idx="2">
                  <c:v>91.16</c:v>
                </c:pt>
                <c:pt idx="3">
                  <c:v>53.069999999999993</c:v>
                </c:pt>
                <c:pt idx="4">
                  <c:v>49.859999999999992</c:v>
                </c:pt>
                <c:pt idx="5">
                  <c:v>44.789999999999992</c:v>
                </c:pt>
                <c:pt idx="6">
                  <c:v>31.039999999999988</c:v>
                </c:pt>
                <c:pt idx="7">
                  <c:v>24.609999999999985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99.99</c:v>
                </c:pt>
                <c:pt idx="1">
                  <c:v>99.55</c:v>
                </c:pt>
                <c:pt idx="2">
                  <c:v>99.2</c:v>
                </c:pt>
                <c:pt idx="3">
                  <c:v>97.81</c:v>
                </c:pt>
                <c:pt idx="4">
                  <c:v>93.97</c:v>
                </c:pt>
                <c:pt idx="5">
                  <c:v>89.17</c:v>
                </c:pt>
                <c:pt idx="6">
                  <c:v>67.42</c:v>
                </c:pt>
                <c:pt idx="7">
                  <c:v>60.699999999999996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99.935000000000002</c:v>
                </c:pt>
                <c:pt idx="1">
                  <c:v>98.7</c:v>
                </c:pt>
                <c:pt idx="2">
                  <c:v>98.19</c:v>
                </c:pt>
                <c:pt idx="3">
                  <c:v>96.14</c:v>
                </c:pt>
                <c:pt idx="4">
                  <c:v>90.27</c:v>
                </c:pt>
                <c:pt idx="5">
                  <c:v>83.314999999999998</c:v>
                </c:pt>
                <c:pt idx="6">
                  <c:v>60.254999999999995</c:v>
                </c:pt>
                <c:pt idx="7">
                  <c:v>52.42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99.97</c:v>
                </c:pt>
                <c:pt idx="1">
                  <c:v>99.56</c:v>
                </c:pt>
                <c:pt idx="2">
                  <c:v>99.14</c:v>
                </c:pt>
                <c:pt idx="3">
                  <c:v>97.7</c:v>
                </c:pt>
                <c:pt idx="4">
                  <c:v>93.89</c:v>
                </c:pt>
                <c:pt idx="5">
                  <c:v>89.81</c:v>
                </c:pt>
                <c:pt idx="6">
                  <c:v>72.12</c:v>
                </c:pt>
                <c:pt idx="7">
                  <c:v>66.759999999999991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99.65</c:v>
                </c:pt>
                <c:pt idx="1">
                  <c:v>97.9</c:v>
                </c:pt>
                <c:pt idx="2">
                  <c:v>97.22</c:v>
                </c:pt>
                <c:pt idx="3">
                  <c:v>94.86</c:v>
                </c:pt>
                <c:pt idx="4">
                  <c:v>90.12</c:v>
                </c:pt>
                <c:pt idx="5">
                  <c:v>84.89</c:v>
                </c:pt>
                <c:pt idx="6">
                  <c:v>63.094999999999999</c:v>
                </c:pt>
                <c:pt idx="7">
                  <c:v>62.484999999999999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99.75</c:v>
                </c:pt>
                <c:pt idx="2">
                  <c:v>99.33</c:v>
                </c:pt>
                <c:pt idx="3">
                  <c:v>96.8</c:v>
                </c:pt>
                <c:pt idx="4">
                  <c:v>94.01</c:v>
                </c:pt>
                <c:pt idx="5">
                  <c:v>72.14</c:v>
                </c:pt>
                <c:pt idx="6">
                  <c:v>30.61</c:v>
                </c:pt>
                <c:pt idx="7">
                  <c:v>24.61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7.0065729872341664E-2</c:v>
                </c:pt>
                <c:pt idx="9" formatCode="0.00000">
                  <c:v>5.0062751714158547E-2</c:v>
                </c:pt>
                <c:pt idx="10" formatCode="0.00000">
                  <c:v>3.5399711221939967E-2</c:v>
                </c:pt>
                <c:pt idx="11" formatCode="0.00000">
                  <c:v>2.5031375857079274E-2</c:v>
                </c:pt>
                <c:pt idx="12" formatCode="0.00000">
                  <c:v>1.8472535597996154E-2</c:v>
                </c:pt>
                <c:pt idx="13" formatCode="0.00000">
                  <c:v>1.3490432588452901E-2</c:v>
                </c:pt>
                <c:pt idx="14" formatCode="0.00000">
                  <c:v>9.6290401551338452E-3</c:v>
                </c:pt>
                <c:pt idx="15" formatCode="0.00000">
                  <c:v>6.8087595900127081E-3</c:v>
                </c:pt>
                <c:pt idx="16" formatCode="0.00000">
                  <c:v>4.859036501883982E-3</c:v>
                </c:pt>
                <c:pt idx="17" formatCode="0.00000">
                  <c:v>3.435857660515124E-3</c:v>
                </c:pt>
                <c:pt idx="18" formatCode="0.00000">
                  <c:v>2.429518250941991E-3</c:v>
                </c:pt>
                <c:pt idx="19" formatCode="0.00000">
                  <c:v>1.733524872765997E-3</c:v>
                </c:pt>
                <c:pt idx="20" formatCode="0.00000">
                  <c:v>1.4280376986542536E-3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98.814999999999998</c:v>
                </c:pt>
                <c:pt idx="1">
                  <c:v>96.444999999999993</c:v>
                </c:pt>
                <c:pt idx="2">
                  <c:v>95.3</c:v>
                </c:pt>
                <c:pt idx="3">
                  <c:v>93.435000000000002</c:v>
                </c:pt>
                <c:pt idx="4">
                  <c:v>89.085000000000008</c:v>
                </c:pt>
                <c:pt idx="5">
                  <c:v>85.085000000000008</c:v>
                </c:pt>
                <c:pt idx="6">
                  <c:v>60.174999999999997</c:v>
                </c:pt>
                <c:pt idx="7">
                  <c:v>52.144999999999996</c:v>
                </c:pt>
                <c:pt idx="8">
                  <c:v>21.871922882426965</c:v>
                </c:pt>
                <c:pt idx="9">
                  <c:v>18.607700379266767</c:v>
                </c:pt>
                <c:pt idx="10">
                  <c:v>18.607700379266767</c:v>
                </c:pt>
                <c:pt idx="11">
                  <c:v>18.607700379266767</c:v>
                </c:pt>
                <c:pt idx="12">
                  <c:v>18.607700379266767</c:v>
                </c:pt>
                <c:pt idx="13">
                  <c:v>18.607700379266767</c:v>
                </c:pt>
                <c:pt idx="14">
                  <c:v>15.343477876105846</c:v>
                </c:pt>
                <c:pt idx="15">
                  <c:v>15.343477876105846</c:v>
                </c:pt>
                <c:pt idx="16">
                  <c:v>12.079255372945649</c:v>
                </c:pt>
                <c:pt idx="17">
                  <c:v>12.079255372945649</c:v>
                </c:pt>
                <c:pt idx="18">
                  <c:v>12.079255372945649</c:v>
                </c:pt>
                <c:pt idx="19">
                  <c:v>8.81503286978473</c:v>
                </c:pt>
                <c:pt idx="20">
                  <c:v>5.5508103666245328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99.995000000000005</c:v>
                </c:pt>
                <c:pt idx="1">
                  <c:v>99.575000000000003</c:v>
                </c:pt>
                <c:pt idx="2">
                  <c:v>99.385000000000005</c:v>
                </c:pt>
                <c:pt idx="3">
                  <c:v>98.6</c:v>
                </c:pt>
                <c:pt idx="4">
                  <c:v>95.935000000000002</c:v>
                </c:pt>
                <c:pt idx="5">
                  <c:v>92.935000000000002</c:v>
                </c:pt>
                <c:pt idx="6">
                  <c:v>80.045000000000002</c:v>
                </c:pt>
                <c:pt idx="7">
                  <c:v>73.86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99.69</c:v>
                </c:pt>
                <c:pt idx="2">
                  <c:v>99.46</c:v>
                </c:pt>
                <c:pt idx="3">
                  <c:v>99.025000000000006</c:v>
                </c:pt>
                <c:pt idx="4">
                  <c:v>98.06</c:v>
                </c:pt>
                <c:pt idx="5">
                  <c:v>96.52</c:v>
                </c:pt>
                <c:pt idx="6">
                  <c:v>86.504999999999995</c:v>
                </c:pt>
                <c:pt idx="7">
                  <c:v>80.745000000000005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99.3</c:v>
                </c:pt>
                <c:pt idx="1">
                  <c:v>97.4</c:v>
                </c:pt>
                <c:pt idx="2">
                  <c:v>91.16</c:v>
                </c:pt>
                <c:pt idx="3">
                  <c:v>53.069999999999993</c:v>
                </c:pt>
                <c:pt idx="4">
                  <c:v>49.859999999999992</c:v>
                </c:pt>
                <c:pt idx="5">
                  <c:v>44.789999999999992</c:v>
                </c:pt>
                <c:pt idx="6">
                  <c:v>31.039999999999988</c:v>
                </c:pt>
                <c:pt idx="7">
                  <c:v>24.609999999999985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R7" sqref="R7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6" t="s">
        <v>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ht="24.6" customHeight="1" x14ac:dyDescent="0.25">
      <c r="A2" s="57" t="s">
        <v>4</v>
      </c>
      <c r="B2" s="60" t="s">
        <v>5</v>
      </c>
      <c r="C2" s="60" t="s">
        <v>6</v>
      </c>
      <c r="D2" s="60" t="s">
        <v>7</v>
      </c>
      <c r="E2" s="63" t="s">
        <v>8</v>
      </c>
      <c r="F2" s="63" t="s">
        <v>9</v>
      </c>
      <c r="G2" s="63" t="s">
        <v>10</v>
      </c>
      <c r="H2" s="63" t="s">
        <v>11</v>
      </c>
      <c r="I2" s="64" t="s">
        <v>12</v>
      </c>
      <c r="J2" s="67" t="s">
        <v>13</v>
      </c>
      <c r="K2" s="67"/>
      <c r="L2" s="67"/>
      <c r="M2" s="67"/>
      <c r="N2" s="67"/>
      <c r="O2" s="67"/>
      <c r="P2" s="67"/>
      <c r="Q2" s="67"/>
      <c r="R2" s="67"/>
      <c r="S2" s="67" t="s">
        <v>0</v>
      </c>
      <c r="T2" s="67"/>
      <c r="U2" s="67"/>
      <c r="V2" s="67"/>
      <c r="W2" s="67"/>
      <c r="X2" s="67"/>
      <c r="Y2" s="67"/>
      <c r="Z2" s="67"/>
      <c r="AA2" s="66" t="s">
        <v>14</v>
      </c>
      <c r="AB2" s="66" t="s">
        <v>15</v>
      </c>
      <c r="AC2" s="66" t="s">
        <v>16</v>
      </c>
    </row>
    <row r="3" spans="1:29" ht="40.5" customHeight="1" x14ac:dyDescent="0.25">
      <c r="A3" s="58"/>
      <c r="B3" s="61"/>
      <c r="C3" s="61"/>
      <c r="D3" s="61"/>
      <c r="E3" s="63"/>
      <c r="F3" s="63"/>
      <c r="G3" s="63"/>
      <c r="H3" s="63"/>
      <c r="I3" s="6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6"/>
      <c r="AB3" s="66"/>
      <c r="AC3" s="66"/>
    </row>
    <row r="4" spans="1:29" ht="21.6" customHeight="1" x14ac:dyDescent="0.25">
      <c r="A4" s="59"/>
      <c r="B4" s="62"/>
      <c r="C4" s="62"/>
      <c r="D4" s="6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7" t="s">
        <v>20</v>
      </c>
      <c r="K4" s="67"/>
      <c r="L4" s="67"/>
      <c r="M4" s="67"/>
      <c r="N4" s="67"/>
      <c r="O4" s="67"/>
      <c r="P4" s="67"/>
      <c r="Q4" s="67"/>
      <c r="R4" s="67"/>
      <c r="S4" s="67" t="s">
        <v>20</v>
      </c>
      <c r="T4" s="67"/>
      <c r="U4" s="67"/>
      <c r="V4" s="67"/>
      <c r="W4" s="67"/>
      <c r="X4" s="67"/>
      <c r="Y4" s="67"/>
      <c r="Z4" s="67"/>
      <c r="AA4" s="68" t="s">
        <v>21</v>
      </c>
      <c r="AB4" s="69"/>
      <c r="AC4" s="69"/>
    </row>
    <row r="5" spans="1:29" ht="30" customHeight="1" x14ac:dyDescent="0.25">
      <c r="A5" s="9">
        <v>1</v>
      </c>
      <c r="B5" s="70" t="s">
        <v>49</v>
      </c>
      <c r="C5" s="70"/>
      <c r="D5" s="71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60.7</v>
      </c>
      <c r="J5" s="24">
        <v>0.01</v>
      </c>
      <c r="K5" s="24">
        <v>0.44</v>
      </c>
      <c r="L5" s="24">
        <v>0.35</v>
      </c>
      <c r="M5" s="24">
        <v>1.39</v>
      </c>
      <c r="N5" s="24">
        <v>3.84</v>
      </c>
      <c r="O5" s="24">
        <v>4.8</v>
      </c>
      <c r="P5" s="24">
        <v>21.75</v>
      </c>
      <c r="Q5" s="24">
        <v>6.72</v>
      </c>
      <c r="R5" s="10"/>
      <c r="S5" s="11">
        <f t="shared" ref="S5:S13" si="0">((H5-(SUM(J5)))/H5)*100</f>
        <v>99.99</v>
      </c>
      <c r="T5" s="11">
        <f t="shared" ref="T5:T13" si="1">((H5-(SUM(J5:K5)))/H5)*100</f>
        <v>99.55</v>
      </c>
      <c r="U5" s="11">
        <f t="shared" ref="U5:U13" si="2">((H5-(SUM(J5:L5)))/H5)*100</f>
        <v>99.2</v>
      </c>
      <c r="V5" s="11">
        <f t="shared" ref="V5:V13" si="3">((H5-(SUM(J5:M5)))/H5)*100</f>
        <v>97.81</v>
      </c>
      <c r="W5" s="11">
        <f t="shared" ref="W5:W13" si="4">((H5-(SUM(J5:N5)))/H5)*100</f>
        <v>93.97</v>
      </c>
      <c r="X5" s="11">
        <f t="shared" ref="X5:X13" si="5">((H5-(SUM(J5:O5)))/H5)*100</f>
        <v>89.17</v>
      </c>
      <c r="Y5" s="11">
        <f t="shared" ref="Y5:Y13" si="6">((H5-(SUM(J5:P5)))/H5)*100</f>
        <v>67.42</v>
      </c>
      <c r="Z5" s="11">
        <f t="shared" ref="Z5:Z13" si="7">((H5-(SUM(J5:Q5)))/H5)*100</f>
        <v>60.699999999999996</v>
      </c>
      <c r="AA5" s="11">
        <f t="shared" ref="AA5:AA13" si="8">100-S5</f>
        <v>1.0000000000005116E-2</v>
      </c>
      <c r="AB5" s="11">
        <f t="shared" ref="AB5:AB13" si="9">S5-Z5</f>
        <v>39.29</v>
      </c>
      <c r="AC5" s="11">
        <f t="shared" ref="AC5:AC13" si="10">Z5</f>
        <v>60.699999999999996</v>
      </c>
    </row>
    <row r="6" spans="1:29" ht="30" customHeight="1" x14ac:dyDescent="0.25">
      <c r="A6" s="9">
        <v>2</v>
      </c>
      <c r="B6" s="70"/>
      <c r="C6" s="70"/>
      <c r="D6" s="71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3" si="11">H6-SUM(J6:Q6)</f>
        <v>104.83999999999999</v>
      </c>
      <c r="J6" s="24">
        <v>0.13</v>
      </c>
      <c r="K6" s="24">
        <v>2.4700000000000002</v>
      </c>
      <c r="L6" s="24">
        <v>1.02</v>
      </c>
      <c r="M6" s="24">
        <v>4.0999999999999996</v>
      </c>
      <c r="N6" s="24">
        <v>11.74</v>
      </c>
      <c r="O6" s="24">
        <v>13.91</v>
      </c>
      <c r="P6" s="24">
        <v>46.12</v>
      </c>
      <c r="Q6" s="24">
        <v>15.67</v>
      </c>
      <c r="R6" s="10"/>
      <c r="S6" s="11">
        <f t="shared" si="0"/>
        <v>99.935000000000002</v>
      </c>
      <c r="T6" s="11">
        <f t="shared" si="1"/>
        <v>98.7</v>
      </c>
      <c r="U6" s="11">
        <f t="shared" si="2"/>
        <v>98.19</v>
      </c>
      <c r="V6" s="11">
        <f t="shared" si="3"/>
        <v>96.14</v>
      </c>
      <c r="W6" s="11">
        <f t="shared" si="4"/>
        <v>90.27</v>
      </c>
      <c r="X6" s="11">
        <f t="shared" si="5"/>
        <v>83.314999999999998</v>
      </c>
      <c r="Y6" s="11">
        <f t="shared" si="6"/>
        <v>60.254999999999995</v>
      </c>
      <c r="Z6" s="11">
        <f t="shared" si="7"/>
        <v>52.42</v>
      </c>
      <c r="AA6" s="11">
        <f t="shared" si="8"/>
        <v>6.4999999999997726E-2</v>
      </c>
      <c r="AB6" s="11">
        <f t="shared" si="9"/>
        <v>47.515000000000001</v>
      </c>
      <c r="AC6" s="11">
        <f t="shared" si="10"/>
        <v>52.42</v>
      </c>
    </row>
    <row r="7" spans="1:29" ht="30" customHeight="1" x14ac:dyDescent="0.25">
      <c r="A7" s="9">
        <v>3</v>
      </c>
      <c r="B7" s="70"/>
      <c r="C7" s="70"/>
      <c r="D7" s="71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66.759999999999991</v>
      </c>
      <c r="J7" s="24">
        <v>0.03</v>
      </c>
      <c r="K7" s="24">
        <v>0.41</v>
      </c>
      <c r="L7" s="24">
        <v>0.42</v>
      </c>
      <c r="M7" s="24">
        <v>1.44</v>
      </c>
      <c r="N7" s="24">
        <v>3.81</v>
      </c>
      <c r="O7" s="24">
        <v>4.08</v>
      </c>
      <c r="P7" s="24">
        <v>17.690000000000001</v>
      </c>
      <c r="Q7" s="24">
        <v>5.36</v>
      </c>
      <c r="R7" s="10"/>
      <c r="S7" s="11">
        <f t="shared" si="0"/>
        <v>99.97</v>
      </c>
      <c r="T7" s="11">
        <f t="shared" si="1"/>
        <v>99.56</v>
      </c>
      <c r="U7" s="11">
        <f t="shared" si="2"/>
        <v>99.14</v>
      </c>
      <c r="V7" s="11">
        <f t="shared" si="3"/>
        <v>97.7</v>
      </c>
      <c r="W7" s="11">
        <f t="shared" si="4"/>
        <v>93.89</v>
      </c>
      <c r="X7" s="11">
        <f t="shared" si="5"/>
        <v>89.81</v>
      </c>
      <c r="Y7" s="11">
        <f t="shared" si="6"/>
        <v>72.12</v>
      </c>
      <c r="Z7" s="11">
        <f t="shared" si="7"/>
        <v>66.759999999999991</v>
      </c>
      <c r="AA7" s="11">
        <f t="shared" si="8"/>
        <v>3.0000000000001137E-2</v>
      </c>
      <c r="AB7" s="11">
        <f t="shared" si="9"/>
        <v>33.210000000000008</v>
      </c>
      <c r="AC7" s="11">
        <f t="shared" si="10"/>
        <v>66.759999999999991</v>
      </c>
    </row>
    <row r="8" spans="1:29" ht="30" customHeight="1" x14ac:dyDescent="0.25">
      <c r="A8" s="9">
        <v>4</v>
      </c>
      <c r="B8" s="70"/>
      <c r="C8" s="70"/>
      <c r="D8" s="71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124.97</v>
      </c>
      <c r="J8" s="24">
        <v>0.7</v>
      </c>
      <c r="K8" s="24">
        <v>3.5</v>
      </c>
      <c r="L8" s="24">
        <v>1.36</v>
      </c>
      <c r="M8" s="24">
        <v>4.72</v>
      </c>
      <c r="N8" s="24">
        <v>9.48</v>
      </c>
      <c r="O8" s="24">
        <v>10.46</v>
      </c>
      <c r="P8" s="24">
        <v>43.59</v>
      </c>
      <c r="Q8" s="24">
        <v>1.22</v>
      </c>
      <c r="R8" s="10"/>
      <c r="S8" s="11">
        <f t="shared" si="0"/>
        <v>99.65</v>
      </c>
      <c r="T8" s="11">
        <f t="shared" si="1"/>
        <v>97.9</v>
      </c>
      <c r="U8" s="11">
        <f t="shared" si="2"/>
        <v>97.22</v>
      </c>
      <c r="V8" s="11">
        <f t="shared" si="3"/>
        <v>94.86</v>
      </c>
      <c r="W8" s="11">
        <f t="shared" si="4"/>
        <v>90.12</v>
      </c>
      <c r="X8" s="11">
        <f t="shared" si="5"/>
        <v>84.89</v>
      </c>
      <c r="Y8" s="11">
        <f t="shared" si="6"/>
        <v>63.094999999999999</v>
      </c>
      <c r="Z8" s="11">
        <f t="shared" si="7"/>
        <v>62.484999999999999</v>
      </c>
      <c r="AA8" s="11">
        <f t="shared" si="8"/>
        <v>0.34999999999999432</v>
      </c>
      <c r="AB8" s="11">
        <f t="shared" si="9"/>
        <v>37.165000000000006</v>
      </c>
      <c r="AC8" s="11">
        <f t="shared" si="10"/>
        <v>62.484999999999999</v>
      </c>
    </row>
    <row r="9" spans="1:29" ht="30" customHeight="1" x14ac:dyDescent="0.25">
      <c r="A9" s="9">
        <v>5</v>
      </c>
      <c r="B9" s="70"/>
      <c r="C9" s="70"/>
      <c r="D9" s="71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24.61</v>
      </c>
      <c r="J9" s="24">
        <v>0</v>
      </c>
      <c r="K9" s="24">
        <v>0.25</v>
      </c>
      <c r="L9" s="24">
        <v>0.42</v>
      </c>
      <c r="M9" s="24">
        <v>2.5299999999999998</v>
      </c>
      <c r="N9" s="24">
        <v>2.79</v>
      </c>
      <c r="O9" s="24">
        <v>21.87</v>
      </c>
      <c r="P9" s="24">
        <v>41.53</v>
      </c>
      <c r="Q9" s="24">
        <v>6</v>
      </c>
      <c r="R9" s="10"/>
      <c r="S9" s="11">
        <f t="shared" si="0"/>
        <v>100</v>
      </c>
      <c r="T9" s="11">
        <f t="shared" si="1"/>
        <v>99.75</v>
      </c>
      <c r="U9" s="11">
        <f t="shared" si="2"/>
        <v>99.33</v>
      </c>
      <c r="V9" s="11">
        <f t="shared" si="3"/>
        <v>96.8</v>
      </c>
      <c r="W9" s="11">
        <f t="shared" si="4"/>
        <v>94.01</v>
      </c>
      <c r="X9" s="11">
        <f>((H9-(SUM(J9:O9)))/H9)*100</f>
        <v>72.14</v>
      </c>
      <c r="Y9" s="11">
        <f t="shared" si="6"/>
        <v>30.61</v>
      </c>
      <c r="Z9" s="11">
        <f t="shared" si="7"/>
        <v>24.61</v>
      </c>
      <c r="AA9" s="11">
        <f t="shared" si="8"/>
        <v>0</v>
      </c>
      <c r="AB9" s="11">
        <f t="shared" si="9"/>
        <v>75.39</v>
      </c>
      <c r="AC9" s="11">
        <f t="shared" si="10"/>
        <v>24.61</v>
      </c>
    </row>
    <row r="10" spans="1:29" s="34" customFormat="1" ht="30" customHeight="1" x14ac:dyDescent="0.25">
      <c r="A10" s="43"/>
      <c r="B10" s="70"/>
      <c r="C10" s="70"/>
      <c r="D10" s="71"/>
      <c r="E10" s="48" t="s">
        <v>48</v>
      </c>
      <c r="F10" s="44">
        <v>7.5</v>
      </c>
      <c r="G10" s="48" t="s">
        <v>55</v>
      </c>
      <c r="H10" s="42">
        <v>200</v>
      </c>
      <c r="I10" s="24">
        <f t="shared" si="11"/>
        <v>104.28999999999999</v>
      </c>
      <c r="J10" s="44">
        <v>2.37</v>
      </c>
      <c r="K10" s="44">
        <v>4.74</v>
      </c>
      <c r="L10" s="44">
        <v>2.29</v>
      </c>
      <c r="M10" s="44">
        <v>3.73</v>
      </c>
      <c r="N10" s="44">
        <v>8.6999999999999993</v>
      </c>
      <c r="O10" s="44">
        <v>8</v>
      </c>
      <c r="P10" s="44">
        <v>49.82</v>
      </c>
      <c r="Q10" s="44">
        <v>16.059999999999999</v>
      </c>
      <c r="R10" s="45"/>
      <c r="S10" s="46">
        <f t="shared" si="0"/>
        <v>98.814999999999998</v>
      </c>
      <c r="T10" s="46">
        <f t="shared" si="1"/>
        <v>96.444999999999993</v>
      </c>
      <c r="U10" s="46">
        <f t="shared" si="2"/>
        <v>95.3</v>
      </c>
      <c r="V10" s="46">
        <f t="shared" si="3"/>
        <v>93.435000000000002</v>
      </c>
      <c r="W10" s="46">
        <f t="shared" si="4"/>
        <v>89.085000000000008</v>
      </c>
      <c r="X10" s="46">
        <f t="shared" si="5"/>
        <v>85.085000000000008</v>
      </c>
      <c r="Y10" s="46">
        <f t="shared" si="6"/>
        <v>60.174999999999997</v>
      </c>
      <c r="Z10" s="46">
        <f t="shared" si="7"/>
        <v>52.144999999999996</v>
      </c>
      <c r="AA10" s="46">
        <f t="shared" si="8"/>
        <v>1.1850000000000023</v>
      </c>
      <c r="AB10" s="46">
        <f t="shared" si="9"/>
        <v>46.67</v>
      </c>
      <c r="AC10" s="46">
        <f t="shared" si="10"/>
        <v>52.144999999999996</v>
      </c>
    </row>
    <row r="11" spans="1:29" ht="30" customHeight="1" x14ac:dyDescent="0.25">
      <c r="A11" s="9">
        <v>7</v>
      </c>
      <c r="B11" s="70"/>
      <c r="C11" s="70"/>
      <c r="D11" s="71"/>
      <c r="E11" s="47" t="s">
        <v>48</v>
      </c>
      <c r="F11" s="24">
        <v>10.5</v>
      </c>
      <c r="G11" s="47" t="s">
        <v>56</v>
      </c>
      <c r="H11" s="33">
        <v>200</v>
      </c>
      <c r="I11" s="24">
        <f t="shared" si="11"/>
        <v>147.72</v>
      </c>
      <c r="J11" s="24">
        <v>0.01</v>
      </c>
      <c r="K11" s="24">
        <v>0.84</v>
      </c>
      <c r="L11" s="24">
        <v>0.38</v>
      </c>
      <c r="M11" s="24">
        <v>1.57</v>
      </c>
      <c r="N11" s="24">
        <v>5.33</v>
      </c>
      <c r="O11" s="24">
        <v>6</v>
      </c>
      <c r="P11" s="24">
        <v>25.78</v>
      </c>
      <c r="Q11" s="24">
        <v>12.37</v>
      </c>
      <c r="R11" s="10"/>
      <c r="S11" s="11">
        <f t="shared" si="0"/>
        <v>99.995000000000005</v>
      </c>
      <c r="T11" s="11">
        <f t="shared" si="1"/>
        <v>99.575000000000003</v>
      </c>
      <c r="U11" s="11">
        <f t="shared" si="2"/>
        <v>99.385000000000005</v>
      </c>
      <c r="V11" s="11">
        <f t="shared" si="3"/>
        <v>98.6</v>
      </c>
      <c r="W11" s="11">
        <f t="shared" si="4"/>
        <v>95.935000000000002</v>
      </c>
      <c r="X11" s="11">
        <f t="shared" si="5"/>
        <v>92.935000000000002</v>
      </c>
      <c r="Y11" s="11">
        <f t="shared" si="6"/>
        <v>80.045000000000002</v>
      </c>
      <c r="Z11" s="11">
        <f t="shared" si="7"/>
        <v>73.86</v>
      </c>
      <c r="AA11" s="11">
        <f t="shared" si="8"/>
        <v>4.9999999999954525E-3</v>
      </c>
      <c r="AB11" s="11">
        <f t="shared" si="9"/>
        <v>26.135000000000005</v>
      </c>
      <c r="AC11" s="11">
        <f t="shared" si="10"/>
        <v>73.86</v>
      </c>
    </row>
    <row r="12" spans="1:29" ht="30" customHeight="1" x14ac:dyDescent="0.25">
      <c r="A12" s="9">
        <v>8</v>
      </c>
      <c r="B12" s="70"/>
      <c r="C12" s="70"/>
      <c r="D12" s="71"/>
      <c r="E12" s="47" t="s">
        <v>48</v>
      </c>
      <c r="F12" s="24">
        <v>13.5</v>
      </c>
      <c r="G12" s="47" t="s">
        <v>57</v>
      </c>
      <c r="H12" s="33">
        <v>200</v>
      </c>
      <c r="I12" s="24">
        <f t="shared" si="11"/>
        <v>161.49</v>
      </c>
      <c r="J12" s="24">
        <v>0</v>
      </c>
      <c r="K12" s="24">
        <v>0.62</v>
      </c>
      <c r="L12" s="24">
        <v>0.46</v>
      </c>
      <c r="M12" s="24">
        <v>0.87</v>
      </c>
      <c r="N12" s="24">
        <v>1.93</v>
      </c>
      <c r="O12" s="24">
        <v>3.08</v>
      </c>
      <c r="P12" s="24">
        <v>20.03</v>
      </c>
      <c r="Q12" s="24">
        <v>11.52</v>
      </c>
      <c r="R12" s="10"/>
      <c r="S12" s="11">
        <f t="shared" si="0"/>
        <v>100</v>
      </c>
      <c r="T12" s="11">
        <f t="shared" si="1"/>
        <v>99.69</v>
      </c>
      <c r="U12" s="11">
        <f t="shared" si="2"/>
        <v>99.46</v>
      </c>
      <c r="V12" s="11">
        <f t="shared" si="3"/>
        <v>99.025000000000006</v>
      </c>
      <c r="W12" s="11">
        <f t="shared" si="4"/>
        <v>98.06</v>
      </c>
      <c r="X12" s="11">
        <f t="shared" si="5"/>
        <v>96.52</v>
      </c>
      <c r="Y12" s="11">
        <f t="shared" si="6"/>
        <v>86.504999999999995</v>
      </c>
      <c r="Z12" s="11">
        <f t="shared" si="7"/>
        <v>80.745000000000005</v>
      </c>
      <c r="AA12" s="11">
        <f t="shared" si="8"/>
        <v>0</v>
      </c>
      <c r="AB12" s="11">
        <f t="shared" si="9"/>
        <v>19.254999999999995</v>
      </c>
      <c r="AC12" s="11">
        <f t="shared" si="10"/>
        <v>80.745000000000005</v>
      </c>
    </row>
    <row r="13" spans="1:29" ht="30" customHeight="1" x14ac:dyDescent="0.25">
      <c r="A13" s="9">
        <v>9</v>
      </c>
      <c r="B13" s="70"/>
      <c r="C13" s="70"/>
      <c r="D13" s="71"/>
      <c r="E13" s="47" t="s">
        <v>22</v>
      </c>
      <c r="F13" s="24">
        <v>15</v>
      </c>
      <c r="G13" s="47" t="s">
        <v>58</v>
      </c>
      <c r="H13" s="33">
        <v>100</v>
      </c>
      <c r="I13" s="24">
        <f t="shared" si="11"/>
        <v>24.609999999999985</v>
      </c>
      <c r="J13" s="24">
        <v>0.7</v>
      </c>
      <c r="K13" s="24">
        <v>1.9</v>
      </c>
      <c r="L13" s="24">
        <v>6.24</v>
      </c>
      <c r="M13" s="24">
        <v>38.090000000000003</v>
      </c>
      <c r="N13" s="24">
        <v>3.21</v>
      </c>
      <c r="O13" s="24">
        <v>5.07</v>
      </c>
      <c r="P13" s="24">
        <v>13.75</v>
      </c>
      <c r="Q13" s="24">
        <v>6.43</v>
      </c>
      <c r="R13" s="10"/>
      <c r="S13" s="11">
        <f t="shared" si="0"/>
        <v>99.3</v>
      </c>
      <c r="T13" s="11">
        <f t="shared" si="1"/>
        <v>97.4</v>
      </c>
      <c r="U13" s="11">
        <f t="shared" si="2"/>
        <v>91.16</v>
      </c>
      <c r="V13" s="11">
        <f t="shared" si="3"/>
        <v>53.069999999999993</v>
      </c>
      <c r="W13" s="11">
        <f t="shared" si="4"/>
        <v>49.859999999999992</v>
      </c>
      <c r="X13" s="11">
        <f t="shared" si="5"/>
        <v>44.789999999999992</v>
      </c>
      <c r="Y13" s="11">
        <f t="shared" si="6"/>
        <v>31.039999999999988</v>
      </c>
      <c r="Z13" s="11">
        <f t="shared" si="7"/>
        <v>24.609999999999985</v>
      </c>
      <c r="AA13" s="11">
        <f t="shared" si="8"/>
        <v>0.70000000000000284</v>
      </c>
      <c r="AB13" s="11">
        <f t="shared" si="9"/>
        <v>74.690000000000012</v>
      </c>
      <c r="AC13" s="11">
        <f t="shared" si="10"/>
        <v>24.609999999999985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J1" zoomScale="145" zoomScaleNormal="145" zoomScaleSheetLayoutView="145" workbookViewId="0">
      <selection activeCell="AP12" sqref="AP12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2" t="s">
        <v>4</v>
      </c>
      <c r="B1" s="75" t="s">
        <v>5</v>
      </c>
      <c r="C1" s="75" t="s">
        <v>9</v>
      </c>
      <c r="D1" s="72" t="s">
        <v>8</v>
      </c>
      <c r="E1" s="72" t="s">
        <v>23</v>
      </c>
      <c r="F1" s="72" t="s">
        <v>40</v>
      </c>
      <c r="G1" s="72" t="s">
        <v>24</v>
      </c>
      <c r="H1" s="72" t="s">
        <v>25</v>
      </c>
      <c r="I1" s="81" t="s">
        <v>34</v>
      </c>
      <c r="J1" s="72" t="s">
        <v>35</v>
      </c>
      <c r="K1" s="72" t="s">
        <v>26</v>
      </c>
      <c r="L1" s="72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73"/>
      <c r="B2" s="76"/>
      <c r="C2" s="76"/>
      <c r="D2" s="73"/>
      <c r="E2" s="73"/>
      <c r="F2" s="73"/>
      <c r="G2" s="73"/>
      <c r="H2" s="73"/>
      <c r="I2" s="81"/>
      <c r="J2" s="73"/>
      <c r="K2" s="73"/>
      <c r="L2" s="73"/>
      <c r="M2" s="82">
        <v>0.5</v>
      </c>
      <c r="N2" s="78">
        <v>1</v>
      </c>
      <c r="O2" s="78">
        <v>2</v>
      </c>
      <c r="P2" s="78">
        <v>4</v>
      </c>
      <c r="Q2" s="78">
        <v>8</v>
      </c>
      <c r="R2" s="78">
        <v>15</v>
      </c>
      <c r="S2" s="78">
        <v>30</v>
      </c>
      <c r="T2" s="78">
        <v>60</v>
      </c>
      <c r="U2" s="78">
        <v>120</v>
      </c>
      <c r="V2" s="78">
        <v>240</v>
      </c>
      <c r="W2" s="78">
        <v>480</v>
      </c>
      <c r="X2" s="78">
        <v>960</v>
      </c>
      <c r="Y2" s="78">
        <v>1440</v>
      </c>
      <c r="Z2" s="82">
        <v>0.5</v>
      </c>
      <c r="AA2" s="78">
        <v>1</v>
      </c>
      <c r="AB2" s="78">
        <v>2</v>
      </c>
      <c r="AC2" s="78">
        <v>4</v>
      </c>
      <c r="AD2" s="78">
        <v>8</v>
      </c>
      <c r="AE2" s="78">
        <v>15</v>
      </c>
      <c r="AF2" s="78">
        <v>30</v>
      </c>
      <c r="AG2" s="78">
        <v>60</v>
      </c>
      <c r="AH2" s="78">
        <v>120</v>
      </c>
      <c r="AI2" s="78">
        <v>240</v>
      </c>
      <c r="AJ2" s="78">
        <v>480</v>
      </c>
      <c r="AK2" s="78">
        <v>960</v>
      </c>
      <c r="AL2" s="78">
        <v>1440</v>
      </c>
      <c r="AM2" s="82">
        <v>0.5</v>
      </c>
      <c r="AN2" s="78">
        <v>1</v>
      </c>
      <c r="AO2" s="78">
        <v>2</v>
      </c>
      <c r="AP2" s="78">
        <v>4</v>
      </c>
      <c r="AQ2" s="78">
        <v>8</v>
      </c>
      <c r="AR2" s="78">
        <v>15</v>
      </c>
      <c r="AS2" s="78">
        <v>30</v>
      </c>
      <c r="AT2" s="78">
        <v>60</v>
      </c>
      <c r="AU2" s="78">
        <v>120</v>
      </c>
      <c r="AV2" s="78">
        <v>240</v>
      </c>
      <c r="AW2" s="78">
        <v>480</v>
      </c>
      <c r="AX2" s="78">
        <v>960</v>
      </c>
      <c r="AY2" s="78">
        <v>1440</v>
      </c>
      <c r="AZ2" s="22"/>
      <c r="BA2" s="22"/>
    </row>
    <row r="3" spans="1:53" x14ac:dyDescent="0.25">
      <c r="A3" s="73"/>
      <c r="B3" s="76"/>
      <c r="C3" s="76"/>
      <c r="D3" s="74"/>
      <c r="E3" s="74"/>
      <c r="F3" s="74"/>
      <c r="G3" s="74"/>
      <c r="H3" s="74"/>
      <c r="I3" s="81"/>
      <c r="J3" s="74"/>
      <c r="K3" s="74"/>
      <c r="L3" s="74"/>
      <c r="M3" s="82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82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82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22"/>
      <c r="BA3" s="22"/>
    </row>
    <row r="4" spans="1:53" x14ac:dyDescent="0.25">
      <c r="A4" s="74"/>
      <c r="B4" s="77"/>
      <c r="C4" s="77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3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5"/>
      <c r="Z4" s="83" t="s">
        <v>32</v>
      </c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1" t="s">
        <v>33</v>
      </c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20"/>
      <c r="BA4" s="20"/>
    </row>
    <row r="5" spans="1:53" x14ac:dyDescent="0.25">
      <c r="A5" s="27">
        <v>1</v>
      </c>
      <c r="B5" s="27" t="str">
        <f>GSD!B5</f>
        <v>CBH-08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CBH-08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CBH-08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CBH-08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CBH-08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CBH-08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>
        <v>2.5819999999999999</v>
      </c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>
        <v>1.0069999999999999</v>
      </c>
      <c r="N10" s="38">
        <v>1.006</v>
      </c>
      <c r="O10" s="38">
        <v>1.006</v>
      </c>
      <c r="P10" s="38">
        <v>1.006</v>
      </c>
      <c r="Q10" s="38">
        <v>1.006</v>
      </c>
      <c r="R10" s="38">
        <v>1.006</v>
      </c>
      <c r="S10" s="38">
        <v>1.0049999999999999</v>
      </c>
      <c r="T10" s="38">
        <v>1.0049999999999999</v>
      </c>
      <c r="U10" s="38">
        <v>1.004</v>
      </c>
      <c r="V10" s="38">
        <v>1.004</v>
      </c>
      <c r="W10" s="38">
        <v>1.004</v>
      </c>
      <c r="X10" s="38">
        <v>1.0029999999999999</v>
      </c>
      <c r="Y10" s="38">
        <v>1.002</v>
      </c>
      <c r="Z10" s="39">
        <v>7.0065729872341664E-2</v>
      </c>
      <c r="AA10" s="39">
        <v>5.0062751714158547E-2</v>
      </c>
      <c r="AB10" s="39">
        <v>3.5399711221939967E-2</v>
      </c>
      <c r="AC10" s="39">
        <v>2.5031375857079274E-2</v>
      </c>
      <c r="AD10" s="39">
        <v>1.8472535597996154E-2</v>
      </c>
      <c r="AE10" s="39">
        <v>1.3490432588452901E-2</v>
      </c>
      <c r="AF10" s="39">
        <v>9.6290401551338452E-3</v>
      </c>
      <c r="AG10" s="39">
        <v>6.8087595900127081E-3</v>
      </c>
      <c r="AH10" s="39">
        <v>4.859036501883982E-3</v>
      </c>
      <c r="AI10" s="39">
        <v>3.435857660515124E-3</v>
      </c>
      <c r="AJ10" s="39">
        <v>2.429518250941991E-3</v>
      </c>
      <c r="AK10" s="39">
        <v>1.733524872765997E-3</v>
      </c>
      <c r="AL10" s="39">
        <v>1.4280376986542536E-3</v>
      </c>
      <c r="AM10" s="36">
        <v>21.871922882426965</v>
      </c>
      <c r="AN10" s="36">
        <v>18.607700379266767</v>
      </c>
      <c r="AO10" s="36">
        <v>18.607700379266767</v>
      </c>
      <c r="AP10" s="36">
        <v>18.607700379266767</v>
      </c>
      <c r="AQ10" s="36">
        <v>18.607700379266767</v>
      </c>
      <c r="AR10" s="36">
        <v>18.607700379266767</v>
      </c>
      <c r="AS10" s="36">
        <v>15.343477876105846</v>
      </c>
      <c r="AT10" s="36">
        <v>15.343477876105846</v>
      </c>
      <c r="AU10" s="36">
        <v>12.079255372945649</v>
      </c>
      <c r="AV10" s="36">
        <v>12.079255372945649</v>
      </c>
      <c r="AW10" s="36">
        <v>12.079255372945649</v>
      </c>
      <c r="AX10" s="36">
        <v>8.81503286978473</v>
      </c>
      <c r="AY10" s="36">
        <v>5.5508103666245328</v>
      </c>
      <c r="AZ10" s="40"/>
      <c r="BA10" s="40"/>
    </row>
    <row r="11" spans="1:53" s="41" customFormat="1" x14ac:dyDescent="0.25">
      <c r="A11" s="27">
        <v>7</v>
      </c>
      <c r="B11" s="27" t="str">
        <f t="shared" si="2"/>
        <v>CBH-08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CBH-08</v>
      </c>
      <c r="C12" s="36">
        <f>GSD!F12</f>
        <v>13.5</v>
      </c>
      <c r="D12" s="35" t="str">
        <f>GSD!E12</f>
        <v>UDS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CBH-08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C1" zoomScale="130" zoomScaleNormal="130" workbookViewId="0">
      <selection activeCell="AO15" sqref="AO15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CBH-08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99.99</v>
      </c>
      <c r="Z3" s="53">
        <f>GSD!T5</f>
        <v>99.55</v>
      </c>
      <c r="AA3" s="53">
        <f>GSD!U5</f>
        <v>99.2</v>
      </c>
      <c r="AB3" s="53">
        <f>GSD!V5</f>
        <v>97.81</v>
      </c>
      <c r="AC3" s="53">
        <f>GSD!W5</f>
        <v>93.97</v>
      </c>
      <c r="AD3" s="53">
        <f>GSD!X5</f>
        <v>89.17</v>
      </c>
      <c r="AE3" s="53">
        <f>GSD!Y5</f>
        <v>67.42</v>
      </c>
      <c r="AF3" s="53">
        <f>GSD!Z5</f>
        <v>60.699999999999996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>
        <v>1.0000000000005116E-2</v>
      </c>
      <c r="AU3" s="53">
        <v>39.29</v>
      </c>
      <c r="AV3" s="53"/>
      <c r="AW3" s="53"/>
    </row>
    <row r="4" spans="1:49" s="41" customFormat="1" x14ac:dyDescent="0.25">
      <c r="A4" s="49">
        <v>2</v>
      </c>
      <c r="B4" s="49" t="str">
        <f>B3</f>
        <v>CBH-08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99.935000000000002</v>
      </c>
      <c r="Z4" s="53">
        <f>GSD!T6</f>
        <v>98.7</v>
      </c>
      <c r="AA4" s="53">
        <f>GSD!U6</f>
        <v>98.19</v>
      </c>
      <c r="AB4" s="53">
        <f>GSD!V6</f>
        <v>96.14</v>
      </c>
      <c r="AC4" s="53">
        <f>GSD!W6</f>
        <v>90.27</v>
      </c>
      <c r="AD4" s="53">
        <f>GSD!X6</f>
        <v>83.314999999999998</v>
      </c>
      <c r="AE4" s="53">
        <f>GSD!Y6</f>
        <v>60.254999999999995</v>
      </c>
      <c r="AF4" s="53">
        <f>GSD!Z6</f>
        <v>52.42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>
        <v>6.4999999999997726E-2</v>
      </c>
      <c r="AU4" s="53">
        <v>47.515000000000001</v>
      </c>
      <c r="AV4" s="53"/>
      <c r="AW4" s="53"/>
    </row>
    <row r="5" spans="1:49" s="41" customFormat="1" x14ac:dyDescent="0.25">
      <c r="A5" s="49">
        <v>3</v>
      </c>
      <c r="B5" s="49" t="str">
        <f t="shared" ref="B5:B11" si="0">B4</f>
        <v>CBH-08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99.97</v>
      </c>
      <c r="Z5" s="53">
        <f>GSD!T7</f>
        <v>99.56</v>
      </c>
      <c r="AA5" s="53">
        <f>GSD!U7</f>
        <v>99.14</v>
      </c>
      <c r="AB5" s="53">
        <f>GSD!V7</f>
        <v>97.7</v>
      </c>
      <c r="AC5" s="53">
        <f>GSD!W7</f>
        <v>93.89</v>
      </c>
      <c r="AD5" s="53">
        <f>GSD!X7</f>
        <v>89.81</v>
      </c>
      <c r="AE5" s="53">
        <f>GSD!Y7</f>
        <v>72.12</v>
      </c>
      <c r="AF5" s="53">
        <f>GSD!Z7</f>
        <v>66.759999999999991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>
        <v>3.0000000000001137E-2</v>
      </c>
      <c r="AU5" s="53">
        <v>33.210000000000008</v>
      </c>
      <c r="AV5" s="53"/>
      <c r="AW5" s="53"/>
    </row>
    <row r="6" spans="1:49" s="41" customFormat="1" x14ac:dyDescent="0.25">
      <c r="A6" s="49">
        <v>4</v>
      </c>
      <c r="B6" s="49" t="str">
        <f t="shared" si="0"/>
        <v>CBH-08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99.65</v>
      </c>
      <c r="Z6" s="53">
        <f>GSD!T8</f>
        <v>97.9</v>
      </c>
      <c r="AA6" s="53">
        <f>GSD!U8</f>
        <v>97.22</v>
      </c>
      <c r="AB6" s="53">
        <f>GSD!V8</f>
        <v>94.86</v>
      </c>
      <c r="AC6" s="53">
        <f>GSD!W8</f>
        <v>90.12</v>
      </c>
      <c r="AD6" s="53">
        <f>GSD!X8</f>
        <v>84.89</v>
      </c>
      <c r="AE6" s="53">
        <f>GSD!Y8</f>
        <v>63.094999999999999</v>
      </c>
      <c r="AF6" s="53">
        <f>GSD!Z8</f>
        <v>62.484999999999999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>
        <v>0.34999999999999432</v>
      </c>
      <c r="AU6" s="53">
        <v>37.165000000000006</v>
      </c>
      <c r="AV6" s="53"/>
      <c r="AW6" s="53"/>
    </row>
    <row r="7" spans="1:49" s="41" customFormat="1" x14ac:dyDescent="0.25">
      <c r="A7" s="49">
        <v>5</v>
      </c>
      <c r="B7" s="49" t="str">
        <f t="shared" si="0"/>
        <v>CBH-08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100</v>
      </c>
      <c r="Z7" s="53">
        <f>GSD!T9</f>
        <v>99.75</v>
      </c>
      <c r="AA7" s="53">
        <f>GSD!U9</f>
        <v>99.33</v>
      </c>
      <c r="AB7" s="53">
        <f>GSD!V9</f>
        <v>96.8</v>
      </c>
      <c r="AC7" s="53">
        <f>GSD!W9</f>
        <v>94.01</v>
      </c>
      <c r="AD7" s="53">
        <f>GSD!X9</f>
        <v>72.14</v>
      </c>
      <c r="AE7" s="53">
        <f>GSD!Y9</f>
        <v>30.61</v>
      </c>
      <c r="AF7" s="53">
        <f>GSD!Z9</f>
        <v>24.61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>
        <v>0</v>
      </c>
      <c r="AU7" s="53">
        <v>75.39</v>
      </c>
      <c r="AV7" s="53"/>
      <c r="AW7" s="53"/>
    </row>
    <row r="8" spans="1:49" s="41" customFormat="1" x14ac:dyDescent="0.25">
      <c r="A8" s="49">
        <v>6</v>
      </c>
      <c r="B8" s="49" t="str">
        <f t="shared" si="0"/>
        <v>CBH-08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7.0065729872341664E-2</v>
      </c>
      <c r="M8" s="52">
        <f>HYD!AA10</f>
        <v>5.0062751714158547E-2</v>
      </c>
      <c r="N8" s="52">
        <f>HYD!AB10</f>
        <v>3.5399711221939967E-2</v>
      </c>
      <c r="O8" s="52">
        <f>HYD!AC10</f>
        <v>2.5031375857079274E-2</v>
      </c>
      <c r="P8" s="52">
        <f>HYD!AD10</f>
        <v>1.8472535597996154E-2</v>
      </c>
      <c r="Q8" s="52">
        <f>HYD!AE10</f>
        <v>1.3490432588452901E-2</v>
      </c>
      <c r="R8" s="52">
        <f>HYD!AF10</f>
        <v>9.6290401551338452E-3</v>
      </c>
      <c r="S8" s="52">
        <f>HYD!AG10</f>
        <v>6.8087595900127081E-3</v>
      </c>
      <c r="T8" s="52">
        <f>HYD!AH10</f>
        <v>4.859036501883982E-3</v>
      </c>
      <c r="U8" s="52">
        <f>HYD!AI10</f>
        <v>3.435857660515124E-3</v>
      </c>
      <c r="V8" s="52">
        <f>HYD!AJ10</f>
        <v>2.429518250941991E-3</v>
      </c>
      <c r="W8" s="52">
        <f>HYD!AK10</f>
        <v>1.733524872765997E-3</v>
      </c>
      <c r="X8" s="52">
        <f>HYD!AL10</f>
        <v>1.4280376986542536E-3</v>
      </c>
      <c r="Y8" s="53">
        <f>GSD!S10</f>
        <v>98.814999999999998</v>
      </c>
      <c r="Z8" s="53">
        <f>GSD!T10</f>
        <v>96.444999999999993</v>
      </c>
      <c r="AA8" s="53">
        <f>GSD!U10</f>
        <v>95.3</v>
      </c>
      <c r="AB8" s="53">
        <f>GSD!V10</f>
        <v>93.435000000000002</v>
      </c>
      <c r="AC8" s="53">
        <f>GSD!W10</f>
        <v>89.085000000000008</v>
      </c>
      <c r="AD8" s="53">
        <f>GSD!X10</f>
        <v>85.085000000000008</v>
      </c>
      <c r="AE8" s="53">
        <f>GSD!Y10</f>
        <v>60.174999999999997</v>
      </c>
      <c r="AF8" s="53">
        <f>GSD!Z10</f>
        <v>52.144999999999996</v>
      </c>
      <c r="AG8" s="53">
        <f>HYD!AM10</f>
        <v>21.871922882426965</v>
      </c>
      <c r="AH8" s="53">
        <f>HYD!AN10</f>
        <v>18.607700379266767</v>
      </c>
      <c r="AI8" s="53">
        <f>HYD!AO10</f>
        <v>18.607700379266767</v>
      </c>
      <c r="AJ8" s="53">
        <f>HYD!AP10</f>
        <v>18.607700379266767</v>
      </c>
      <c r="AK8" s="53">
        <f>HYD!AQ10</f>
        <v>18.607700379266767</v>
      </c>
      <c r="AL8" s="53">
        <f>HYD!AR10</f>
        <v>18.607700379266767</v>
      </c>
      <c r="AM8" s="53">
        <f>HYD!AS10</f>
        <v>15.343477876105846</v>
      </c>
      <c r="AN8" s="53">
        <f>HYD!AT10</f>
        <v>15.343477876105846</v>
      </c>
      <c r="AO8" s="53">
        <f>HYD!AU10</f>
        <v>12.079255372945649</v>
      </c>
      <c r="AP8" s="53">
        <f>HYD!AV10</f>
        <v>12.079255372945649</v>
      </c>
      <c r="AQ8" s="53">
        <f>HYD!AW10</f>
        <v>12.079255372945649</v>
      </c>
      <c r="AR8" s="53">
        <f>HYD!AX10</f>
        <v>8.81503286978473</v>
      </c>
      <c r="AS8" s="53">
        <f>HYD!AY10</f>
        <v>5.5508103666245328</v>
      </c>
      <c r="AT8" s="53">
        <v>1.1850000000000023</v>
      </c>
      <c r="AU8" s="53">
        <v>46.67</v>
      </c>
      <c r="AV8" s="53">
        <v>41.947145461716055</v>
      </c>
      <c r="AW8" s="53">
        <v>10.197854538283943</v>
      </c>
    </row>
    <row r="9" spans="1:49" s="41" customFormat="1" x14ac:dyDescent="0.25">
      <c r="A9" s="49">
        <v>7</v>
      </c>
      <c r="B9" s="49" t="str">
        <f t="shared" si="0"/>
        <v>CBH-08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99.995000000000005</v>
      </c>
      <c r="Z9" s="53">
        <f>GSD!T11</f>
        <v>99.575000000000003</v>
      </c>
      <c r="AA9" s="53">
        <f>GSD!U11</f>
        <v>99.385000000000005</v>
      </c>
      <c r="AB9" s="53">
        <f>GSD!V11</f>
        <v>98.6</v>
      </c>
      <c r="AC9" s="53">
        <f>GSD!W11</f>
        <v>95.935000000000002</v>
      </c>
      <c r="AD9" s="53">
        <f>GSD!X11</f>
        <v>92.935000000000002</v>
      </c>
      <c r="AE9" s="53">
        <f>GSD!Y11</f>
        <v>80.045000000000002</v>
      </c>
      <c r="AF9" s="53">
        <f>GSD!Z11</f>
        <v>73.86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>
        <v>4.9999999999954525E-3</v>
      </c>
      <c r="AU9" s="55">
        <v>26.135000000000005</v>
      </c>
      <c r="AV9" s="55"/>
      <c r="AW9" s="55"/>
    </row>
    <row r="10" spans="1:49" s="41" customFormat="1" x14ac:dyDescent="0.25">
      <c r="A10" s="49">
        <v>8</v>
      </c>
      <c r="B10" s="49" t="str">
        <f t="shared" si="0"/>
        <v>CBH-08</v>
      </c>
      <c r="C10" s="50">
        <f>GSD!F12</f>
        <v>13.5</v>
      </c>
      <c r="D10" s="51">
        <v>4.75</v>
      </c>
      <c r="E10" s="51">
        <v>2</v>
      </c>
      <c r="F10" s="51">
        <v>1.18</v>
      </c>
      <c r="G10" s="51">
        <v>0.6</v>
      </c>
      <c r="H10" s="51">
        <v>0.42499999999999999</v>
      </c>
      <c r="I10" s="51">
        <v>0.3</v>
      </c>
      <c r="J10" s="51">
        <v>0.15</v>
      </c>
      <c r="K10" s="51">
        <v>7.4999999999999997E-2</v>
      </c>
      <c r="L10" s="52">
        <f>HYD!Z12</f>
        <v>0</v>
      </c>
      <c r="M10" s="52">
        <f>HYD!AA12</f>
        <v>0</v>
      </c>
      <c r="N10" s="52">
        <f>HYD!AB12</f>
        <v>0</v>
      </c>
      <c r="O10" s="52">
        <f>HYD!AC12</f>
        <v>0</v>
      </c>
      <c r="P10" s="52">
        <f>HYD!AD12</f>
        <v>0</v>
      </c>
      <c r="Q10" s="52">
        <f>HYD!AE12</f>
        <v>0</v>
      </c>
      <c r="R10" s="52">
        <f>HYD!AF12</f>
        <v>0</v>
      </c>
      <c r="S10" s="52">
        <f>HYD!AG12</f>
        <v>0</v>
      </c>
      <c r="T10" s="52">
        <f>HYD!AH12</f>
        <v>0</v>
      </c>
      <c r="U10" s="52">
        <f>HYD!AI12</f>
        <v>0</v>
      </c>
      <c r="V10" s="52">
        <f>HYD!AJ12</f>
        <v>0</v>
      </c>
      <c r="W10" s="52">
        <f>HYD!AK12</f>
        <v>0</v>
      </c>
      <c r="X10" s="52">
        <f>HYD!AL12</f>
        <v>0</v>
      </c>
      <c r="Y10" s="53">
        <f>GSD!S12</f>
        <v>100</v>
      </c>
      <c r="Z10" s="53">
        <f>GSD!T12</f>
        <v>99.69</v>
      </c>
      <c r="AA10" s="53">
        <f>GSD!U12</f>
        <v>99.46</v>
      </c>
      <c r="AB10" s="53">
        <f>GSD!V12</f>
        <v>99.025000000000006</v>
      </c>
      <c r="AC10" s="53">
        <f>GSD!W12</f>
        <v>98.06</v>
      </c>
      <c r="AD10" s="53">
        <f>GSD!X12</f>
        <v>96.52</v>
      </c>
      <c r="AE10" s="53">
        <f>GSD!Y12</f>
        <v>86.504999999999995</v>
      </c>
      <c r="AF10" s="53">
        <f>GSD!Z12</f>
        <v>80.745000000000005</v>
      </c>
      <c r="AG10" s="53">
        <f>HYD!AM12</f>
        <v>0</v>
      </c>
      <c r="AH10" s="53">
        <f>HYD!AN12</f>
        <v>0</v>
      </c>
      <c r="AI10" s="53">
        <f>HYD!AO12</f>
        <v>0</v>
      </c>
      <c r="AJ10" s="53">
        <f>HYD!AP12</f>
        <v>0</v>
      </c>
      <c r="AK10" s="53">
        <f>HYD!AQ12</f>
        <v>0</v>
      </c>
      <c r="AL10" s="53">
        <f>HYD!AR12</f>
        <v>0</v>
      </c>
      <c r="AM10" s="53">
        <f>HYD!AS12</f>
        <v>0</v>
      </c>
      <c r="AN10" s="53">
        <f>HYD!AT12</f>
        <v>0</v>
      </c>
      <c r="AO10" s="53">
        <f>HYD!AU12</f>
        <v>0</v>
      </c>
      <c r="AP10" s="53">
        <f>HYD!AV12</f>
        <v>0</v>
      </c>
      <c r="AQ10" s="53">
        <f>HYD!AW12</f>
        <v>0</v>
      </c>
      <c r="AR10" s="53">
        <f>HYD!AX12</f>
        <v>0</v>
      </c>
      <c r="AS10" s="53">
        <f>HYD!AY12</f>
        <v>0</v>
      </c>
      <c r="AT10" s="55">
        <v>0</v>
      </c>
      <c r="AU10" s="55">
        <v>19.254999999999995</v>
      </c>
      <c r="AV10" s="55"/>
      <c r="AW10" s="55"/>
    </row>
    <row r="11" spans="1:49" s="41" customFormat="1" x14ac:dyDescent="0.25">
      <c r="A11" s="49">
        <v>9</v>
      </c>
      <c r="B11" s="49" t="str">
        <f t="shared" si="0"/>
        <v>CBH-08</v>
      </c>
      <c r="C11" s="50">
        <f>GSD!F13</f>
        <v>15</v>
      </c>
      <c r="D11" s="51">
        <v>4.75</v>
      </c>
      <c r="E11" s="51">
        <v>2</v>
      </c>
      <c r="F11" s="51">
        <v>1.18</v>
      </c>
      <c r="G11" s="51">
        <v>0.6</v>
      </c>
      <c r="H11" s="51">
        <v>0.42499999999999999</v>
      </c>
      <c r="I11" s="51">
        <v>0.3</v>
      </c>
      <c r="J11" s="51">
        <v>0.15</v>
      </c>
      <c r="K11" s="51">
        <v>7.4999999999999997E-2</v>
      </c>
      <c r="L11" s="52">
        <f>HYD!Z13</f>
        <v>0</v>
      </c>
      <c r="M11" s="52">
        <f>HYD!AA13</f>
        <v>0</v>
      </c>
      <c r="N11" s="52">
        <f>HYD!AB13</f>
        <v>0</v>
      </c>
      <c r="O11" s="52">
        <f>HYD!AC13</f>
        <v>0</v>
      </c>
      <c r="P11" s="52">
        <f>HYD!AD13</f>
        <v>0</v>
      </c>
      <c r="Q11" s="52">
        <f>HYD!AE13</f>
        <v>0</v>
      </c>
      <c r="R11" s="52">
        <f>HYD!AF13</f>
        <v>0</v>
      </c>
      <c r="S11" s="52">
        <f>HYD!AG13</f>
        <v>0</v>
      </c>
      <c r="T11" s="52">
        <f>HYD!AH13</f>
        <v>0</v>
      </c>
      <c r="U11" s="52">
        <f>HYD!AI13</f>
        <v>0</v>
      </c>
      <c r="V11" s="52">
        <f>HYD!AJ13</f>
        <v>0</v>
      </c>
      <c r="W11" s="52">
        <f>HYD!AK13</f>
        <v>0</v>
      </c>
      <c r="X11" s="52">
        <f>HYD!AL13</f>
        <v>0</v>
      </c>
      <c r="Y11" s="53">
        <f>GSD!S13</f>
        <v>99.3</v>
      </c>
      <c r="Z11" s="53">
        <f>GSD!T13</f>
        <v>97.4</v>
      </c>
      <c r="AA11" s="53">
        <f>GSD!U13</f>
        <v>91.16</v>
      </c>
      <c r="AB11" s="53">
        <f>GSD!V13</f>
        <v>53.069999999999993</v>
      </c>
      <c r="AC11" s="53">
        <f>GSD!W13</f>
        <v>49.859999999999992</v>
      </c>
      <c r="AD11" s="53">
        <f>GSD!X13</f>
        <v>44.789999999999992</v>
      </c>
      <c r="AE11" s="53">
        <f>GSD!Y13</f>
        <v>31.039999999999988</v>
      </c>
      <c r="AF11" s="53">
        <f>GSD!Z13</f>
        <v>24.609999999999985</v>
      </c>
      <c r="AG11" s="53">
        <f>HYD!AM13</f>
        <v>0</v>
      </c>
      <c r="AH11" s="53">
        <f>HYD!AN13</f>
        <v>0</v>
      </c>
      <c r="AI11" s="53">
        <f>HYD!AO13</f>
        <v>0</v>
      </c>
      <c r="AJ11" s="53">
        <f>HYD!AP13</f>
        <v>0</v>
      </c>
      <c r="AK11" s="53">
        <f>HYD!AQ13</f>
        <v>0</v>
      </c>
      <c r="AL11" s="53">
        <f>HYD!AR13</f>
        <v>0</v>
      </c>
      <c r="AM11" s="53">
        <f>HYD!AS13</f>
        <v>0</v>
      </c>
      <c r="AN11" s="53">
        <f>HYD!AT13</f>
        <v>0</v>
      </c>
      <c r="AO11" s="53">
        <f>HYD!AU13</f>
        <v>0</v>
      </c>
      <c r="AP11" s="53">
        <f>HYD!AV13</f>
        <v>0</v>
      </c>
      <c r="AQ11" s="53">
        <f>HYD!AW13</f>
        <v>0</v>
      </c>
      <c r="AR11" s="53">
        <f>HYD!AX13</f>
        <v>0</v>
      </c>
      <c r="AS11" s="53">
        <f>HYD!AY13</f>
        <v>0</v>
      </c>
      <c r="AT11" s="55">
        <v>0.70000000000000284</v>
      </c>
      <c r="AU11" s="55">
        <v>74.690000000000012</v>
      </c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2026-09-11T07:33:12Z</dcterms:modified>
</cp:coreProperties>
</file>