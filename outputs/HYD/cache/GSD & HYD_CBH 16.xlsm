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9. Unlined Canal_CH_294.616 km (CBH-16 &amp; CBH-17)\GSD &amp; HYD_CBH 16\"/>
    </mc:Choice>
  </mc:AlternateContent>
  <xr:revisionPtr revIDLastSave="0" documentId="13_ncr:1_{4EDE6895-F5B1-4F32-A451-336C833CE846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<sst xmlns="http://schemas.openxmlformats.org/spreadsheetml/2006/main" count="82" uniqueCount="57">
  <si>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</si>
  <si>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</si>
  <si>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</si>
  <si>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</si>
  <si>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</si>
  <si>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</si>
  <si>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</si>
  <si>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</si>
  <si>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</si>
  <si>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</si>
  <si>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</si>
  <si>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</si>
  <si>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</si>
  <si>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</si>
  <si>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</si>
  <si>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</si>
  <si>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</si>
  <si>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</si>
  <si>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</si>
  <si>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</si>
  <si>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</si>
  <si>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</si>
  <si>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</si>
  <si>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</si>
  <si>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</si>
  <si>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</si>
  <si>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</si>
  <si>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</si>
  <si>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</si>
  <si>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</si>
  <si>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</si>
  <si>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</si>
  <si>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</si>
  <si>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</si>
  <si>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</si>
  <si>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</si>
  <si>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</si>
  <si>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</si>
  <si>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</si>
  <si>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</si>
  <si>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</si>
  <si>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</si>
  <si>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</si>
  <si>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</si>
  <si>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</si>
  <si>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</si>
  <si>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</si>
  <si>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</si>
  <si>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CBH-16</t>
  </si>
  <si>
    <t>A0151</t>
  </si>
  <si>
    <t>A092</t>
  </si>
  <si>
    <t>A074</t>
  </si>
  <si>
    <t>A077</t>
  </si>
  <si>
    <t>A012</t>
  </si>
  <si>
    <t>A05</t>
  </si>
  <si>
    <t>A089</t>
  </si>
  <si>
    <t>A043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</si>
</sst>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87.76</c:v>
                </c:pt>
                <c:pt idx="1">
                  <c:v>78.44</c:v>
                </c:pt>
                <c:pt idx="2">
                  <c:v>75.63</c:v>
                </c:pt>
                <c:pt idx="3">
                  <c:v>69.63</c:v>
                </c:pt>
                <c:pt idx="4">
                  <c:v>60.35</c:v>
                </c:pt>
                <c:pt idx="5">
                  <c:v>51.93</c:v>
                </c:pt>
                <c:pt idx="6">
                  <c:v>32.14</c:v>
                </c:pt>
                <c:pt idx="7">
                  <c:v>29.820000000000007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97.67</c:v>
                </c:pt>
                <c:pt idx="1">
                  <c:v>90.85</c:v>
                </c:pt>
                <c:pt idx="2">
                  <c:v>87.81</c:v>
                </c:pt>
                <c:pt idx="3">
                  <c:v>81.239999999999995</c:v>
                </c:pt>
                <c:pt idx="4">
                  <c:v>70.14</c:v>
                </c:pt>
                <c:pt idx="5">
                  <c:v>62</c:v>
                </c:pt>
                <c:pt idx="6">
                  <c:v>37.340000000000003</c:v>
                </c:pt>
                <c:pt idx="7">
                  <c:v>32.790000000000006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97.9</c:v>
                </c:pt>
                <c:pt idx="1">
                  <c:v>91.84</c:v>
                </c:pt>
                <c:pt idx="2">
                  <c:v>89.210000000000008</c:v>
                </c:pt>
                <c:pt idx="3">
                  <c:v>82.789999999999992</c:v>
                </c:pt>
                <c:pt idx="4">
                  <c:v>71.960000000000008</c:v>
                </c:pt>
                <c:pt idx="5">
                  <c:v>62.510000000000012</c:v>
                </c:pt>
                <c:pt idx="6">
                  <c:v>35.580000000000013</c:v>
                </c:pt>
                <c:pt idx="7">
                  <c:v>29.590000000000018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96.79</c:v>
                </c:pt>
                <c:pt idx="1">
                  <c:v>89.16</c:v>
                </c:pt>
                <c:pt idx="2">
                  <c:v>86.65</c:v>
                </c:pt>
                <c:pt idx="3">
                  <c:v>81.23</c:v>
                </c:pt>
                <c:pt idx="4">
                  <c:v>71.86</c:v>
                </c:pt>
                <c:pt idx="5">
                  <c:v>63.82</c:v>
                </c:pt>
                <c:pt idx="6">
                  <c:v>41.04</c:v>
                </c:pt>
                <c:pt idx="7">
                  <c:v>35.879999999999995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92.81</c:v>
                </c:pt>
                <c:pt idx="1">
                  <c:v>71.8</c:v>
                </c:pt>
                <c:pt idx="2">
                  <c:v>62.470000000000006</c:v>
                </c:pt>
                <c:pt idx="3">
                  <c:v>47.31</c:v>
                </c:pt>
                <c:pt idx="4">
                  <c:v>33.260000000000005</c:v>
                </c:pt>
                <c:pt idx="5">
                  <c:v>25.060000000000006</c:v>
                </c:pt>
                <c:pt idx="6">
                  <c:v>12.280000000000001</c:v>
                </c:pt>
                <c:pt idx="7">
                  <c:v>10.920000000000002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99.61</c:v>
                </c:pt>
                <c:pt idx="1">
                  <c:v>96.18</c:v>
                </c:pt>
                <c:pt idx="2">
                  <c:v>92.55</c:v>
                </c:pt>
                <c:pt idx="3">
                  <c:v>64.36</c:v>
                </c:pt>
                <c:pt idx="4">
                  <c:v>42.29</c:v>
                </c:pt>
                <c:pt idx="5">
                  <c:v>35.959999999999994</c:v>
                </c:pt>
                <c:pt idx="6">
                  <c:v>26.25</c:v>
                </c:pt>
                <c:pt idx="7">
                  <c:v>25.290000000000006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96.62</c:v>
                </c:pt>
                <c:pt idx="1">
                  <c:v>90.289999999999992</c:v>
                </c:pt>
                <c:pt idx="2">
                  <c:v>88.09</c:v>
                </c:pt>
                <c:pt idx="3">
                  <c:v>82.16</c:v>
                </c:pt>
                <c:pt idx="4">
                  <c:v>72.539999999999992</c:v>
                </c:pt>
                <c:pt idx="5">
                  <c:v>63.879999999999995</c:v>
                </c:pt>
                <c:pt idx="6">
                  <c:v>38.599999999999994</c:v>
                </c:pt>
                <c:pt idx="7">
                  <c:v>31.979999999999993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100</c:v>
                </c:pt>
                <c:pt idx="1">
                  <c:v>93.99</c:v>
                </c:pt>
                <c:pt idx="2">
                  <c:v>88.789999999999992</c:v>
                </c:pt>
                <c:pt idx="3">
                  <c:v>75.12</c:v>
                </c:pt>
                <c:pt idx="4">
                  <c:v>55.390000000000008</c:v>
                </c:pt>
                <c:pt idx="5">
                  <c:v>42.34</c:v>
                </c:pt>
                <c:pt idx="6">
                  <c:v>19.710000000000008</c:v>
                </c:pt>
                <c:pt idx="7">
                  <c:v>16.810000000000002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95.18</c:v>
                </c:pt>
                <c:pt idx="1">
                  <c:v>79.59</c:v>
                </c:pt>
                <c:pt idx="2">
                  <c:v>72.38</c:v>
                </c:pt>
                <c:pt idx="3">
                  <c:v>58.810000000000009</c:v>
                </c:pt>
                <c:pt idx="4">
                  <c:v>41.39</c:v>
                </c:pt>
                <c:pt idx="5">
                  <c:v>32.299999999999997</c:v>
                </c:pt>
                <c:pt idx="6">
                  <c:v>16.519999999999996</c:v>
                </c:pt>
                <c:pt idx="7">
                  <c:v>15.099999999999994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D2-4062-94DA-3B743764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5741697858671E-2"/>
          <c:h val="0.556208833877528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87.76</c:v>
                </c:pt>
                <c:pt idx="1">
                  <c:v>78.44</c:v>
                </c:pt>
                <c:pt idx="2">
                  <c:v>75.63</c:v>
                </c:pt>
                <c:pt idx="3">
                  <c:v>69.63</c:v>
                </c:pt>
                <c:pt idx="4">
                  <c:v>60.35</c:v>
                </c:pt>
                <c:pt idx="5">
                  <c:v>51.93</c:v>
                </c:pt>
                <c:pt idx="6">
                  <c:v>32.14</c:v>
                </c:pt>
                <c:pt idx="7">
                  <c:v>29.820000000000007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97.67</c:v>
                </c:pt>
                <c:pt idx="1">
                  <c:v>90.85</c:v>
                </c:pt>
                <c:pt idx="2">
                  <c:v>87.81</c:v>
                </c:pt>
                <c:pt idx="3">
                  <c:v>81.239999999999995</c:v>
                </c:pt>
                <c:pt idx="4">
                  <c:v>70.14</c:v>
                </c:pt>
                <c:pt idx="5">
                  <c:v>62</c:v>
                </c:pt>
                <c:pt idx="6">
                  <c:v>37.340000000000003</c:v>
                </c:pt>
                <c:pt idx="7">
                  <c:v>32.790000000000006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97.9</c:v>
                </c:pt>
                <c:pt idx="1">
                  <c:v>91.84</c:v>
                </c:pt>
                <c:pt idx="2">
                  <c:v>89.210000000000008</c:v>
                </c:pt>
                <c:pt idx="3">
                  <c:v>82.789999999999992</c:v>
                </c:pt>
                <c:pt idx="4">
                  <c:v>71.960000000000008</c:v>
                </c:pt>
                <c:pt idx="5">
                  <c:v>62.510000000000012</c:v>
                </c:pt>
                <c:pt idx="6">
                  <c:v>35.580000000000013</c:v>
                </c:pt>
                <c:pt idx="7">
                  <c:v>29.590000000000018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96.79</c:v>
                </c:pt>
                <c:pt idx="1">
                  <c:v>89.16</c:v>
                </c:pt>
                <c:pt idx="2">
                  <c:v>86.65</c:v>
                </c:pt>
                <c:pt idx="3">
                  <c:v>81.23</c:v>
                </c:pt>
                <c:pt idx="4">
                  <c:v>71.86</c:v>
                </c:pt>
                <c:pt idx="5">
                  <c:v>63.82</c:v>
                </c:pt>
                <c:pt idx="6">
                  <c:v>41.04</c:v>
                </c:pt>
                <c:pt idx="7">
                  <c:v>35.879999999999995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92.81</c:v>
                </c:pt>
                <c:pt idx="1">
                  <c:v>71.8</c:v>
                </c:pt>
                <c:pt idx="2">
                  <c:v>62.470000000000006</c:v>
                </c:pt>
                <c:pt idx="3">
                  <c:v>47.31</c:v>
                </c:pt>
                <c:pt idx="4">
                  <c:v>33.260000000000005</c:v>
                </c:pt>
                <c:pt idx="5">
                  <c:v>25.060000000000006</c:v>
                </c:pt>
                <c:pt idx="6">
                  <c:v>12.280000000000001</c:v>
                </c:pt>
                <c:pt idx="7">
                  <c:v>10.920000000000002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99.61</c:v>
                </c:pt>
                <c:pt idx="1">
                  <c:v>96.18</c:v>
                </c:pt>
                <c:pt idx="2">
                  <c:v>92.55</c:v>
                </c:pt>
                <c:pt idx="3">
                  <c:v>64.36</c:v>
                </c:pt>
                <c:pt idx="4">
                  <c:v>42.29</c:v>
                </c:pt>
                <c:pt idx="5">
                  <c:v>35.959999999999994</c:v>
                </c:pt>
                <c:pt idx="6">
                  <c:v>26.25</c:v>
                </c:pt>
                <c:pt idx="7">
                  <c:v>25.290000000000006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96.62</c:v>
                </c:pt>
                <c:pt idx="1">
                  <c:v>90.289999999999992</c:v>
                </c:pt>
                <c:pt idx="2">
                  <c:v>88.09</c:v>
                </c:pt>
                <c:pt idx="3">
                  <c:v>82.16</c:v>
                </c:pt>
                <c:pt idx="4">
                  <c:v>72.539999999999992</c:v>
                </c:pt>
                <c:pt idx="5">
                  <c:v>63.879999999999995</c:v>
                </c:pt>
                <c:pt idx="6">
                  <c:v>38.599999999999994</c:v>
                </c:pt>
                <c:pt idx="7">
                  <c:v>31.979999999999993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100</c:v>
                </c:pt>
                <c:pt idx="1">
                  <c:v>93.99</c:v>
                </c:pt>
                <c:pt idx="2">
                  <c:v>88.789999999999992</c:v>
                </c:pt>
                <c:pt idx="3">
                  <c:v>75.12</c:v>
                </c:pt>
                <c:pt idx="4">
                  <c:v>55.390000000000008</c:v>
                </c:pt>
                <c:pt idx="5">
                  <c:v>42.34</c:v>
                </c:pt>
                <c:pt idx="6">
                  <c:v>19.710000000000008</c:v>
                </c:pt>
                <c:pt idx="7">
                  <c:v>16.810000000000002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95.18</c:v>
                </c:pt>
                <c:pt idx="1">
                  <c:v>79.59</c:v>
                </c:pt>
                <c:pt idx="2">
                  <c:v>72.38</c:v>
                </c:pt>
                <c:pt idx="3">
                  <c:v>58.810000000000009</c:v>
                </c:pt>
                <c:pt idx="4">
                  <c:v>41.39</c:v>
                </c:pt>
                <c:pt idx="5">
                  <c:v>32.299999999999997</c:v>
                </c:pt>
                <c:pt idx="6">
                  <c:v>16.519999999999996</c:v>
                </c:pt>
                <c:pt idx="7">
                  <c:v>15.099999999999994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130" zoomScaleNormal="85" zoomScaleSheetLayoutView="130" zoomScalePageLayoutView="85" workbookViewId="0">
      <selection activeCell="N9" sqref="N9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60" t="s">
        <v>3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</row>
    <row r="2" spans="1:29" ht="24.6" customHeight="1" x14ac:dyDescent="0.25">
      <c r="A2" s="61" t="s">
        <v>4</v>
      </c>
      <c r="B2" s="64" t="s">
        <v>5</v>
      </c>
      <c r="C2" s="64" t="s">
        <v>6</v>
      </c>
      <c r="D2" s="64" t="s">
        <v>7</v>
      </c>
      <c r="E2" s="67" t="s">
        <v>8</v>
      </c>
      <c r="F2" s="67" t="s">
        <v>9</v>
      </c>
      <c r="G2" s="67" t="s">
        <v>10</v>
      </c>
      <c r="H2" s="67" t="s">
        <v>11</v>
      </c>
      <c r="I2" s="68" t="s">
        <v>12</v>
      </c>
      <c r="J2" s="57" t="s">
        <v>13</v>
      </c>
      <c r="K2" s="57"/>
      <c r="L2" s="57"/>
      <c r="M2" s="57"/>
      <c r="N2" s="57"/>
      <c r="O2" s="57"/>
      <c r="P2" s="57"/>
      <c r="Q2" s="57"/>
      <c r="R2" s="57"/>
      <c r="S2" s="57" t="s">
        <v>0</v>
      </c>
      <c r="T2" s="57"/>
      <c r="U2" s="57"/>
      <c r="V2" s="57"/>
      <c r="W2" s="57"/>
      <c r="X2" s="57"/>
      <c r="Y2" s="57"/>
      <c r="Z2" s="57"/>
      <c r="AA2" s="70" t="s">
        <v>14</v>
      </c>
      <c r="AB2" s="70" t="s">
        <v>15</v>
      </c>
      <c r="AC2" s="70" t="s">
        <v>16</v>
      </c>
    </row>
    <row r="3" spans="1:29" ht="40.5" customHeight="1" x14ac:dyDescent="0.25">
      <c r="A3" s="62"/>
      <c r="B3" s="65"/>
      <c r="C3" s="65"/>
      <c r="D3" s="65"/>
      <c r="E3" s="67"/>
      <c r="F3" s="67"/>
      <c r="G3" s="67"/>
      <c r="H3" s="67"/>
      <c r="I3" s="69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70"/>
      <c r="AB3" s="70"/>
      <c r="AC3" s="70"/>
    </row>
    <row r="4" spans="1:29" ht="21.6" customHeight="1" x14ac:dyDescent="0.25">
      <c r="A4" s="63"/>
      <c r="B4" s="66"/>
      <c r="C4" s="66"/>
      <c r="D4" s="66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7" t="s">
        <v>20</v>
      </c>
      <c r="K4" s="57"/>
      <c r="L4" s="57"/>
      <c r="M4" s="57"/>
      <c r="N4" s="57"/>
      <c r="O4" s="57"/>
      <c r="P4" s="57"/>
      <c r="Q4" s="57"/>
      <c r="R4" s="57"/>
      <c r="S4" s="57" t="s">
        <v>20</v>
      </c>
      <c r="T4" s="57"/>
      <c r="U4" s="57"/>
      <c r="V4" s="57"/>
      <c r="W4" s="57"/>
      <c r="X4" s="57"/>
      <c r="Y4" s="57"/>
      <c r="Z4" s="57"/>
      <c r="AA4" s="71" t="s">
        <v>21</v>
      </c>
      <c r="AB4" s="72"/>
      <c r="AC4" s="72"/>
    </row>
    <row r="5" spans="1:29" ht="30" customHeight="1" x14ac:dyDescent="0.25">
      <c r="A5" s="9">
        <v>1</v>
      </c>
      <c r="B5" s="58" t="s">
        <v>48</v>
      </c>
      <c r="C5" s="58"/>
      <c r="D5" s="59"/>
      <c r="E5" s="46" t="s">
        <v>22</v>
      </c>
      <c r="F5" s="24">
        <v>0.5</v>
      </c>
      <c r="G5" s="46" t="s">
        <v>49</v>
      </c>
      <c r="H5" s="33">
        <v>100</v>
      </c>
      <c r="I5" s="24">
        <f>H5-SUM(J5:Q5)</f>
        <v>29.820000000000007</v>
      </c>
      <c r="J5" s="24">
        <v>12.24</v>
      </c>
      <c r="K5" s="24">
        <v>9.32</v>
      </c>
      <c r="L5" s="24">
        <v>2.81</v>
      </c>
      <c r="M5" s="24">
        <v>6</v>
      </c>
      <c r="N5" s="24">
        <v>9.2799999999999994</v>
      </c>
      <c r="O5" s="24">
        <v>8.42</v>
      </c>
      <c r="P5" s="24">
        <v>19.79</v>
      </c>
      <c r="Q5" s="24">
        <v>2.3199999999999998</v>
      </c>
      <c r="R5" s="10"/>
      <c r="S5" s="11">
        <f t="shared" ref="S5:S13" si="0">((H5-(SUM(J5)))/H5)*100</f>
        <v>87.76</v>
      </c>
      <c r="T5" s="11">
        <f t="shared" ref="T5:T13" si="1">((H5-(SUM(J5:K5)))/H5)*100</f>
        <v>78.44</v>
      </c>
      <c r="U5" s="11">
        <f t="shared" ref="U5:U13" si="2">((H5-(SUM(J5:L5)))/H5)*100</f>
        <v>75.63</v>
      </c>
      <c r="V5" s="11">
        <f t="shared" ref="V5:V13" si="3">((H5-(SUM(J5:M5)))/H5)*100</f>
        <v>69.63</v>
      </c>
      <c r="W5" s="11">
        <f t="shared" ref="W5:W13" si="4">((H5-(SUM(J5:N5)))/H5)*100</f>
        <v>60.35</v>
      </c>
      <c r="X5" s="11">
        <f t="shared" ref="X5:X13" si="5">((H5-(SUM(J5:O5)))/H5)*100</f>
        <v>51.93</v>
      </c>
      <c r="Y5" s="11">
        <f t="shared" ref="Y5:Y13" si="6">((H5-(SUM(J5:P5)))/H5)*100</f>
        <v>32.14</v>
      </c>
      <c r="Z5" s="11">
        <f t="shared" ref="Z5:Z13" si="7">((H5-(SUM(J5:Q5)))/H5)*100</f>
        <v>29.820000000000007</v>
      </c>
      <c r="AA5" s="11">
        <f t="shared" ref="AA5:AA13" si="8">100-S5</f>
        <v>12.239999999999995</v>
      </c>
      <c r="AB5" s="11">
        <f t="shared" ref="AB5:AB13" si="9">S5-Z5</f>
        <v>57.94</v>
      </c>
      <c r="AC5" s="11">
        <f t="shared" ref="AC5:AC13" si="10">Z5</f>
        <v>29.820000000000007</v>
      </c>
    </row>
    <row r="6" spans="1:29" ht="30" customHeight="1" x14ac:dyDescent="0.25">
      <c r="A6" s="9">
        <v>2</v>
      </c>
      <c r="B6" s="58"/>
      <c r="C6" s="58"/>
      <c r="D6" s="59"/>
      <c r="E6" s="46" t="s">
        <v>22</v>
      </c>
      <c r="F6" s="24">
        <v>1.5</v>
      </c>
      <c r="G6" s="46" t="s">
        <v>50</v>
      </c>
      <c r="H6" s="55">
        <v>100</v>
      </c>
      <c r="I6" s="24">
        <f t="shared" ref="I6:I13" si="11">H6-SUM(J6:Q6)</f>
        <v>32.790000000000006</v>
      </c>
      <c r="J6" s="24">
        <v>2.33</v>
      </c>
      <c r="K6" s="24">
        <v>6.82</v>
      </c>
      <c r="L6" s="24">
        <v>3.04</v>
      </c>
      <c r="M6" s="56">
        <v>6.57</v>
      </c>
      <c r="N6" s="24">
        <v>11.1</v>
      </c>
      <c r="O6" s="24">
        <v>8.14</v>
      </c>
      <c r="P6" s="24">
        <v>24.66</v>
      </c>
      <c r="Q6" s="56">
        <v>4.55</v>
      </c>
      <c r="R6" s="10"/>
      <c r="S6" s="11">
        <f t="shared" si="0"/>
        <v>97.67</v>
      </c>
      <c r="T6" s="11">
        <f t="shared" si="1"/>
        <v>90.85</v>
      </c>
      <c r="U6" s="11">
        <f t="shared" si="2"/>
        <v>87.81</v>
      </c>
      <c r="V6" s="11">
        <f t="shared" si="3"/>
        <v>81.239999999999995</v>
      </c>
      <c r="W6" s="11">
        <f t="shared" si="4"/>
        <v>70.14</v>
      </c>
      <c r="X6" s="11">
        <f t="shared" si="5"/>
        <v>62</v>
      </c>
      <c r="Y6" s="11">
        <f t="shared" si="6"/>
        <v>37.340000000000003</v>
      </c>
      <c r="Z6" s="11">
        <f t="shared" si="7"/>
        <v>32.790000000000006</v>
      </c>
      <c r="AA6" s="11">
        <f t="shared" si="8"/>
        <v>2.3299999999999983</v>
      </c>
      <c r="AB6" s="11">
        <f t="shared" si="9"/>
        <v>64.88</v>
      </c>
      <c r="AC6" s="11">
        <f t="shared" si="10"/>
        <v>32.790000000000006</v>
      </c>
    </row>
    <row r="7" spans="1:29" ht="30" customHeight="1" x14ac:dyDescent="0.25">
      <c r="A7" s="9">
        <v>3</v>
      </c>
      <c r="B7" s="58"/>
      <c r="C7" s="58"/>
      <c r="D7" s="59"/>
      <c r="E7" s="46" t="s">
        <v>22</v>
      </c>
      <c r="F7" s="24">
        <v>3.5</v>
      </c>
      <c r="G7" s="46" t="s">
        <v>51</v>
      </c>
      <c r="H7" s="55">
        <v>100</v>
      </c>
      <c r="I7" s="24">
        <f t="shared" si="11"/>
        <v>29.590000000000018</v>
      </c>
      <c r="J7" s="24">
        <v>2.1</v>
      </c>
      <c r="K7" s="24">
        <v>6.06</v>
      </c>
      <c r="L7" s="24">
        <v>2.63</v>
      </c>
      <c r="M7" s="24">
        <v>6.42</v>
      </c>
      <c r="N7" s="24">
        <v>10.83</v>
      </c>
      <c r="O7" s="24">
        <v>9.4499999999999993</v>
      </c>
      <c r="P7" s="24">
        <v>26.93</v>
      </c>
      <c r="Q7" s="24">
        <v>5.99</v>
      </c>
      <c r="R7" s="10"/>
      <c r="S7" s="11">
        <f t="shared" si="0"/>
        <v>97.9</v>
      </c>
      <c r="T7" s="11">
        <f t="shared" si="1"/>
        <v>91.84</v>
      </c>
      <c r="U7" s="11">
        <f t="shared" si="2"/>
        <v>89.210000000000008</v>
      </c>
      <c r="V7" s="11">
        <f t="shared" si="3"/>
        <v>82.789999999999992</v>
      </c>
      <c r="W7" s="11">
        <f t="shared" si="4"/>
        <v>71.960000000000008</v>
      </c>
      <c r="X7" s="11">
        <f t="shared" si="5"/>
        <v>62.510000000000012</v>
      </c>
      <c r="Y7" s="11">
        <f t="shared" si="6"/>
        <v>35.580000000000013</v>
      </c>
      <c r="Z7" s="11">
        <f t="shared" si="7"/>
        <v>29.590000000000018</v>
      </c>
      <c r="AA7" s="11">
        <f t="shared" si="8"/>
        <v>2.0999999999999943</v>
      </c>
      <c r="AB7" s="11">
        <f t="shared" si="9"/>
        <v>68.309999999999988</v>
      </c>
      <c r="AC7" s="11">
        <f t="shared" si="10"/>
        <v>29.590000000000018</v>
      </c>
    </row>
    <row r="8" spans="1:29" ht="30" customHeight="1" x14ac:dyDescent="0.25">
      <c r="A8" s="9">
        <v>4</v>
      </c>
      <c r="B8" s="58"/>
      <c r="C8" s="58"/>
      <c r="D8" s="59"/>
      <c r="E8" s="46" t="s">
        <v>22</v>
      </c>
      <c r="F8" s="24">
        <v>4.5</v>
      </c>
      <c r="G8" s="46" t="s">
        <v>52</v>
      </c>
      <c r="H8" s="55">
        <v>100</v>
      </c>
      <c r="I8" s="24">
        <f t="shared" si="11"/>
        <v>35.879999999999995</v>
      </c>
      <c r="J8" s="24">
        <v>3.21</v>
      </c>
      <c r="K8" s="24">
        <v>7.63</v>
      </c>
      <c r="L8" s="24">
        <v>2.5099999999999998</v>
      </c>
      <c r="M8" s="24">
        <v>5.42</v>
      </c>
      <c r="N8" s="24">
        <v>9.3699999999999992</v>
      </c>
      <c r="O8" s="24">
        <v>8.0399999999999991</v>
      </c>
      <c r="P8" s="24">
        <v>22.78</v>
      </c>
      <c r="Q8" s="24">
        <v>5.16</v>
      </c>
      <c r="R8" s="10"/>
      <c r="S8" s="11">
        <f t="shared" si="0"/>
        <v>96.79</v>
      </c>
      <c r="T8" s="11">
        <f t="shared" si="1"/>
        <v>89.16</v>
      </c>
      <c r="U8" s="11">
        <f t="shared" si="2"/>
        <v>86.65</v>
      </c>
      <c r="V8" s="11">
        <f t="shared" si="3"/>
        <v>81.23</v>
      </c>
      <c r="W8" s="11">
        <f t="shared" si="4"/>
        <v>71.86</v>
      </c>
      <c r="X8" s="11">
        <f t="shared" si="5"/>
        <v>63.82</v>
      </c>
      <c r="Y8" s="11">
        <f t="shared" si="6"/>
        <v>41.04</v>
      </c>
      <c r="Z8" s="11">
        <f t="shared" si="7"/>
        <v>35.879999999999995</v>
      </c>
      <c r="AA8" s="11">
        <f t="shared" si="8"/>
        <v>3.2099999999999937</v>
      </c>
      <c r="AB8" s="11">
        <f t="shared" si="9"/>
        <v>60.910000000000011</v>
      </c>
      <c r="AC8" s="11">
        <f t="shared" si="10"/>
        <v>35.879999999999995</v>
      </c>
    </row>
    <row r="9" spans="1:29" ht="30" customHeight="1" x14ac:dyDescent="0.25">
      <c r="A9" s="9">
        <v>5</v>
      </c>
      <c r="B9" s="58"/>
      <c r="C9" s="58"/>
      <c r="D9" s="59"/>
      <c r="E9" s="46" t="s">
        <v>22</v>
      </c>
      <c r="F9" s="24">
        <v>6.5</v>
      </c>
      <c r="G9" s="46" t="s">
        <v>53</v>
      </c>
      <c r="H9" s="55">
        <v>100</v>
      </c>
      <c r="I9" s="24">
        <f t="shared" si="11"/>
        <v>10.920000000000002</v>
      </c>
      <c r="J9" s="24">
        <v>7.19</v>
      </c>
      <c r="K9" s="24">
        <v>21.01</v>
      </c>
      <c r="L9" s="24">
        <v>9.33</v>
      </c>
      <c r="M9" s="24">
        <v>15.16</v>
      </c>
      <c r="N9" s="24">
        <v>14.05</v>
      </c>
      <c r="O9" s="24">
        <v>8.1999999999999993</v>
      </c>
      <c r="P9" s="24">
        <v>12.78</v>
      </c>
      <c r="Q9" s="24">
        <v>1.36</v>
      </c>
      <c r="R9" s="10"/>
      <c r="S9" s="11">
        <f t="shared" si="0"/>
        <v>92.81</v>
      </c>
      <c r="T9" s="11">
        <f t="shared" si="1"/>
        <v>71.8</v>
      </c>
      <c r="U9" s="11">
        <f t="shared" si="2"/>
        <v>62.470000000000006</v>
      </c>
      <c r="V9" s="11">
        <f t="shared" si="3"/>
        <v>47.31</v>
      </c>
      <c r="W9" s="11">
        <f t="shared" si="4"/>
        <v>33.260000000000005</v>
      </c>
      <c r="X9" s="11">
        <f>((H9-(SUM(J9:O9)))/H9)*100</f>
        <v>25.060000000000006</v>
      </c>
      <c r="Y9" s="11">
        <f t="shared" si="6"/>
        <v>12.280000000000001</v>
      </c>
      <c r="Z9" s="11">
        <f t="shared" si="7"/>
        <v>10.920000000000002</v>
      </c>
      <c r="AA9" s="11">
        <f t="shared" si="8"/>
        <v>7.1899999999999977</v>
      </c>
      <c r="AB9" s="11">
        <f t="shared" si="9"/>
        <v>81.89</v>
      </c>
      <c r="AC9" s="11">
        <f t="shared" si="10"/>
        <v>10.920000000000002</v>
      </c>
    </row>
    <row r="10" spans="1:29" s="34" customFormat="1" ht="30" customHeight="1" x14ac:dyDescent="0.25">
      <c r="A10" s="42">
        <v>6</v>
      </c>
      <c r="B10" s="58"/>
      <c r="C10" s="58"/>
      <c r="D10" s="59"/>
      <c r="E10" s="46" t="s">
        <v>22</v>
      </c>
      <c r="F10" s="43">
        <v>7.5</v>
      </c>
      <c r="G10" s="47" t="s">
        <v>54</v>
      </c>
      <c r="H10" s="55">
        <v>100</v>
      </c>
      <c r="I10" s="24">
        <f t="shared" si="11"/>
        <v>25.290000000000006</v>
      </c>
      <c r="J10" s="43">
        <v>0.39</v>
      </c>
      <c r="K10" s="43">
        <v>3.43</v>
      </c>
      <c r="L10" s="43">
        <v>3.63</v>
      </c>
      <c r="M10" s="43">
        <v>28.19</v>
      </c>
      <c r="N10" s="43">
        <v>22.07</v>
      </c>
      <c r="O10" s="43">
        <v>6.33</v>
      </c>
      <c r="P10" s="43">
        <v>9.7100000000000009</v>
      </c>
      <c r="Q10" s="43">
        <v>0.96</v>
      </c>
      <c r="R10" s="44"/>
      <c r="S10" s="45">
        <f t="shared" si="0"/>
        <v>99.61</v>
      </c>
      <c r="T10" s="45">
        <f t="shared" si="1"/>
        <v>96.18</v>
      </c>
      <c r="U10" s="45">
        <f t="shared" si="2"/>
        <v>92.55</v>
      </c>
      <c r="V10" s="45">
        <f t="shared" si="3"/>
        <v>64.36</v>
      </c>
      <c r="W10" s="45">
        <f t="shared" si="4"/>
        <v>42.29</v>
      </c>
      <c r="X10" s="45">
        <f t="shared" si="5"/>
        <v>35.959999999999994</v>
      </c>
      <c r="Y10" s="45">
        <f t="shared" si="6"/>
        <v>26.25</v>
      </c>
      <c r="Z10" s="45">
        <f t="shared" si="7"/>
        <v>25.290000000000006</v>
      </c>
      <c r="AA10" s="45">
        <f t="shared" si="8"/>
        <v>0.39000000000000057</v>
      </c>
      <c r="AB10" s="45">
        <f t="shared" si="9"/>
        <v>74.319999999999993</v>
      </c>
      <c r="AC10" s="45">
        <f t="shared" si="10"/>
        <v>25.290000000000006</v>
      </c>
    </row>
    <row r="11" spans="1:29" ht="30" customHeight="1" x14ac:dyDescent="0.25">
      <c r="A11" s="9">
        <v>7</v>
      </c>
      <c r="B11" s="58"/>
      <c r="C11" s="58"/>
      <c r="D11" s="59"/>
      <c r="E11" s="46" t="s">
        <v>22</v>
      </c>
      <c r="F11" s="24">
        <v>10.5</v>
      </c>
      <c r="G11" s="46" t="s">
        <v>49</v>
      </c>
      <c r="H11" s="55">
        <v>100</v>
      </c>
      <c r="I11" s="24">
        <f t="shared" si="11"/>
        <v>31.97999999999999</v>
      </c>
      <c r="J11" s="24">
        <v>3.38</v>
      </c>
      <c r="K11" s="24">
        <v>6.33</v>
      </c>
      <c r="L11" s="24">
        <v>2.2000000000000002</v>
      </c>
      <c r="M11" s="24">
        <v>5.93</v>
      </c>
      <c r="N11" s="24">
        <v>9.6199999999999992</v>
      </c>
      <c r="O11" s="24">
        <v>8.66</v>
      </c>
      <c r="P11" s="24">
        <v>25.28</v>
      </c>
      <c r="Q11" s="24">
        <v>6.62</v>
      </c>
      <c r="R11" s="10"/>
      <c r="S11" s="11">
        <f t="shared" si="0"/>
        <v>96.62</v>
      </c>
      <c r="T11" s="11">
        <f t="shared" si="1"/>
        <v>90.289999999999992</v>
      </c>
      <c r="U11" s="11">
        <f t="shared" si="2"/>
        <v>88.09</v>
      </c>
      <c r="V11" s="11">
        <f t="shared" si="3"/>
        <v>82.16</v>
      </c>
      <c r="W11" s="11">
        <f t="shared" si="4"/>
        <v>72.539999999999992</v>
      </c>
      <c r="X11" s="11">
        <f t="shared" si="5"/>
        <v>63.879999999999995</v>
      </c>
      <c r="Y11" s="11">
        <f t="shared" si="6"/>
        <v>38.599999999999994</v>
      </c>
      <c r="Z11" s="11">
        <f t="shared" si="7"/>
        <v>31.979999999999993</v>
      </c>
      <c r="AA11" s="11">
        <f t="shared" si="8"/>
        <v>3.3799999999999955</v>
      </c>
      <c r="AB11" s="11">
        <f t="shared" si="9"/>
        <v>64.640000000000015</v>
      </c>
      <c r="AC11" s="11">
        <f t="shared" si="10"/>
        <v>31.979999999999993</v>
      </c>
    </row>
    <row r="12" spans="1:29" ht="30" customHeight="1" x14ac:dyDescent="0.25">
      <c r="A12" s="9">
        <v>8</v>
      </c>
      <c r="B12" s="58"/>
      <c r="C12" s="58"/>
      <c r="D12" s="59"/>
      <c r="E12" s="46" t="s">
        <v>22</v>
      </c>
      <c r="F12" s="24">
        <v>13.5</v>
      </c>
      <c r="G12" s="46" t="s">
        <v>55</v>
      </c>
      <c r="H12" s="55">
        <v>100</v>
      </c>
      <c r="I12" s="24">
        <f t="shared" si="11"/>
        <v>16.810000000000002</v>
      </c>
      <c r="J12" s="24">
        <v>0</v>
      </c>
      <c r="K12" s="24">
        <v>6.01</v>
      </c>
      <c r="L12" s="24">
        <v>5.2</v>
      </c>
      <c r="M12" s="24">
        <v>13.67</v>
      </c>
      <c r="N12" s="24">
        <v>19.73</v>
      </c>
      <c r="O12" s="24">
        <v>13.05</v>
      </c>
      <c r="P12" s="24">
        <v>22.63</v>
      </c>
      <c r="Q12" s="24">
        <v>2.9</v>
      </c>
      <c r="R12" s="10"/>
      <c r="S12" s="11">
        <f t="shared" si="0"/>
        <v>100</v>
      </c>
      <c r="T12" s="11">
        <f t="shared" si="1"/>
        <v>93.99</v>
      </c>
      <c r="U12" s="11">
        <f t="shared" si="2"/>
        <v>88.789999999999992</v>
      </c>
      <c r="V12" s="11">
        <f t="shared" si="3"/>
        <v>75.12</v>
      </c>
      <c r="W12" s="11">
        <f t="shared" si="4"/>
        <v>55.390000000000008</v>
      </c>
      <c r="X12" s="11">
        <f t="shared" si="5"/>
        <v>42.34</v>
      </c>
      <c r="Y12" s="11">
        <f t="shared" si="6"/>
        <v>19.710000000000008</v>
      </c>
      <c r="Z12" s="11">
        <f t="shared" si="7"/>
        <v>16.810000000000002</v>
      </c>
      <c r="AA12" s="11">
        <f t="shared" si="8"/>
        <v>0</v>
      </c>
      <c r="AB12" s="11">
        <f t="shared" si="9"/>
        <v>83.19</v>
      </c>
      <c r="AC12" s="11">
        <f t="shared" si="10"/>
        <v>16.810000000000002</v>
      </c>
    </row>
    <row r="13" spans="1:29" ht="30" customHeight="1" x14ac:dyDescent="0.25">
      <c r="A13" s="9">
        <v>9</v>
      </c>
      <c r="B13" s="58"/>
      <c r="C13" s="58"/>
      <c r="D13" s="59"/>
      <c r="E13" s="46" t="s">
        <v>22</v>
      </c>
      <c r="F13" s="24">
        <v>15</v>
      </c>
      <c r="G13" s="46" t="s">
        <v>56</v>
      </c>
      <c r="H13" s="55">
        <v>100</v>
      </c>
      <c r="I13" s="24">
        <f t="shared" si="11"/>
        <v>15.099999999999994</v>
      </c>
      <c r="J13" s="24">
        <v>4.82</v>
      </c>
      <c r="K13" s="24">
        <v>15.59</v>
      </c>
      <c r="L13" s="24">
        <v>7.21</v>
      </c>
      <c r="M13" s="24">
        <v>13.57</v>
      </c>
      <c r="N13" s="24">
        <v>17.420000000000002</v>
      </c>
      <c r="O13" s="24">
        <v>9.09</v>
      </c>
      <c r="P13" s="24">
        <v>15.78</v>
      </c>
      <c r="Q13" s="24">
        <v>1.42</v>
      </c>
      <c r="R13" s="10"/>
      <c r="S13" s="11">
        <f t="shared" si="0"/>
        <v>95.18</v>
      </c>
      <c r="T13" s="11">
        <f t="shared" si="1"/>
        <v>79.59</v>
      </c>
      <c r="U13" s="11">
        <f t="shared" si="2"/>
        <v>72.38</v>
      </c>
      <c r="V13" s="11">
        <f t="shared" si="3"/>
        <v>58.810000000000009</v>
      </c>
      <c r="W13" s="11">
        <f t="shared" si="4"/>
        <v>41.39</v>
      </c>
      <c r="X13" s="11">
        <f t="shared" si="5"/>
        <v>32.299999999999997</v>
      </c>
      <c r="Y13" s="11">
        <f t="shared" si="6"/>
        <v>16.519999999999996</v>
      </c>
      <c r="Z13" s="11">
        <f t="shared" si="7"/>
        <v>15.099999999999994</v>
      </c>
      <c r="AA13" s="11">
        <f t="shared" si="8"/>
        <v>4.8199999999999932</v>
      </c>
      <c r="AB13" s="11">
        <f t="shared" si="9"/>
        <v>80.080000000000013</v>
      </c>
      <c r="AC13" s="11">
        <f t="shared" si="10"/>
        <v>15.099999999999994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H17" sqref="H17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1" t="s">
        <v>4</v>
      </c>
      <c r="B1" s="84" t="s">
        <v>5</v>
      </c>
      <c r="C1" s="84" t="s">
        <v>9</v>
      </c>
      <c r="D1" s="81" t="s">
        <v>8</v>
      </c>
      <c r="E1" s="81" t="s">
        <v>23</v>
      </c>
      <c r="F1" s="81" t="s">
        <v>40</v>
      </c>
      <c r="G1" s="81" t="s">
        <v>24</v>
      </c>
      <c r="H1" s="81" t="s">
        <v>25</v>
      </c>
      <c r="I1" s="77" t="s">
        <v>34</v>
      </c>
      <c r="J1" s="81" t="s">
        <v>35</v>
      </c>
      <c r="K1" s="81" t="s">
        <v>26</v>
      </c>
      <c r="L1" s="81" t="s">
        <v>27</v>
      </c>
      <c r="M1" s="79" t="s">
        <v>28</v>
      </c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29</v>
      </c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 t="s">
        <v>30</v>
      </c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22"/>
      <c r="BA1" s="22"/>
    </row>
    <row r="2" spans="1:53" x14ac:dyDescent="0.25">
      <c r="A2" s="82"/>
      <c r="B2" s="85"/>
      <c r="C2" s="85"/>
      <c r="D2" s="82"/>
      <c r="E2" s="82"/>
      <c r="F2" s="82"/>
      <c r="G2" s="82"/>
      <c r="H2" s="82"/>
      <c r="I2" s="77"/>
      <c r="J2" s="82"/>
      <c r="K2" s="82"/>
      <c r="L2" s="82"/>
      <c r="M2" s="78">
        <v>0.5</v>
      </c>
      <c r="N2" s="73">
        <v>1</v>
      </c>
      <c r="O2" s="73">
        <v>2</v>
      </c>
      <c r="P2" s="73">
        <v>4</v>
      </c>
      <c r="Q2" s="73">
        <v>8</v>
      </c>
      <c r="R2" s="73">
        <v>15</v>
      </c>
      <c r="S2" s="73">
        <v>30</v>
      </c>
      <c r="T2" s="73">
        <v>60</v>
      </c>
      <c r="U2" s="73">
        <v>120</v>
      </c>
      <c r="V2" s="73">
        <v>240</v>
      </c>
      <c r="W2" s="73">
        <v>480</v>
      </c>
      <c r="X2" s="73">
        <v>960</v>
      </c>
      <c r="Y2" s="73">
        <v>1440</v>
      </c>
      <c r="Z2" s="78">
        <v>0.5</v>
      </c>
      <c r="AA2" s="73">
        <v>1</v>
      </c>
      <c r="AB2" s="73">
        <v>2</v>
      </c>
      <c r="AC2" s="73">
        <v>4</v>
      </c>
      <c r="AD2" s="73">
        <v>8</v>
      </c>
      <c r="AE2" s="73">
        <v>15</v>
      </c>
      <c r="AF2" s="73">
        <v>30</v>
      </c>
      <c r="AG2" s="73">
        <v>60</v>
      </c>
      <c r="AH2" s="73">
        <v>120</v>
      </c>
      <c r="AI2" s="73">
        <v>240</v>
      </c>
      <c r="AJ2" s="73">
        <v>480</v>
      </c>
      <c r="AK2" s="73">
        <v>960</v>
      </c>
      <c r="AL2" s="73">
        <v>1440</v>
      </c>
      <c r="AM2" s="78">
        <v>0.5</v>
      </c>
      <c r="AN2" s="73">
        <v>1</v>
      </c>
      <c r="AO2" s="73">
        <v>2</v>
      </c>
      <c r="AP2" s="73">
        <v>4</v>
      </c>
      <c r="AQ2" s="73">
        <v>8</v>
      </c>
      <c r="AR2" s="73">
        <v>15</v>
      </c>
      <c r="AS2" s="73">
        <v>30</v>
      </c>
      <c r="AT2" s="73">
        <v>60</v>
      </c>
      <c r="AU2" s="73">
        <v>120</v>
      </c>
      <c r="AV2" s="73">
        <v>240</v>
      </c>
      <c r="AW2" s="73">
        <v>480</v>
      </c>
      <c r="AX2" s="73">
        <v>960</v>
      </c>
      <c r="AY2" s="73">
        <v>1440</v>
      </c>
      <c r="AZ2" s="22"/>
      <c r="BA2" s="22"/>
    </row>
    <row r="3" spans="1:53" x14ac:dyDescent="0.25">
      <c r="A3" s="82"/>
      <c r="B3" s="85"/>
      <c r="C3" s="85"/>
      <c r="D3" s="83"/>
      <c r="E3" s="83"/>
      <c r="F3" s="83"/>
      <c r="G3" s="83"/>
      <c r="H3" s="83"/>
      <c r="I3" s="77"/>
      <c r="J3" s="83"/>
      <c r="K3" s="83"/>
      <c r="L3" s="83"/>
      <c r="M3" s="78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8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8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2"/>
      <c r="BA3" s="22"/>
    </row>
    <row r="4" spans="1:53" x14ac:dyDescent="0.25">
      <c r="A4" s="83"/>
      <c r="B4" s="86"/>
      <c r="C4" s="86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4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6"/>
      <c r="Z4" s="74" t="s">
        <v>32</v>
      </c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6"/>
      <c r="AM4" s="77" t="s">
        <v>33</v>
      </c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20"/>
      <c r="BA4" s="20"/>
    </row>
    <row r="5" spans="1:53" x14ac:dyDescent="0.25">
      <c r="A5" s="27">
        <v>1</v>
      </c>
      <c r="B5" s="27" t="str">
        <f>GSD!B5</f>
        <v>CBH-16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CBH-16</v>
      </c>
      <c r="C6" s="32">
        <f>GSD!F6</f>
        <v>1.5</v>
      </c>
      <c r="D6" s="27" t="str">
        <f>GSD!E6</f>
        <v>SPT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CBH-16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CBH-16</v>
      </c>
      <c r="C8" s="32">
        <f>GSD!F8</f>
        <v>4.5</v>
      </c>
      <c r="D8" s="27" t="str">
        <f>GSD!E8</f>
        <v>SPT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CBH-16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CBH-16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CBH-16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CBH-16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CBH-16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E18" sqref="E18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CBH-16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87.76</v>
      </c>
      <c r="Z3" s="52">
        <f>GSD!T5</f>
        <v>78.44</v>
      </c>
      <c r="AA3" s="52">
        <f>GSD!U5</f>
        <v>75.63</v>
      </c>
      <c r="AB3" s="52">
        <f>GSD!V5</f>
        <v>69.63</v>
      </c>
      <c r="AC3" s="52">
        <f>GSD!W5</f>
        <v>60.35</v>
      </c>
      <c r="AD3" s="52">
        <f>GSD!X5</f>
        <v>51.93</v>
      </c>
      <c r="AE3" s="52">
        <f>GSD!Y5</f>
        <v>32.14</v>
      </c>
      <c r="AF3" s="52">
        <f>GSD!Z5</f>
        <v>29.820000000000007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CBH-16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97.67</v>
      </c>
      <c r="Z4" s="52">
        <f>GSD!T6</f>
        <v>90.85</v>
      </c>
      <c r="AA4" s="52">
        <f>GSD!U6</f>
        <v>87.81</v>
      </c>
      <c r="AB4" s="52">
        <f>GSD!V6</f>
        <v>81.239999999999995</v>
      </c>
      <c r="AC4" s="52">
        <f>GSD!W6</f>
        <v>70.14</v>
      </c>
      <c r="AD4" s="52">
        <f>GSD!X6</f>
        <v>62</v>
      </c>
      <c r="AE4" s="52">
        <f>GSD!Y6</f>
        <v>37.340000000000003</v>
      </c>
      <c r="AF4" s="52">
        <f>GSD!Z6</f>
        <v>32.790000000000006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11" si="0">B4</f>
        <v>CBH-16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97.9</v>
      </c>
      <c r="Z5" s="52">
        <f>GSD!T7</f>
        <v>91.84</v>
      </c>
      <c r="AA5" s="52">
        <f>GSD!U7</f>
        <v>89.210000000000008</v>
      </c>
      <c r="AB5" s="52">
        <f>GSD!V7</f>
        <v>82.789999999999992</v>
      </c>
      <c r="AC5" s="52">
        <f>GSD!W7</f>
        <v>71.960000000000008</v>
      </c>
      <c r="AD5" s="52">
        <f>GSD!X7</f>
        <v>62.510000000000012</v>
      </c>
      <c r="AE5" s="52">
        <f>GSD!Y7</f>
        <v>35.580000000000013</v>
      </c>
      <c r="AF5" s="52">
        <f>GSD!Z7</f>
        <v>29.590000000000018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CBH-16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96.79</v>
      </c>
      <c r="Z6" s="52">
        <f>GSD!T8</f>
        <v>89.16</v>
      </c>
      <c r="AA6" s="52">
        <f>GSD!U8</f>
        <v>86.65</v>
      </c>
      <c r="AB6" s="52">
        <f>GSD!V8</f>
        <v>81.23</v>
      </c>
      <c r="AC6" s="52">
        <f>GSD!W8</f>
        <v>71.86</v>
      </c>
      <c r="AD6" s="52">
        <f>GSD!X8</f>
        <v>63.82</v>
      </c>
      <c r="AE6" s="52">
        <f>GSD!Y8</f>
        <v>41.04</v>
      </c>
      <c r="AF6" s="52">
        <f>GSD!Z8</f>
        <v>35.879999999999995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CBH-16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92.81</v>
      </c>
      <c r="Z7" s="52">
        <f>GSD!T9</f>
        <v>71.8</v>
      </c>
      <c r="AA7" s="52">
        <f>GSD!U9</f>
        <v>62.470000000000006</v>
      </c>
      <c r="AB7" s="52">
        <f>GSD!V9</f>
        <v>47.31</v>
      </c>
      <c r="AC7" s="52">
        <f>GSD!W9</f>
        <v>33.260000000000005</v>
      </c>
      <c r="AD7" s="52">
        <f>GSD!X9</f>
        <v>25.060000000000006</v>
      </c>
      <c r="AE7" s="52">
        <f>GSD!Y9</f>
        <v>12.280000000000001</v>
      </c>
      <c r="AF7" s="52">
        <f>GSD!Z9</f>
        <v>10.920000000000002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CBH-16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99.61</v>
      </c>
      <c r="Z8" s="52">
        <f>GSD!T10</f>
        <v>96.18</v>
      </c>
      <c r="AA8" s="52">
        <f>GSD!U10</f>
        <v>92.55</v>
      </c>
      <c r="AB8" s="52">
        <f>GSD!V10</f>
        <v>64.36</v>
      </c>
      <c r="AC8" s="52">
        <f>GSD!W10</f>
        <v>42.29</v>
      </c>
      <c r="AD8" s="52">
        <f>GSD!X10</f>
        <v>35.959999999999994</v>
      </c>
      <c r="AE8" s="52">
        <f>GSD!Y10</f>
        <v>26.25</v>
      </c>
      <c r="AF8" s="52">
        <f>GSD!Z10</f>
        <v>25.290000000000006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CBH-16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96.62</v>
      </c>
      <c r="Z9" s="52">
        <f>GSD!T11</f>
        <v>90.289999999999992</v>
      </c>
      <c r="AA9" s="52">
        <f>GSD!U11</f>
        <v>88.09</v>
      </c>
      <c r="AB9" s="52">
        <f>GSD!V11</f>
        <v>82.16</v>
      </c>
      <c r="AC9" s="52">
        <f>GSD!W11</f>
        <v>72.539999999999992</v>
      </c>
      <c r="AD9" s="52">
        <f>GSD!X11</f>
        <v>63.879999999999995</v>
      </c>
      <c r="AE9" s="52">
        <f>GSD!Y11</f>
        <v>38.599999999999994</v>
      </c>
      <c r="AF9" s="52">
        <f>GSD!Z11</f>
        <v>31.979999999999993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>
        <v>8</v>
      </c>
      <c r="B10" s="48" t="str">
        <f t="shared" si="0"/>
        <v>CBH-16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100</v>
      </c>
      <c r="Z10" s="52">
        <f>GSD!T12</f>
        <v>93.99</v>
      </c>
      <c r="AA10" s="52">
        <f>GSD!U12</f>
        <v>88.789999999999992</v>
      </c>
      <c r="AB10" s="52">
        <f>GSD!V12</f>
        <v>75.12</v>
      </c>
      <c r="AC10" s="52">
        <f>GSD!W12</f>
        <v>55.390000000000008</v>
      </c>
      <c r="AD10" s="52">
        <f>GSD!X12</f>
        <v>42.34</v>
      </c>
      <c r="AE10" s="52">
        <f>GSD!Y12</f>
        <v>19.710000000000008</v>
      </c>
      <c r="AF10" s="52">
        <f>GSD!Z12</f>
        <v>16.810000000000002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/>
      <c r="AU10" s="54"/>
      <c r="AV10" s="54"/>
      <c r="AW10" s="54"/>
    </row>
    <row r="11" spans="1:49" s="41" customFormat="1" x14ac:dyDescent="0.25">
      <c r="A11" s="48">
        <v>9</v>
      </c>
      <c r="B11" s="48" t="str">
        <f t="shared" si="0"/>
        <v>CBH-16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95.18</v>
      </c>
      <c r="Z11" s="52">
        <f>GSD!T13</f>
        <v>79.59</v>
      </c>
      <c r="AA11" s="52">
        <f>GSD!U13</f>
        <v>72.38</v>
      </c>
      <c r="AB11" s="52">
        <f>GSD!V13</f>
        <v>58.810000000000009</v>
      </c>
      <c r="AC11" s="52">
        <f>GSD!W13</f>
        <v>41.39</v>
      </c>
      <c r="AD11" s="52">
        <f>GSD!X13</f>
        <v>32.299999999999997</v>
      </c>
      <c r="AE11" s="52">
        <f>GSD!Y13</f>
        <v>16.519999999999996</v>
      </c>
      <c r="AF11" s="52">
        <f>GSD!Z13</f>
        <v>15.099999999999994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2026-09-18T09:17:32Z</dcterms:modified>
</cp:coreProperties>
</file>