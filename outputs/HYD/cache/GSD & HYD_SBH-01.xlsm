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16. SH-783_207.184km (SBH-01 &amp; SBH-02)\GSD &amp; HYD_TEST\GSD &amp; HYD_SBH-01\"/>
    </mc:Choice>
  </mc:AlternateContent>
  <xr:revisionPtr revIDLastSave="0" documentId="13_ncr:1_{50097C43-E121-4C8B-919E-8FD685091748}" xr6:coauthVersionLast="47" xr6:coauthVersionMax="47" xr10:uidLastSave="{00000000-0000-0000-0000-000000000000}"/>
  <bookViews>
    <workbookView xWindow="28680" yWindow="-120" windowWidth="29040" windowHeight="15720" activeTab="1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8" l="1"/>
  <c r="C10" i="8"/>
  <c r="D10" i="8"/>
  <c r="F10" i="8"/>
  <c r="K10" i="8"/>
  <c r="B11" i="8"/>
  <c r="C11" i="8"/>
  <c r="D11" i="8"/>
  <c r="F11" i="8"/>
  <c r="K11" i="8"/>
  <c r="I10" i="7"/>
  <c r="Q10" i="7"/>
  <c r="X10" i="7" s="1"/>
  <c r="R10" i="7"/>
  <c r="S10" i="7"/>
  <c r="T10" i="7"/>
  <c r="U10" i="7"/>
  <c r="V10" i="7"/>
  <c r="Y10" i="7" s="1"/>
  <c r="W10" i="7"/>
  <c r="I11" i="7"/>
  <c r="Q11" i="7"/>
  <c r="R11" i="7"/>
  <c r="S11" i="7"/>
  <c r="T11" i="7"/>
  <c r="U11" i="7"/>
  <c r="V11" i="7"/>
  <c r="Y11" i="7"/>
  <c r="C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W22" i="6"/>
  <c r="X22" i="6"/>
  <c r="Y22" i="6"/>
  <c r="Z22" i="6"/>
  <c r="AA22" i="6"/>
  <c r="X23" i="6"/>
  <c r="Y23" i="6"/>
  <c r="Z23" i="6"/>
  <c r="AA23" i="6"/>
  <c r="AB23" i="6"/>
  <c r="I9" i="7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5" i="8"/>
  <c r="C6" i="8"/>
  <c r="C7" i="8"/>
  <c r="C8" i="8"/>
  <c r="C9" i="8"/>
  <c r="C5" i="8"/>
  <c r="B5" i="8"/>
  <c r="B6" i="8" s="1"/>
  <c r="B7" i="8" s="1"/>
  <c r="B8" i="8" s="1"/>
  <c r="B9" i="8" s="1"/>
  <c r="X11" i="7" l="1"/>
  <c r="W11" i="7"/>
  <c r="AB22" i="6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AA10" i="6"/>
  <c r="Z10" i="6"/>
  <c r="Y10" i="6"/>
  <c r="X10" i="6"/>
  <c r="AA9" i="6"/>
  <c r="Z9" i="6"/>
  <c r="Y9" i="6"/>
  <c r="X9" i="6"/>
  <c r="AA8" i="6"/>
  <c r="Z8" i="6"/>
  <c r="Y8" i="6"/>
  <c r="X8" i="6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9" i="6"/>
  <c r="W11" i="6"/>
  <c r="W14" i="6"/>
  <c r="W10" i="6"/>
  <c r="W4" i="6"/>
  <c r="W6" i="7"/>
  <c r="X6" i="7"/>
  <c r="W12" i="6"/>
  <c r="W5" i="6"/>
  <c r="X7" i="7"/>
  <c r="W7" i="7"/>
  <c r="W13" i="6"/>
  <c r="Y6" i="7"/>
  <c r="AB4" i="6"/>
  <c r="AB5" i="6"/>
  <c r="Y7" i="7"/>
  <c r="Y8" i="7"/>
  <c r="AB6" i="6"/>
  <c r="AB7" i="6"/>
  <c r="Y9" i="7"/>
  <c r="AB8" i="6"/>
  <c r="AB9" i="6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<sst xmlns="http://schemas.openxmlformats.org/spreadsheetml/2006/main" count="71" uniqueCount="49">
  <si>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</si>
  <si>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</si>
  <si>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</si>
  <si>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</si>
  <si>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</si>
  <si>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</si>
  <si>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</si>
  <si>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</si>
  <si>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</si>
  <si>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</si>
  <si>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</si>
  <si>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</si>
  <si>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</si>
  <si>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</si>
  <si>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</si>
  <si>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</si>
  <si>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</si>
  <si>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</si>
  <si>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</si>
  <si>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</si>
  <si>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</si>
  <si>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</si>
  <si>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</si>
  <si>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</si>
  <si>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</si>
  <si>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</si>
  <si>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</si>
  <si>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</si>
  <si>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</si>
  <si>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</si>
  <si>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</si>
  <si>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</si>
  <si>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</si>
  <si>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</si>
  <si>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</si>
  <si>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</si>
  <si>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</si>
  <si>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</si>
  <si>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</si>
  <si>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</si>
  <si>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</si>
  <si>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</si>
  <si>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</si>
  <si>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</si>
  <si>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</si>
  <si>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</si>
  <si>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</si>
  <si>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</si>
  <si>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SBH-01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</si>
</sst>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5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99.92</c:v>
                </c:pt>
                <c:pt idx="1">
                  <c:v>99.51</c:v>
                </c:pt>
                <c:pt idx="2">
                  <c:v>39.89</c:v>
                </c:pt>
                <c:pt idx="3">
                  <c:v>21.740000000000009</c:v>
                </c:pt>
                <c:pt idx="4">
                  <c:v>20.710000000000008</c:v>
                </c:pt>
                <c:pt idx="5">
                  <c:v>18.610000000000014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80.88</c:v>
                </c:pt>
                <c:pt idx="1">
                  <c:v>67.900000000000006</c:v>
                </c:pt>
                <c:pt idx="2">
                  <c:v>19.579999999999998</c:v>
                </c:pt>
                <c:pt idx="3">
                  <c:v>17.269999999999996</c:v>
                </c:pt>
                <c:pt idx="4">
                  <c:v>16.989999999999995</c:v>
                </c:pt>
                <c:pt idx="5">
                  <c:v>16.239999999999995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88.45</c:v>
                </c:pt>
                <c:pt idx="1">
                  <c:v>80.63</c:v>
                </c:pt>
                <c:pt idx="2">
                  <c:v>64.27</c:v>
                </c:pt>
                <c:pt idx="3">
                  <c:v>48.23</c:v>
                </c:pt>
                <c:pt idx="4">
                  <c:v>45.26</c:v>
                </c:pt>
                <c:pt idx="5">
                  <c:v>36.869999999999997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99.17</c:v>
                </c:pt>
                <c:pt idx="1">
                  <c:v>96.01</c:v>
                </c:pt>
                <c:pt idx="2">
                  <c:v>90.94</c:v>
                </c:pt>
                <c:pt idx="3">
                  <c:v>88.87</c:v>
                </c:pt>
                <c:pt idx="4">
                  <c:v>88.52</c:v>
                </c:pt>
                <c:pt idx="5">
                  <c:v>87.02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99.54</c:v>
                </c:pt>
                <c:pt idx="1">
                  <c:v>96.83</c:v>
                </c:pt>
                <c:pt idx="2">
                  <c:v>91</c:v>
                </c:pt>
                <c:pt idx="3">
                  <c:v>88.7</c:v>
                </c:pt>
                <c:pt idx="4">
                  <c:v>88.289999999999992</c:v>
                </c:pt>
                <c:pt idx="5">
                  <c:v>87.31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99.92</c:v>
                </c:pt>
                <c:pt idx="1">
                  <c:v>99.51</c:v>
                </c:pt>
                <c:pt idx="2">
                  <c:v>39.89</c:v>
                </c:pt>
                <c:pt idx="3">
                  <c:v>21.740000000000009</c:v>
                </c:pt>
                <c:pt idx="4">
                  <c:v>20.710000000000008</c:v>
                </c:pt>
                <c:pt idx="5">
                  <c:v>18.610000000000014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80.88</c:v>
                </c:pt>
                <c:pt idx="1">
                  <c:v>67.900000000000006</c:v>
                </c:pt>
                <c:pt idx="2">
                  <c:v>19.579999999999998</c:v>
                </c:pt>
                <c:pt idx="3">
                  <c:v>17.269999999999996</c:v>
                </c:pt>
                <c:pt idx="4">
                  <c:v>16.989999999999995</c:v>
                </c:pt>
                <c:pt idx="5">
                  <c:v>16.239999999999995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88.45</c:v>
                </c:pt>
                <c:pt idx="1">
                  <c:v>80.63</c:v>
                </c:pt>
                <c:pt idx="2">
                  <c:v>64.27</c:v>
                </c:pt>
                <c:pt idx="3">
                  <c:v>48.23</c:v>
                </c:pt>
                <c:pt idx="4">
                  <c:v>45.26</c:v>
                </c:pt>
                <c:pt idx="5">
                  <c:v>36.869999999999997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5.00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99.17</c:v>
                </c:pt>
                <c:pt idx="1">
                  <c:v>96.01</c:v>
                </c:pt>
                <c:pt idx="2">
                  <c:v>90.94</c:v>
                </c:pt>
                <c:pt idx="3">
                  <c:v>88.87</c:v>
                </c:pt>
                <c:pt idx="4">
                  <c:v>88.52</c:v>
                </c:pt>
                <c:pt idx="5">
                  <c:v>87.02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99.54</c:v>
                </c:pt>
                <c:pt idx="1">
                  <c:v>96.83</c:v>
                </c:pt>
                <c:pt idx="2">
                  <c:v>91</c:v>
                </c:pt>
                <c:pt idx="3">
                  <c:v>88.7</c:v>
                </c:pt>
                <c:pt idx="4">
                  <c:v>88.289999999999992</c:v>
                </c:pt>
                <c:pt idx="5">
                  <c:v>87.31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1"/>
  <sheetViews>
    <sheetView workbookViewId="0">
      <selection activeCell="G11" sqref="G11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46" t="s">
        <v>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</row>
    <row r="2" spans="1:25" ht="24.6" customHeight="1" x14ac:dyDescent="0.25">
      <c r="A2" s="47" t="s">
        <v>4</v>
      </c>
      <c r="B2" s="50" t="s">
        <v>5</v>
      </c>
      <c r="C2" s="50" t="s">
        <v>6</v>
      </c>
      <c r="D2" s="50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4" t="s">
        <v>12</v>
      </c>
      <c r="J2" s="42" t="s">
        <v>13</v>
      </c>
      <c r="K2" s="42"/>
      <c r="L2" s="42"/>
      <c r="M2" s="42"/>
      <c r="N2" s="42"/>
      <c r="O2" s="42"/>
      <c r="P2" s="42"/>
      <c r="Q2" s="42" t="s">
        <v>0</v>
      </c>
      <c r="R2" s="42"/>
      <c r="S2" s="42"/>
      <c r="T2" s="42"/>
      <c r="U2" s="42"/>
      <c r="V2" s="42"/>
      <c r="W2" s="56" t="s">
        <v>14</v>
      </c>
      <c r="X2" s="56" t="s">
        <v>15</v>
      </c>
      <c r="Y2" s="56" t="s">
        <v>16</v>
      </c>
    </row>
    <row r="3" spans="1:25" ht="40.5" customHeight="1" x14ac:dyDescent="0.25">
      <c r="A3" s="48"/>
      <c r="B3" s="51"/>
      <c r="C3" s="51"/>
      <c r="D3" s="51"/>
      <c r="E3" s="53"/>
      <c r="F3" s="53"/>
      <c r="G3" s="53"/>
      <c r="H3" s="53"/>
      <c r="I3" s="55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6"/>
      <c r="X3" s="56"/>
      <c r="Y3" s="56"/>
    </row>
    <row r="4" spans="1:25" ht="21.6" customHeight="1" x14ac:dyDescent="0.25">
      <c r="A4" s="49"/>
      <c r="B4" s="52"/>
      <c r="C4" s="52"/>
      <c r="D4" s="52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42" t="s">
        <v>20</v>
      </c>
      <c r="K4" s="42"/>
      <c r="L4" s="42"/>
      <c r="M4" s="42"/>
      <c r="N4" s="42"/>
      <c r="O4" s="42"/>
      <c r="P4" s="42"/>
      <c r="Q4" s="42" t="s">
        <v>20</v>
      </c>
      <c r="R4" s="42"/>
      <c r="S4" s="42"/>
      <c r="T4" s="42"/>
      <c r="U4" s="42"/>
      <c r="V4" s="42"/>
      <c r="W4" s="57" t="s">
        <v>21</v>
      </c>
      <c r="X4" s="58"/>
      <c r="Y4" s="58"/>
    </row>
    <row r="5" spans="1:25" ht="30" customHeight="1" x14ac:dyDescent="0.25">
      <c r="A5" s="10">
        <v>1</v>
      </c>
      <c r="B5" s="43" t="s">
        <v>48</v>
      </c>
      <c r="C5" s="44"/>
      <c r="D5" s="45"/>
      <c r="E5" s="39" t="s">
        <v>47</v>
      </c>
      <c r="F5" s="25">
        <v>0.5</v>
      </c>
      <c r="G5" s="39"/>
      <c r="H5" s="39">
        <v>100</v>
      </c>
      <c r="I5" s="25">
        <f>SUM(J5:O5)</f>
        <v>81.389999999999986</v>
      </c>
      <c r="J5" s="25">
        <v>0.08</v>
      </c>
      <c r="K5" s="25">
        <v>0.41</v>
      </c>
      <c r="L5" s="25">
        <v>59.62</v>
      </c>
      <c r="M5" s="25">
        <v>18.149999999999999</v>
      </c>
      <c r="N5" s="25">
        <v>1.03</v>
      </c>
      <c r="O5" s="25">
        <v>2.1</v>
      </c>
      <c r="P5" s="25"/>
      <c r="Q5" s="11">
        <f t="shared" ref="Q5:Q9" si="0">((H5-(SUM(J5)))/H5)*100</f>
        <v>99.92</v>
      </c>
      <c r="R5" s="11">
        <f t="shared" ref="R5:R9" si="1">((H5-(SUM(J5:K5)))/H5)*100</f>
        <v>99.51</v>
      </c>
      <c r="S5" s="11">
        <f t="shared" ref="S5:S9" si="2">((H5-(SUM(J5:L5)))/H5)*100</f>
        <v>39.89</v>
      </c>
      <c r="T5" s="11">
        <f t="shared" ref="T5:T9" si="3">((H5-(SUM(J5:M5)))/H5)*100</f>
        <v>21.740000000000009</v>
      </c>
      <c r="U5" s="11">
        <f t="shared" ref="U5:U9" si="4">((H5-(SUM(J5:N5)))/H5)*100</f>
        <v>20.710000000000008</v>
      </c>
      <c r="V5" s="11">
        <f t="shared" ref="V5:V9" si="5">((H5-(SUM(J5:O5)))/H5)*100</f>
        <v>18.610000000000014</v>
      </c>
      <c r="W5" s="11">
        <f>100-Q5</f>
        <v>7.9999999999998295E-2</v>
      </c>
      <c r="X5" s="11">
        <f>Q5-V5</f>
        <v>81.309999999999988</v>
      </c>
      <c r="Y5" s="11">
        <f>V5</f>
        <v>18.610000000000014</v>
      </c>
    </row>
    <row r="6" spans="1:25" ht="30" customHeight="1" x14ac:dyDescent="0.25">
      <c r="A6" s="10">
        <v>2</v>
      </c>
      <c r="B6" s="43"/>
      <c r="C6" s="44"/>
      <c r="D6" s="45"/>
      <c r="E6" s="39" t="s">
        <v>47</v>
      </c>
      <c r="F6" s="25">
        <v>2</v>
      </c>
      <c r="G6" s="39"/>
      <c r="H6" s="39">
        <v>100</v>
      </c>
      <c r="I6" s="25">
        <f t="shared" ref="I6:I9" si="6">SUM(J6:O6)</f>
        <v>83.76</v>
      </c>
      <c r="J6" s="25">
        <v>19.12</v>
      </c>
      <c r="K6" s="25">
        <v>12.98</v>
      </c>
      <c r="L6" s="25">
        <v>48.32</v>
      </c>
      <c r="M6" s="25">
        <v>2.31</v>
      </c>
      <c r="N6" s="25">
        <v>0.28000000000000003</v>
      </c>
      <c r="O6" s="25">
        <v>0.75</v>
      </c>
      <c r="P6" s="25"/>
      <c r="Q6" s="11">
        <f t="shared" si="0"/>
        <v>80.88</v>
      </c>
      <c r="R6" s="11">
        <f t="shared" si="1"/>
        <v>67.900000000000006</v>
      </c>
      <c r="S6" s="11">
        <f t="shared" si="2"/>
        <v>19.579999999999998</v>
      </c>
      <c r="T6" s="11">
        <f t="shared" si="3"/>
        <v>17.269999999999996</v>
      </c>
      <c r="U6" s="11">
        <f t="shared" si="4"/>
        <v>16.989999999999995</v>
      </c>
      <c r="V6" s="11">
        <f t="shared" si="5"/>
        <v>16.239999999999995</v>
      </c>
      <c r="W6" s="11">
        <f t="shared" ref="W6:W9" si="7">100-Q6</f>
        <v>19.120000000000005</v>
      </c>
      <c r="X6" s="11">
        <f t="shared" ref="X6:X9" si="8">Q6-V6</f>
        <v>64.64</v>
      </c>
      <c r="Y6" s="11">
        <f t="shared" ref="Y6:Y9" si="9">V6</f>
        <v>16.239999999999995</v>
      </c>
    </row>
    <row r="7" spans="1:25" ht="30" customHeight="1" x14ac:dyDescent="0.25">
      <c r="A7" s="40">
        <v>3</v>
      </c>
      <c r="B7" s="43"/>
      <c r="C7" s="44"/>
      <c r="D7" s="45"/>
      <c r="E7" s="39" t="s">
        <v>47</v>
      </c>
      <c r="F7" s="25">
        <v>3.5</v>
      </c>
      <c r="G7" s="39"/>
      <c r="H7" s="39">
        <v>100</v>
      </c>
      <c r="I7" s="25">
        <f t="shared" si="6"/>
        <v>63.13</v>
      </c>
      <c r="J7" s="25">
        <v>11.55</v>
      </c>
      <c r="K7" s="25">
        <v>7.82</v>
      </c>
      <c r="L7" s="25">
        <v>16.36</v>
      </c>
      <c r="M7" s="25">
        <v>16.04</v>
      </c>
      <c r="N7" s="25">
        <v>2.97</v>
      </c>
      <c r="O7" s="25">
        <v>8.39</v>
      </c>
      <c r="P7" s="25"/>
      <c r="Q7" s="11">
        <f t="shared" si="0"/>
        <v>88.45</v>
      </c>
      <c r="R7" s="11">
        <f t="shared" si="1"/>
        <v>80.63</v>
      </c>
      <c r="S7" s="11">
        <f t="shared" si="2"/>
        <v>64.27</v>
      </c>
      <c r="T7" s="11">
        <f t="shared" si="3"/>
        <v>48.23</v>
      </c>
      <c r="U7" s="11">
        <f t="shared" si="4"/>
        <v>45.26</v>
      </c>
      <c r="V7" s="11">
        <f t="shared" si="5"/>
        <v>36.869999999999997</v>
      </c>
      <c r="W7" s="11">
        <f t="shared" si="7"/>
        <v>11.549999999999997</v>
      </c>
      <c r="X7" s="11">
        <f t="shared" si="8"/>
        <v>51.580000000000005</v>
      </c>
      <c r="Y7" s="11">
        <f t="shared" si="9"/>
        <v>36.869999999999997</v>
      </c>
    </row>
    <row r="8" spans="1:25" ht="30" customHeight="1" x14ac:dyDescent="0.25">
      <c r="A8" s="40">
        <v>4</v>
      </c>
      <c r="B8" s="43"/>
      <c r="C8" s="44"/>
      <c r="D8" s="45"/>
      <c r="E8" s="39" t="s">
        <v>47</v>
      </c>
      <c r="F8" s="25">
        <v>5</v>
      </c>
      <c r="G8" s="39"/>
      <c r="H8" s="39">
        <v>100</v>
      </c>
      <c r="I8" s="25">
        <f t="shared" si="6"/>
        <v>12.98</v>
      </c>
      <c r="J8" s="25">
        <v>0.83</v>
      </c>
      <c r="K8" s="25">
        <v>3.16</v>
      </c>
      <c r="L8" s="25">
        <v>5.07</v>
      </c>
      <c r="M8" s="25">
        <v>2.0699999999999998</v>
      </c>
      <c r="N8" s="25">
        <v>0.35</v>
      </c>
      <c r="O8" s="25">
        <v>1.5</v>
      </c>
      <c r="P8" s="25"/>
      <c r="Q8" s="11">
        <f t="shared" si="0"/>
        <v>99.17</v>
      </c>
      <c r="R8" s="11">
        <f t="shared" si="1"/>
        <v>96.01</v>
      </c>
      <c r="S8" s="11">
        <f t="shared" si="2"/>
        <v>90.94</v>
      </c>
      <c r="T8" s="11">
        <f t="shared" si="3"/>
        <v>88.87</v>
      </c>
      <c r="U8" s="11">
        <f t="shared" si="4"/>
        <v>88.52</v>
      </c>
      <c r="V8" s="11">
        <f t="shared" si="5"/>
        <v>87.02</v>
      </c>
      <c r="W8" s="11">
        <f t="shared" si="7"/>
        <v>0.82999999999999829</v>
      </c>
      <c r="X8" s="11">
        <f t="shared" si="8"/>
        <v>12.150000000000006</v>
      </c>
      <c r="Y8" s="11">
        <f t="shared" si="9"/>
        <v>87.02</v>
      </c>
    </row>
    <row r="9" spans="1:25" ht="30" customHeight="1" x14ac:dyDescent="0.25">
      <c r="A9" s="40">
        <v>5</v>
      </c>
      <c r="B9" s="43"/>
      <c r="C9" s="44"/>
      <c r="D9" s="45"/>
      <c r="E9" s="39" t="s">
        <v>47</v>
      </c>
      <c r="F9" s="25">
        <v>7.5</v>
      </c>
      <c r="G9" s="39"/>
      <c r="H9" s="39">
        <v>100</v>
      </c>
      <c r="I9" s="25">
        <f t="shared" si="6"/>
        <v>12.690000000000001</v>
      </c>
      <c r="J9" s="25">
        <v>0.46</v>
      </c>
      <c r="K9" s="25">
        <v>2.71</v>
      </c>
      <c r="L9" s="25">
        <v>5.83</v>
      </c>
      <c r="M9" s="25">
        <v>2.2999999999999998</v>
      </c>
      <c r="N9" s="25">
        <v>0.41</v>
      </c>
      <c r="O9" s="25">
        <v>0.98</v>
      </c>
      <c r="P9" s="25"/>
      <c r="Q9" s="11">
        <f t="shared" si="0"/>
        <v>99.54</v>
      </c>
      <c r="R9" s="11">
        <f t="shared" si="1"/>
        <v>96.83</v>
      </c>
      <c r="S9" s="11">
        <f t="shared" si="2"/>
        <v>91</v>
      </c>
      <c r="T9" s="11">
        <f t="shared" si="3"/>
        <v>88.7</v>
      </c>
      <c r="U9" s="11">
        <f t="shared" si="4"/>
        <v>88.289999999999992</v>
      </c>
      <c r="V9" s="11">
        <f t="shared" si="5"/>
        <v>87.31</v>
      </c>
      <c r="W9" s="11">
        <f t="shared" si="7"/>
        <v>0.45999999999999375</v>
      </c>
      <c r="X9" s="11">
        <f t="shared" si="8"/>
        <v>12.230000000000004</v>
      </c>
      <c r="Y9" s="11">
        <f t="shared" si="9"/>
        <v>87.31</v>
      </c>
    </row>
    <row r="10" spans="1:25" ht="30" customHeight="1" x14ac:dyDescent="0.25">
      <c r="A10" s="40">
        <v>6</v>
      </c>
      <c r="B10" s="43"/>
      <c r="C10" s="44"/>
      <c r="D10" s="45"/>
      <c r="E10" s="41" t="s">
        <v>47</v>
      </c>
      <c r="F10" s="25">
        <v>9.5</v>
      </c>
      <c r="G10" s="41"/>
      <c r="H10" s="41">
        <v>100</v>
      </c>
      <c r="I10" s="25">
        <f t="shared" ref="I10:I11" si="10">SUM(J10:O10)</f>
        <v>31.700000000000003</v>
      </c>
      <c r="J10" s="25">
        <v>2.46</v>
      </c>
      <c r="K10" s="25">
        <v>3.85</v>
      </c>
      <c r="L10" s="25">
        <v>8.83</v>
      </c>
      <c r="M10" s="25">
        <v>7.55</v>
      </c>
      <c r="N10" s="25">
        <v>5.41</v>
      </c>
      <c r="O10" s="25">
        <v>3.6</v>
      </c>
      <c r="P10" s="25"/>
      <c r="Q10" s="11">
        <f t="shared" ref="Q10:Q11" si="11">((H10-(SUM(J10)))/H10)*100</f>
        <v>97.54</v>
      </c>
      <c r="R10" s="11">
        <f t="shared" ref="R10:R11" si="12">((H10-(SUM(J10:K10)))/H10)*100</f>
        <v>93.69</v>
      </c>
      <c r="S10" s="11">
        <f t="shared" ref="S10:S11" si="13">((H10-(SUM(J10:L10)))/H10)*100</f>
        <v>84.86</v>
      </c>
      <c r="T10" s="11">
        <f t="shared" ref="T10:T11" si="14">((H10-(SUM(J10:M10)))/H10)*100</f>
        <v>77.31</v>
      </c>
      <c r="U10" s="11">
        <f t="shared" ref="U10:U11" si="15">((H10-(SUM(J10:N10)))/H10)*100</f>
        <v>71.900000000000006</v>
      </c>
      <c r="V10" s="11">
        <f t="shared" ref="V10:V11" si="16">((H10-(SUM(J10:O10)))/H10)*100</f>
        <v>68.3</v>
      </c>
      <c r="W10" s="11">
        <f t="shared" ref="W10:W11" si="17">100-Q10</f>
        <v>2.4599999999999937</v>
      </c>
      <c r="X10" s="11">
        <f t="shared" ref="X10:X11" si="18">Q10-V10</f>
        <v>29.240000000000009</v>
      </c>
      <c r="Y10" s="11">
        <f t="shared" ref="Y10:Y11" si="19">V10</f>
        <v>68.3</v>
      </c>
    </row>
    <row r="11" spans="1:25" ht="30" customHeight="1" x14ac:dyDescent="0.25">
      <c r="A11" s="40">
        <v>7</v>
      </c>
      <c r="B11" s="43"/>
      <c r="C11" s="44"/>
      <c r="D11" s="45"/>
      <c r="E11" s="41" t="s">
        <v>47</v>
      </c>
      <c r="F11" s="25">
        <v>10</v>
      </c>
      <c r="G11" s="41"/>
      <c r="H11" s="41">
        <v>100</v>
      </c>
      <c r="I11" s="25">
        <f t="shared" si="10"/>
        <v>26.76</v>
      </c>
      <c r="J11" s="25">
        <v>1.55</v>
      </c>
      <c r="K11" s="25">
        <v>5.0999999999999996</v>
      </c>
      <c r="L11" s="25">
        <v>6.8</v>
      </c>
      <c r="M11" s="25">
        <v>8.3000000000000007</v>
      </c>
      <c r="N11" s="25">
        <v>1.35</v>
      </c>
      <c r="O11" s="25">
        <v>3.66</v>
      </c>
      <c r="P11" s="25"/>
      <c r="Q11" s="11">
        <f t="shared" si="11"/>
        <v>98.45</v>
      </c>
      <c r="R11" s="11">
        <f t="shared" si="12"/>
        <v>93.35</v>
      </c>
      <c r="S11" s="11">
        <f t="shared" si="13"/>
        <v>86.55</v>
      </c>
      <c r="T11" s="11">
        <f t="shared" si="14"/>
        <v>78.25</v>
      </c>
      <c r="U11" s="11">
        <f t="shared" si="15"/>
        <v>76.900000000000006</v>
      </c>
      <c r="V11" s="11">
        <f t="shared" si="16"/>
        <v>73.239999999999995</v>
      </c>
      <c r="W11" s="11">
        <f t="shared" si="17"/>
        <v>1.5499999999999972</v>
      </c>
      <c r="X11" s="11">
        <f t="shared" si="18"/>
        <v>25.210000000000008</v>
      </c>
      <c r="Y11" s="11">
        <f t="shared" si="19"/>
        <v>73.239999999999995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1"/>
    <mergeCell ref="C5:C11"/>
    <mergeCell ref="D5:D11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tabSelected="1" zoomScaleNormal="100" workbookViewId="0">
      <selection activeCell="K15" sqref="K15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67" t="s">
        <v>4</v>
      </c>
      <c r="B1" s="70" t="s">
        <v>5</v>
      </c>
      <c r="C1" s="70" t="s">
        <v>9</v>
      </c>
      <c r="D1" s="67" t="s">
        <v>8</v>
      </c>
      <c r="E1" s="67" t="s">
        <v>22</v>
      </c>
      <c r="F1" s="67" t="s">
        <v>39</v>
      </c>
      <c r="G1" s="67" t="s">
        <v>23</v>
      </c>
      <c r="H1" s="67" t="s">
        <v>24</v>
      </c>
      <c r="I1" s="63" t="s">
        <v>33</v>
      </c>
      <c r="J1" s="67" t="s">
        <v>34</v>
      </c>
      <c r="K1" s="67" t="s">
        <v>25</v>
      </c>
      <c r="L1" s="67" t="s">
        <v>26</v>
      </c>
      <c r="M1" s="65" t="s">
        <v>27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5" t="s">
        <v>28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 t="s">
        <v>29</v>
      </c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21"/>
      <c r="BA1" s="21"/>
    </row>
    <row r="2" spans="1:53" x14ac:dyDescent="0.25">
      <c r="A2" s="68"/>
      <c r="B2" s="71"/>
      <c r="C2" s="71"/>
      <c r="D2" s="68"/>
      <c r="E2" s="68"/>
      <c r="F2" s="68"/>
      <c r="G2" s="68"/>
      <c r="H2" s="68"/>
      <c r="I2" s="63"/>
      <c r="J2" s="68"/>
      <c r="K2" s="68"/>
      <c r="L2" s="68"/>
      <c r="M2" s="64">
        <v>0.5</v>
      </c>
      <c r="N2" s="59">
        <v>1</v>
      </c>
      <c r="O2" s="59">
        <v>2</v>
      </c>
      <c r="P2" s="59">
        <v>4</v>
      </c>
      <c r="Q2" s="59">
        <v>8</v>
      </c>
      <c r="R2" s="59">
        <v>15</v>
      </c>
      <c r="S2" s="59">
        <v>30</v>
      </c>
      <c r="T2" s="59">
        <v>60</v>
      </c>
      <c r="U2" s="59">
        <v>120</v>
      </c>
      <c r="V2" s="59">
        <v>240</v>
      </c>
      <c r="W2" s="59">
        <v>480</v>
      </c>
      <c r="X2" s="59">
        <v>960</v>
      </c>
      <c r="Y2" s="59">
        <v>1440</v>
      </c>
      <c r="Z2" s="64">
        <v>0.5</v>
      </c>
      <c r="AA2" s="59">
        <v>1</v>
      </c>
      <c r="AB2" s="59">
        <v>2</v>
      </c>
      <c r="AC2" s="59">
        <v>4</v>
      </c>
      <c r="AD2" s="59">
        <v>8</v>
      </c>
      <c r="AE2" s="59">
        <v>15</v>
      </c>
      <c r="AF2" s="59">
        <v>30</v>
      </c>
      <c r="AG2" s="59">
        <v>60</v>
      </c>
      <c r="AH2" s="59">
        <v>120</v>
      </c>
      <c r="AI2" s="59">
        <v>240</v>
      </c>
      <c r="AJ2" s="59">
        <v>480</v>
      </c>
      <c r="AK2" s="59">
        <v>960</v>
      </c>
      <c r="AL2" s="59">
        <v>1440</v>
      </c>
      <c r="AM2" s="64">
        <v>0.5</v>
      </c>
      <c r="AN2" s="59">
        <v>1</v>
      </c>
      <c r="AO2" s="59">
        <v>2</v>
      </c>
      <c r="AP2" s="59">
        <v>4</v>
      </c>
      <c r="AQ2" s="59">
        <v>8</v>
      </c>
      <c r="AR2" s="59">
        <v>15</v>
      </c>
      <c r="AS2" s="59">
        <v>30</v>
      </c>
      <c r="AT2" s="59">
        <v>60</v>
      </c>
      <c r="AU2" s="59">
        <v>120</v>
      </c>
      <c r="AV2" s="59">
        <v>240</v>
      </c>
      <c r="AW2" s="59">
        <v>480</v>
      </c>
      <c r="AX2" s="59">
        <v>960</v>
      </c>
      <c r="AY2" s="59">
        <v>1440</v>
      </c>
      <c r="AZ2" s="21"/>
      <c r="BA2" s="21"/>
    </row>
    <row r="3" spans="1:53" x14ac:dyDescent="0.25">
      <c r="A3" s="68"/>
      <c r="B3" s="71"/>
      <c r="C3" s="71"/>
      <c r="D3" s="69"/>
      <c r="E3" s="69"/>
      <c r="F3" s="69"/>
      <c r="G3" s="69"/>
      <c r="H3" s="69"/>
      <c r="I3" s="63"/>
      <c r="J3" s="69"/>
      <c r="K3" s="69"/>
      <c r="L3" s="69"/>
      <c r="M3" s="64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64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64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21"/>
      <c r="BA3" s="21"/>
    </row>
    <row r="4" spans="1:53" x14ac:dyDescent="0.25">
      <c r="A4" s="69"/>
      <c r="B4" s="72"/>
      <c r="C4" s="72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60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2"/>
      <c r="Z4" s="60" t="s">
        <v>31</v>
      </c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2"/>
      <c r="AM4" s="63" t="s">
        <v>32</v>
      </c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20"/>
      <c r="BA4" s="20"/>
    </row>
    <row r="5" spans="1:53" x14ac:dyDescent="0.25">
      <c r="A5" s="31">
        <v>1</v>
      </c>
      <c r="B5" s="31" t="str">
        <f>GSD!B5</f>
        <v>SBH-01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25">
      <c r="A6" s="31">
        <v>2</v>
      </c>
      <c r="B6" s="31" t="str">
        <f>B5</f>
        <v>SBH-01</v>
      </c>
      <c r="C6" s="32">
        <f>GSD!F6</f>
        <v>2</v>
      </c>
      <c r="D6" s="31" t="str">
        <f>GSD!E6</f>
        <v>SPT</v>
      </c>
      <c r="E6" s="32">
        <v>27</v>
      </c>
      <c r="F6" s="33">
        <f t="shared" ref="F6:F9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9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25">
      <c r="A7" s="31">
        <v>3</v>
      </c>
      <c r="B7" s="31" t="str">
        <f t="shared" ref="B7:B11" si="2">B6</f>
        <v>SBH-01</v>
      </c>
      <c r="C7" s="32">
        <f>GSD!F7</f>
        <v>3.5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25">
      <c r="A8" s="31">
        <v>4</v>
      </c>
      <c r="B8" s="31" t="str">
        <f t="shared" si="2"/>
        <v>SBH-01</v>
      </c>
      <c r="C8" s="32">
        <f>GSD!F8</f>
        <v>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25">
      <c r="A9" s="31">
        <v>5</v>
      </c>
      <c r="B9" s="31" t="str">
        <f t="shared" si="2"/>
        <v>SBH-01</v>
      </c>
      <c r="C9" s="32">
        <f>GSD!F9</f>
        <v>7.5</v>
      </c>
      <c r="D9" s="31" t="str">
        <f>GSD!E9</f>
        <v>SPT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25">
      <c r="A10" s="31">
        <v>6</v>
      </c>
      <c r="B10" s="31" t="str">
        <f t="shared" si="2"/>
        <v>SBH-01</v>
      </c>
      <c r="C10" s="32">
        <f>GSD!F10</f>
        <v>9.5</v>
      </c>
      <c r="D10" s="31" t="str">
        <f>GSD!E10</f>
        <v>SPT</v>
      </c>
      <c r="E10" s="32">
        <v>27</v>
      </c>
      <c r="F10" s="33">
        <f t="shared" ref="F10:F11" si="3">(0.000000002615*E10^4) - (0.00000030607*E10^3) + (0.000016427499*E10^2) - (0.000618546309*E10) + 0.017919182437</f>
        <v>8.5594212700000009E-3</v>
      </c>
      <c r="G10" s="34"/>
      <c r="H10" s="31">
        <v>1.0004999999999999</v>
      </c>
      <c r="I10" s="31"/>
      <c r="J10" s="31"/>
      <c r="K10" s="32">
        <f t="shared" ref="K10:K11" si="4">(E10-27)*0.25</f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</row>
    <row r="11" spans="1:53" x14ac:dyDescent="0.25">
      <c r="A11" s="31">
        <v>7</v>
      </c>
      <c r="B11" s="31" t="str">
        <f t="shared" si="2"/>
        <v>SBH-01</v>
      </c>
      <c r="C11" s="32">
        <f>GSD!F11</f>
        <v>10</v>
      </c>
      <c r="D11" s="31" t="str">
        <f>GSD!E11</f>
        <v>SPT</v>
      </c>
      <c r="E11" s="32">
        <v>27</v>
      </c>
      <c r="F11" s="33">
        <f t="shared" si="3"/>
        <v>8.5594212700000009E-3</v>
      </c>
      <c r="G11" s="34"/>
      <c r="H11" s="31">
        <v>2.0005000000000002</v>
      </c>
      <c r="I11" s="31"/>
      <c r="J11" s="31"/>
      <c r="K11" s="32">
        <f t="shared" si="4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5" x14ac:dyDescent="0.25"/>
  <cols>
    <col min="4" max="27" width="9.140625" customWidth="1"/>
    <col min="28" max="28" width="9.140625" style="30"/>
  </cols>
  <sheetData>
    <row r="1" spans="1:45" x14ac:dyDescent="0.25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25">
      <c r="A2" s="28" t="s">
        <v>40</v>
      </c>
      <c r="B2" s="28" t="s">
        <v>5</v>
      </c>
      <c r="C2" s="28" t="s">
        <v>9</v>
      </c>
      <c r="D2" s="73" t="s">
        <v>41</v>
      </c>
      <c r="E2" s="73"/>
      <c r="F2" s="73"/>
      <c r="G2" s="73"/>
      <c r="H2" s="73"/>
      <c r="I2" s="73"/>
      <c r="J2" s="73" t="s">
        <v>42</v>
      </c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4" t="s">
        <v>43</v>
      </c>
      <c r="X2" s="74"/>
      <c r="Y2" s="74"/>
      <c r="Z2" s="74"/>
      <c r="AA2" s="74"/>
      <c r="AB2" s="74"/>
      <c r="AC2" s="73" t="s">
        <v>44</v>
      </c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25">
      <c r="A3" s="18">
        <v>1</v>
      </c>
      <c r="B3" s="18" t="str">
        <f>GSD!B5</f>
        <v>SBH-01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99.92</v>
      </c>
      <c r="X3" s="1">
        <f>GSD!R5</f>
        <v>99.51</v>
      </c>
      <c r="Y3" s="1">
        <f>GSD!S5</f>
        <v>39.89</v>
      </c>
      <c r="Z3" s="1">
        <f>GSD!T5</f>
        <v>21.740000000000009</v>
      </c>
      <c r="AA3" s="1">
        <f>GSD!U5</f>
        <v>20.710000000000008</v>
      </c>
      <c r="AB3" s="38">
        <f>GSD!V5</f>
        <v>18.610000000000014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25">
      <c r="A4" s="18">
        <v>2</v>
      </c>
      <c r="B4" s="18" t="str">
        <f>B3</f>
        <v>SBH-01</v>
      </c>
      <c r="C4" s="26">
        <f>GSD!F6</f>
        <v>2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80.88</v>
      </c>
      <c r="X4" s="1">
        <f>GSD!R6</f>
        <v>67.900000000000006</v>
      </c>
      <c r="Y4" s="1">
        <f>GSD!S6</f>
        <v>19.579999999999998</v>
      </c>
      <c r="Z4" s="1">
        <f>GSD!T6</f>
        <v>17.269999999999996</v>
      </c>
      <c r="AA4" s="1">
        <f>GSD!U6</f>
        <v>16.989999999999995</v>
      </c>
      <c r="AB4" s="38">
        <f>GSD!V6</f>
        <v>16.239999999999995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25">
      <c r="A5" s="18">
        <v>3</v>
      </c>
      <c r="B5" s="18" t="str">
        <f t="shared" ref="B5:B23" si="0">B4</f>
        <v>SBH-01</v>
      </c>
      <c r="C5" s="26">
        <f>GSD!F7</f>
        <v>3.5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88.45</v>
      </c>
      <c r="X5" s="1">
        <f>GSD!R7</f>
        <v>80.63</v>
      </c>
      <c r="Y5" s="1">
        <f>GSD!S7</f>
        <v>64.27</v>
      </c>
      <c r="Z5" s="1">
        <f>GSD!T7</f>
        <v>48.23</v>
      </c>
      <c r="AA5" s="1">
        <f>GSD!U7</f>
        <v>45.26</v>
      </c>
      <c r="AB5" s="38">
        <f>GSD!V7</f>
        <v>36.869999999999997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25">
      <c r="A6" s="18">
        <v>4</v>
      </c>
      <c r="B6" s="18" t="str">
        <f t="shared" si="0"/>
        <v>SBH-01</v>
      </c>
      <c r="C6" s="26">
        <f>GSD!F8</f>
        <v>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99.17</v>
      </c>
      <c r="X6" s="1">
        <f>GSD!R8</f>
        <v>96.01</v>
      </c>
      <c r="Y6" s="1">
        <f>GSD!S8</f>
        <v>90.94</v>
      </c>
      <c r="Z6" s="1">
        <f>GSD!T8</f>
        <v>88.87</v>
      </c>
      <c r="AA6" s="1">
        <f>GSD!U8</f>
        <v>88.52</v>
      </c>
      <c r="AB6" s="38">
        <f>GSD!V8</f>
        <v>87.02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25">
      <c r="A7" s="18">
        <v>5</v>
      </c>
      <c r="B7" s="18" t="str">
        <f t="shared" si="0"/>
        <v>SBH-01</v>
      </c>
      <c r="C7" s="26">
        <f>GSD!F9</f>
        <v>7.5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>
        <f>GSD!Q9</f>
        <v>99.54</v>
      </c>
      <c r="X7" s="1">
        <f>GSD!R9</f>
        <v>96.83</v>
      </c>
      <c r="Y7" s="1">
        <f>GSD!S9</f>
        <v>91</v>
      </c>
      <c r="Z7" s="1">
        <f>GSD!T9</f>
        <v>88.7</v>
      </c>
      <c r="AA7" s="1">
        <f>GSD!U9</f>
        <v>88.289999999999992</v>
      </c>
      <c r="AB7" s="38">
        <f>GSD!V9</f>
        <v>87.31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25">
      <c r="A8" s="18">
        <v>6</v>
      </c>
      <c r="B8" s="18" t="str">
        <f t="shared" si="0"/>
        <v>SBH-01</v>
      </c>
      <c r="C8" s="26" t="e">
        <f>GSD!#REF!</f>
        <v>#REF!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 t="e">
        <f>HYD!#REF!</f>
        <v>#REF!</v>
      </c>
      <c r="K8" s="23" t="e">
        <f>HYD!#REF!</f>
        <v>#REF!</v>
      </c>
      <c r="L8" s="23" t="e">
        <f>HYD!#REF!</f>
        <v>#REF!</v>
      </c>
      <c r="M8" s="23" t="e">
        <f>HYD!#REF!</f>
        <v>#REF!</v>
      </c>
      <c r="N8" s="23" t="e">
        <f>HYD!#REF!</f>
        <v>#REF!</v>
      </c>
      <c r="O8" s="23" t="e">
        <f>HYD!#REF!</f>
        <v>#REF!</v>
      </c>
      <c r="P8" s="23" t="e">
        <f>HYD!#REF!</f>
        <v>#REF!</v>
      </c>
      <c r="Q8" s="23" t="e">
        <f>HYD!#REF!</f>
        <v>#REF!</v>
      </c>
      <c r="R8" s="23" t="e">
        <f>HYD!#REF!</f>
        <v>#REF!</v>
      </c>
      <c r="S8" s="23" t="e">
        <f>HYD!#REF!</f>
        <v>#REF!</v>
      </c>
      <c r="T8" s="23" t="e">
        <f>HYD!#REF!</f>
        <v>#REF!</v>
      </c>
      <c r="U8" s="23" t="e">
        <f>HYD!#REF!</f>
        <v>#REF!</v>
      </c>
      <c r="V8" s="23" t="e">
        <f>HYD!#REF!</f>
        <v>#REF!</v>
      </c>
      <c r="W8" s="1" t="e">
        <f>GSD!#REF!</f>
        <v>#REF!</v>
      </c>
      <c r="X8" s="1" t="e">
        <f>GSD!#REF!</f>
        <v>#REF!</v>
      </c>
      <c r="Y8" s="1" t="e">
        <f>GSD!#REF!</f>
        <v>#REF!</v>
      </c>
      <c r="Z8" s="1" t="e">
        <f>GSD!#REF!</f>
        <v>#REF!</v>
      </c>
      <c r="AA8" s="1" t="e">
        <f>GSD!#REF!</f>
        <v>#REF!</v>
      </c>
      <c r="AB8" s="38" t="e">
        <f>GSD!#REF!</f>
        <v>#REF!</v>
      </c>
      <c r="AC8" s="38" t="e">
        <f>HYD!#REF!</f>
        <v>#REF!</v>
      </c>
      <c r="AD8" s="1" t="e">
        <f>HYD!#REF!</f>
        <v>#REF!</v>
      </c>
      <c r="AE8" s="1" t="e">
        <f>HYD!#REF!</f>
        <v>#REF!</v>
      </c>
      <c r="AF8" s="1" t="e">
        <f>HYD!#REF!</f>
        <v>#REF!</v>
      </c>
      <c r="AG8" s="1" t="e">
        <f>HYD!#REF!</f>
        <v>#REF!</v>
      </c>
      <c r="AH8" s="1" t="e">
        <f>HYD!#REF!</f>
        <v>#REF!</v>
      </c>
      <c r="AI8" s="1" t="e">
        <f>HYD!#REF!</f>
        <v>#REF!</v>
      </c>
      <c r="AJ8" s="1" t="e">
        <f>HYD!#REF!</f>
        <v>#REF!</v>
      </c>
      <c r="AK8" s="1" t="e">
        <f>HYD!#REF!</f>
        <v>#REF!</v>
      </c>
      <c r="AL8" s="1" t="e">
        <f>HYD!#REF!</f>
        <v>#REF!</v>
      </c>
      <c r="AM8" s="1" t="e">
        <f>HYD!#REF!</f>
        <v>#REF!</v>
      </c>
      <c r="AN8" s="1" t="e">
        <f>HYD!#REF!</f>
        <v>#REF!</v>
      </c>
      <c r="AO8" s="1" t="e">
        <f>HYD!#REF!</f>
        <v>#REF!</v>
      </c>
      <c r="AP8" s="1"/>
      <c r="AQ8" s="1"/>
      <c r="AR8" s="1"/>
      <c r="AS8" s="1"/>
    </row>
    <row r="9" spans="1:45" x14ac:dyDescent="0.25">
      <c r="A9" s="18">
        <v>7</v>
      </c>
      <c r="B9" s="18" t="str">
        <f t="shared" si="0"/>
        <v>SBH-01</v>
      </c>
      <c r="C9" s="26" t="e">
        <f>GSD!#REF!</f>
        <v>#REF!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 t="e">
        <f>HYD!#REF!</f>
        <v>#REF!</v>
      </c>
      <c r="K9" s="23" t="e">
        <f>HYD!#REF!</f>
        <v>#REF!</v>
      </c>
      <c r="L9" s="23" t="e">
        <f>HYD!#REF!</f>
        <v>#REF!</v>
      </c>
      <c r="M9" s="23" t="e">
        <f>HYD!#REF!</f>
        <v>#REF!</v>
      </c>
      <c r="N9" s="23" t="e">
        <f>HYD!#REF!</f>
        <v>#REF!</v>
      </c>
      <c r="O9" s="23" t="e">
        <f>HYD!#REF!</f>
        <v>#REF!</v>
      </c>
      <c r="P9" s="23" t="e">
        <f>HYD!#REF!</f>
        <v>#REF!</v>
      </c>
      <c r="Q9" s="23" t="e">
        <f>HYD!#REF!</f>
        <v>#REF!</v>
      </c>
      <c r="R9" s="23" t="e">
        <f>HYD!#REF!</f>
        <v>#REF!</v>
      </c>
      <c r="S9" s="23" t="e">
        <f>HYD!#REF!</f>
        <v>#REF!</v>
      </c>
      <c r="T9" s="23" t="e">
        <f>HYD!#REF!</f>
        <v>#REF!</v>
      </c>
      <c r="U9" s="23" t="e">
        <f>HYD!#REF!</f>
        <v>#REF!</v>
      </c>
      <c r="V9" s="23" t="e">
        <f>HYD!#REF!</f>
        <v>#REF!</v>
      </c>
      <c r="W9" s="1" t="e">
        <f>GSD!#REF!</f>
        <v>#REF!</v>
      </c>
      <c r="X9" s="1" t="e">
        <f>GSD!#REF!</f>
        <v>#REF!</v>
      </c>
      <c r="Y9" s="1" t="e">
        <f>GSD!#REF!</f>
        <v>#REF!</v>
      </c>
      <c r="Z9" s="1" t="e">
        <f>GSD!#REF!</f>
        <v>#REF!</v>
      </c>
      <c r="AA9" s="1" t="e">
        <f>GSD!#REF!</f>
        <v>#REF!</v>
      </c>
      <c r="AB9" s="38" t="e">
        <f>GSD!#REF!</f>
        <v>#REF!</v>
      </c>
      <c r="AC9" s="38" t="e">
        <f>HYD!#REF!</f>
        <v>#REF!</v>
      </c>
      <c r="AD9" s="1" t="e">
        <f>HYD!#REF!</f>
        <v>#REF!</v>
      </c>
      <c r="AE9" s="1" t="e">
        <f>HYD!#REF!</f>
        <v>#REF!</v>
      </c>
      <c r="AF9" s="1" t="e">
        <f>HYD!#REF!</f>
        <v>#REF!</v>
      </c>
      <c r="AG9" s="1" t="e">
        <f>HYD!#REF!</f>
        <v>#REF!</v>
      </c>
      <c r="AH9" s="1" t="e">
        <f>HYD!#REF!</f>
        <v>#REF!</v>
      </c>
      <c r="AI9" s="1" t="e">
        <f>HYD!#REF!</f>
        <v>#REF!</v>
      </c>
      <c r="AJ9" s="1" t="e">
        <f>HYD!#REF!</f>
        <v>#REF!</v>
      </c>
      <c r="AK9" s="1" t="e">
        <f>HYD!#REF!</f>
        <v>#REF!</v>
      </c>
      <c r="AL9" s="1" t="e">
        <f>HYD!#REF!</f>
        <v>#REF!</v>
      </c>
      <c r="AM9" s="1" t="e">
        <f>HYD!#REF!</f>
        <v>#REF!</v>
      </c>
      <c r="AN9" s="1" t="e">
        <f>HYD!#REF!</f>
        <v>#REF!</v>
      </c>
      <c r="AO9" s="1" t="e">
        <f>HYD!#REF!</f>
        <v>#REF!</v>
      </c>
      <c r="AP9" s="29"/>
      <c r="AQ9" s="29"/>
      <c r="AR9" s="29"/>
      <c r="AS9" s="29"/>
    </row>
    <row r="10" spans="1:45" x14ac:dyDescent="0.25">
      <c r="A10" s="18">
        <v>8</v>
      </c>
      <c r="B10" s="18" t="str">
        <f t="shared" si="0"/>
        <v>SBH-01</v>
      </c>
      <c r="C10" s="26" t="e">
        <f>GSD!#REF!</f>
        <v>#REF!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 t="e">
        <f>HYD!#REF!</f>
        <v>#REF!</v>
      </c>
      <c r="K10" s="23" t="e">
        <f>HYD!#REF!</f>
        <v>#REF!</v>
      </c>
      <c r="L10" s="23" t="e">
        <f>HYD!#REF!</f>
        <v>#REF!</v>
      </c>
      <c r="M10" s="23" t="e">
        <f>HYD!#REF!</f>
        <v>#REF!</v>
      </c>
      <c r="N10" s="23" t="e">
        <f>HYD!#REF!</f>
        <v>#REF!</v>
      </c>
      <c r="O10" s="23" t="e">
        <f>HYD!#REF!</f>
        <v>#REF!</v>
      </c>
      <c r="P10" s="23" t="e">
        <f>HYD!#REF!</f>
        <v>#REF!</v>
      </c>
      <c r="Q10" s="23" t="e">
        <f>HYD!#REF!</f>
        <v>#REF!</v>
      </c>
      <c r="R10" s="23" t="e">
        <f>HYD!#REF!</f>
        <v>#REF!</v>
      </c>
      <c r="S10" s="23" t="e">
        <f>HYD!#REF!</f>
        <v>#REF!</v>
      </c>
      <c r="T10" s="23" t="e">
        <f>HYD!#REF!</f>
        <v>#REF!</v>
      </c>
      <c r="U10" s="23" t="e">
        <f>HYD!#REF!</f>
        <v>#REF!</v>
      </c>
      <c r="V10" s="23" t="e">
        <f>HYD!#REF!</f>
        <v>#REF!</v>
      </c>
      <c r="W10" s="1" t="e">
        <f>GSD!#REF!</f>
        <v>#REF!</v>
      </c>
      <c r="X10" s="1" t="e">
        <f>GSD!#REF!</f>
        <v>#REF!</v>
      </c>
      <c r="Y10" s="1" t="e">
        <f>GSD!#REF!</f>
        <v>#REF!</v>
      </c>
      <c r="Z10" s="1" t="e">
        <f>GSD!#REF!</f>
        <v>#REF!</v>
      </c>
      <c r="AA10" s="1" t="e">
        <f>GSD!#REF!</f>
        <v>#REF!</v>
      </c>
      <c r="AB10" s="38" t="e">
        <f>GSD!#REF!</f>
        <v>#REF!</v>
      </c>
      <c r="AC10" s="38" t="e">
        <f>HYD!#REF!</f>
        <v>#REF!</v>
      </c>
      <c r="AD10" s="1" t="e">
        <f>HYD!#REF!</f>
        <v>#REF!</v>
      </c>
      <c r="AE10" s="1" t="e">
        <f>HYD!#REF!</f>
        <v>#REF!</v>
      </c>
      <c r="AF10" s="1" t="e">
        <f>HYD!#REF!</f>
        <v>#REF!</v>
      </c>
      <c r="AG10" s="1" t="e">
        <f>HYD!#REF!</f>
        <v>#REF!</v>
      </c>
      <c r="AH10" s="1" t="e">
        <f>HYD!#REF!</f>
        <v>#REF!</v>
      </c>
      <c r="AI10" s="1" t="e">
        <f>HYD!#REF!</f>
        <v>#REF!</v>
      </c>
      <c r="AJ10" s="1" t="e">
        <f>HYD!#REF!</f>
        <v>#REF!</v>
      </c>
      <c r="AK10" s="1" t="e">
        <f>HYD!#REF!</f>
        <v>#REF!</v>
      </c>
      <c r="AL10" s="1" t="e">
        <f>HYD!#REF!</f>
        <v>#REF!</v>
      </c>
      <c r="AM10" s="1" t="e">
        <f>HYD!#REF!</f>
        <v>#REF!</v>
      </c>
      <c r="AN10" s="1" t="e">
        <f>HYD!#REF!</f>
        <v>#REF!</v>
      </c>
      <c r="AO10" s="1" t="e">
        <f>HYD!#REF!</f>
        <v>#REF!</v>
      </c>
      <c r="AP10" s="29"/>
      <c r="AQ10" s="29"/>
      <c r="AR10" s="29"/>
      <c r="AS10" s="29"/>
    </row>
    <row r="11" spans="1:45" x14ac:dyDescent="0.25">
      <c r="A11" s="18">
        <v>9</v>
      </c>
      <c r="B11" s="18" t="str">
        <f t="shared" si="0"/>
        <v>SBH-01</v>
      </c>
      <c r="C11" s="26" t="e">
        <f>GSD!#REF!</f>
        <v>#REF!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 t="e">
        <f>HYD!#REF!</f>
        <v>#REF!</v>
      </c>
      <c r="K11" s="23" t="e">
        <f>HYD!#REF!</f>
        <v>#REF!</v>
      </c>
      <c r="L11" s="23" t="e">
        <f>HYD!#REF!</f>
        <v>#REF!</v>
      </c>
      <c r="M11" s="23" t="e">
        <f>HYD!#REF!</f>
        <v>#REF!</v>
      </c>
      <c r="N11" s="23" t="e">
        <f>HYD!#REF!</f>
        <v>#REF!</v>
      </c>
      <c r="O11" s="23" t="e">
        <f>HYD!#REF!</f>
        <v>#REF!</v>
      </c>
      <c r="P11" s="23" t="e">
        <f>HYD!#REF!</f>
        <v>#REF!</v>
      </c>
      <c r="Q11" s="23" t="e">
        <f>HYD!#REF!</f>
        <v>#REF!</v>
      </c>
      <c r="R11" s="23" t="e">
        <f>HYD!#REF!</f>
        <v>#REF!</v>
      </c>
      <c r="S11" s="23" t="e">
        <f>HYD!#REF!</f>
        <v>#REF!</v>
      </c>
      <c r="T11" s="23" t="e">
        <f>HYD!#REF!</f>
        <v>#REF!</v>
      </c>
      <c r="U11" s="23" t="e">
        <f>HYD!#REF!</f>
        <v>#REF!</v>
      </c>
      <c r="V11" s="23" t="e">
        <f>HYD!#REF!</f>
        <v>#REF!</v>
      </c>
      <c r="W11" s="1" t="e">
        <f>GSD!#REF!</f>
        <v>#REF!</v>
      </c>
      <c r="X11" s="1" t="e">
        <f>GSD!#REF!</f>
        <v>#REF!</v>
      </c>
      <c r="Y11" s="1" t="e">
        <f>GSD!#REF!</f>
        <v>#REF!</v>
      </c>
      <c r="Z11" s="1" t="e">
        <f>GSD!#REF!</f>
        <v>#REF!</v>
      </c>
      <c r="AA11" s="1" t="e">
        <f>GSD!#REF!</f>
        <v>#REF!</v>
      </c>
      <c r="AB11" s="38" t="e">
        <f>GSD!#REF!</f>
        <v>#REF!</v>
      </c>
      <c r="AC11" s="38" t="e">
        <f>HYD!#REF!</f>
        <v>#REF!</v>
      </c>
      <c r="AD11" s="1" t="e">
        <f>HYD!#REF!</f>
        <v>#REF!</v>
      </c>
      <c r="AE11" s="1" t="e">
        <f>HYD!#REF!</f>
        <v>#REF!</v>
      </c>
      <c r="AF11" s="1" t="e">
        <f>HYD!#REF!</f>
        <v>#REF!</v>
      </c>
      <c r="AG11" s="1" t="e">
        <f>HYD!#REF!</f>
        <v>#REF!</v>
      </c>
      <c r="AH11" s="1" t="e">
        <f>HYD!#REF!</f>
        <v>#REF!</v>
      </c>
      <c r="AI11" s="1" t="e">
        <f>HYD!#REF!</f>
        <v>#REF!</v>
      </c>
      <c r="AJ11" s="1" t="e">
        <f>HYD!#REF!</f>
        <v>#REF!</v>
      </c>
      <c r="AK11" s="1" t="e">
        <f>HYD!#REF!</f>
        <v>#REF!</v>
      </c>
      <c r="AL11" s="1" t="e">
        <f>HYD!#REF!</f>
        <v>#REF!</v>
      </c>
      <c r="AM11" s="1" t="e">
        <f>HYD!#REF!</f>
        <v>#REF!</v>
      </c>
      <c r="AN11" s="1" t="e">
        <f>HYD!#REF!</f>
        <v>#REF!</v>
      </c>
      <c r="AO11" s="1" t="e">
        <f>HYD!#REF!</f>
        <v>#REF!</v>
      </c>
      <c r="AP11" s="29"/>
      <c r="AQ11" s="29"/>
      <c r="AR11" s="29"/>
      <c r="AS11" s="29"/>
    </row>
    <row r="12" spans="1:45" x14ac:dyDescent="0.25">
      <c r="A12" s="18">
        <v>10</v>
      </c>
      <c r="B12" s="18" t="str">
        <f t="shared" si="0"/>
        <v>SBH-01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 t="e">
        <f>HYD!#REF!</f>
        <v>#REF!</v>
      </c>
      <c r="K12" s="23" t="e">
        <f>HYD!#REF!</f>
        <v>#REF!</v>
      </c>
      <c r="L12" s="23" t="e">
        <f>HYD!#REF!</f>
        <v>#REF!</v>
      </c>
      <c r="M12" s="23" t="e">
        <f>HYD!#REF!</f>
        <v>#REF!</v>
      </c>
      <c r="N12" s="23" t="e">
        <f>HYD!#REF!</f>
        <v>#REF!</v>
      </c>
      <c r="O12" s="23" t="e">
        <f>HYD!#REF!</f>
        <v>#REF!</v>
      </c>
      <c r="P12" s="23" t="e">
        <f>HYD!#REF!</f>
        <v>#REF!</v>
      </c>
      <c r="Q12" s="23" t="e">
        <f>HYD!#REF!</f>
        <v>#REF!</v>
      </c>
      <c r="R12" s="23" t="e">
        <f>HYD!#REF!</f>
        <v>#REF!</v>
      </c>
      <c r="S12" s="23" t="e">
        <f>HYD!#REF!</f>
        <v>#REF!</v>
      </c>
      <c r="T12" s="23" t="e">
        <f>HYD!#REF!</f>
        <v>#REF!</v>
      </c>
      <c r="U12" s="23" t="e">
        <f>HYD!#REF!</f>
        <v>#REF!</v>
      </c>
      <c r="V12" s="23" t="e">
        <f>HYD!#REF!</f>
        <v>#REF!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 t="e">
        <f>HYD!#REF!</f>
        <v>#REF!</v>
      </c>
      <c r="AD12" s="1" t="e">
        <f>HYD!#REF!</f>
        <v>#REF!</v>
      </c>
      <c r="AE12" s="1" t="e">
        <f>HYD!#REF!</f>
        <v>#REF!</v>
      </c>
      <c r="AF12" s="1" t="e">
        <f>HYD!#REF!</f>
        <v>#REF!</v>
      </c>
      <c r="AG12" s="1" t="e">
        <f>HYD!#REF!</f>
        <v>#REF!</v>
      </c>
      <c r="AH12" s="1" t="e">
        <f>HYD!#REF!</f>
        <v>#REF!</v>
      </c>
      <c r="AI12" s="1" t="e">
        <f>HYD!#REF!</f>
        <v>#REF!</v>
      </c>
      <c r="AJ12" s="1" t="e">
        <f>HYD!#REF!</f>
        <v>#REF!</v>
      </c>
      <c r="AK12" s="1" t="e">
        <f>HYD!#REF!</f>
        <v>#REF!</v>
      </c>
      <c r="AL12" s="1" t="e">
        <f>HYD!#REF!</f>
        <v>#REF!</v>
      </c>
      <c r="AM12" s="1" t="e">
        <f>HYD!#REF!</f>
        <v>#REF!</v>
      </c>
      <c r="AN12" s="1" t="e">
        <f>HYD!#REF!</f>
        <v>#REF!</v>
      </c>
      <c r="AO12" s="1" t="e">
        <f>HYD!#REF!</f>
        <v>#REF!</v>
      </c>
      <c r="AP12" s="29"/>
      <c r="AQ12" s="29"/>
      <c r="AR12" s="29"/>
      <c r="AS12" s="29"/>
    </row>
    <row r="13" spans="1:45" x14ac:dyDescent="0.25">
      <c r="A13" s="18">
        <v>11</v>
      </c>
      <c r="B13" s="18" t="str">
        <f t="shared" si="0"/>
        <v>SBH-01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 t="e">
        <f>HYD!#REF!</f>
        <v>#REF!</v>
      </c>
      <c r="K13" s="23" t="e">
        <f>HYD!#REF!</f>
        <v>#REF!</v>
      </c>
      <c r="L13" s="23" t="e">
        <f>HYD!#REF!</f>
        <v>#REF!</v>
      </c>
      <c r="M13" s="23" t="e">
        <f>HYD!#REF!</f>
        <v>#REF!</v>
      </c>
      <c r="N13" s="23" t="e">
        <f>HYD!#REF!</f>
        <v>#REF!</v>
      </c>
      <c r="O13" s="23" t="e">
        <f>HYD!#REF!</f>
        <v>#REF!</v>
      </c>
      <c r="P13" s="23" t="e">
        <f>HYD!#REF!</f>
        <v>#REF!</v>
      </c>
      <c r="Q13" s="23" t="e">
        <f>HYD!#REF!</f>
        <v>#REF!</v>
      </c>
      <c r="R13" s="23" t="e">
        <f>HYD!#REF!</f>
        <v>#REF!</v>
      </c>
      <c r="S13" s="23" t="e">
        <f>HYD!#REF!</f>
        <v>#REF!</v>
      </c>
      <c r="T13" s="23" t="e">
        <f>HYD!#REF!</f>
        <v>#REF!</v>
      </c>
      <c r="U13" s="23" t="e">
        <f>HYD!#REF!</f>
        <v>#REF!</v>
      </c>
      <c r="V13" s="23" t="e">
        <f>HYD!#REF!</f>
        <v>#REF!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 t="e">
        <f>HYD!#REF!</f>
        <v>#REF!</v>
      </c>
      <c r="AD13" s="1" t="e">
        <f>HYD!#REF!</f>
        <v>#REF!</v>
      </c>
      <c r="AE13" s="1" t="e">
        <f>HYD!#REF!</f>
        <v>#REF!</v>
      </c>
      <c r="AF13" s="1" t="e">
        <f>HYD!#REF!</f>
        <v>#REF!</v>
      </c>
      <c r="AG13" s="1" t="e">
        <f>HYD!#REF!</f>
        <v>#REF!</v>
      </c>
      <c r="AH13" s="1" t="e">
        <f>HYD!#REF!</f>
        <v>#REF!</v>
      </c>
      <c r="AI13" s="1" t="e">
        <f>HYD!#REF!</f>
        <v>#REF!</v>
      </c>
      <c r="AJ13" s="1" t="e">
        <f>HYD!#REF!</f>
        <v>#REF!</v>
      </c>
      <c r="AK13" s="1" t="e">
        <f>HYD!#REF!</f>
        <v>#REF!</v>
      </c>
      <c r="AL13" s="1" t="e">
        <f>HYD!#REF!</f>
        <v>#REF!</v>
      </c>
      <c r="AM13" s="1" t="e">
        <f>HYD!#REF!</f>
        <v>#REF!</v>
      </c>
      <c r="AN13" s="1" t="e">
        <f>HYD!#REF!</f>
        <v>#REF!</v>
      </c>
      <c r="AO13" s="1" t="e">
        <f>HYD!#REF!</f>
        <v>#REF!</v>
      </c>
      <c r="AP13" s="29"/>
      <c r="AQ13" s="29"/>
      <c r="AR13" s="29"/>
      <c r="AS13" s="29"/>
    </row>
    <row r="14" spans="1:45" x14ac:dyDescent="0.25">
      <c r="A14" s="18">
        <v>12</v>
      </c>
      <c r="B14" s="18" t="str">
        <f t="shared" si="0"/>
        <v>SBH-01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 t="e">
        <f>HYD!#REF!</f>
        <v>#REF!</v>
      </c>
      <c r="K14" s="23" t="e">
        <f>HYD!#REF!</f>
        <v>#REF!</v>
      </c>
      <c r="L14" s="23" t="e">
        <f>HYD!#REF!</f>
        <v>#REF!</v>
      </c>
      <c r="M14" s="23" t="e">
        <f>HYD!#REF!</f>
        <v>#REF!</v>
      </c>
      <c r="N14" s="23" t="e">
        <f>HYD!#REF!</f>
        <v>#REF!</v>
      </c>
      <c r="O14" s="23" t="e">
        <f>HYD!#REF!</f>
        <v>#REF!</v>
      </c>
      <c r="P14" s="23" t="e">
        <f>HYD!#REF!</f>
        <v>#REF!</v>
      </c>
      <c r="Q14" s="23" t="e">
        <f>HYD!#REF!</f>
        <v>#REF!</v>
      </c>
      <c r="R14" s="23" t="e">
        <f>HYD!#REF!</f>
        <v>#REF!</v>
      </c>
      <c r="S14" s="23" t="e">
        <f>HYD!#REF!</f>
        <v>#REF!</v>
      </c>
      <c r="T14" s="23" t="e">
        <f>HYD!#REF!</f>
        <v>#REF!</v>
      </c>
      <c r="U14" s="23" t="e">
        <f>HYD!#REF!</f>
        <v>#REF!</v>
      </c>
      <c r="V14" s="23" t="e">
        <f>HYD!#REF!</f>
        <v>#REF!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 t="e">
        <f>HYD!#REF!</f>
        <v>#REF!</v>
      </c>
      <c r="AD14" s="1" t="e">
        <f>HYD!#REF!</f>
        <v>#REF!</v>
      </c>
      <c r="AE14" s="1" t="e">
        <f>HYD!#REF!</f>
        <v>#REF!</v>
      </c>
      <c r="AF14" s="1" t="e">
        <f>HYD!#REF!</f>
        <v>#REF!</v>
      </c>
      <c r="AG14" s="1" t="e">
        <f>HYD!#REF!</f>
        <v>#REF!</v>
      </c>
      <c r="AH14" s="1" t="e">
        <f>HYD!#REF!</f>
        <v>#REF!</v>
      </c>
      <c r="AI14" s="1" t="e">
        <f>HYD!#REF!</f>
        <v>#REF!</v>
      </c>
      <c r="AJ14" s="1" t="e">
        <f>HYD!#REF!</f>
        <v>#REF!</v>
      </c>
      <c r="AK14" s="1" t="e">
        <f>HYD!#REF!</f>
        <v>#REF!</v>
      </c>
      <c r="AL14" s="1" t="e">
        <f>HYD!#REF!</f>
        <v>#REF!</v>
      </c>
      <c r="AM14" s="1" t="e">
        <f>HYD!#REF!</f>
        <v>#REF!</v>
      </c>
      <c r="AN14" s="1" t="e">
        <f>HYD!#REF!</f>
        <v>#REF!</v>
      </c>
      <c r="AO14" s="1" t="e">
        <f>HYD!#REF!</f>
        <v>#REF!</v>
      </c>
      <c r="AP14" s="29"/>
      <c r="AQ14" s="29"/>
      <c r="AR14" s="29"/>
      <c r="AS14" s="29"/>
    </row>
    <row r="15" spans="1:45" x14ac:dyDescent="0.25">
      <c r="A15" s="18">
        <v>13</v>
      </c>
      <c r="B15" s="18" t="str">
        <f t="shared" si="0"/>
        <v>SBH-01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 t="e">
        <f>HYD!#REF!</f>
        <v>#REF!</v>
      </c>
      <c r="K15" s="23" t="e">
        <f>HYD!#REF!</f>
        <v>#REF!</v>
      </c>
      <c r="L15" s="23" t="e">
        <f>HYD!#REF!</f>
        <v>#REF!</v>
      </c>
      <c r="M15" s="23" t="e">
        <f>HYD!#REF!</f>
        <v>#REF!</v>
      </c>
      <c r="N15" s="23" t="e">
        <f>HYD!#REF!</f>
        <v>#REF!</v>
      </c>
      <c r="O15" s="23" t="e">
        <f>HYD!#REF!</f>
        <v>#REF!</v>
      </c>
      <c r="P15" s="23" t="e">
        <f>HYD!#REF!</f>
        <v>#REF!</v>
      </c>
      <c r="Q15" s="23" t="e">
        <f>HYD!#REF!</f>
        <v>#REF!</v>
      </c>
      <c r="R15" s="23" t="e">
        <f>HYD!#REF!</f>
        <v>#REF!</v>
      </c>
      <c r="S15" s="23" t="e">
        <f>HYD!#REF!</f>
        <v>#REF!</v>
      </c>
      <c r="T15" s="23" t="e">
        <f>HYD!#REF!</f>
        <v>#REF!</v>
      </c>
      <c r="U15" s="23" t="e">
        <f>HYD!#REF!</f>
        <v>#REF!</v>
      </c>
      <c r="V15" s="23" t="e">
        <f>HYD!#REF!</f>
        <v>#REF!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 t="e">
        <f>HYD!#REF!</f>
        <v>#REF!</v>
      </c>
      <c r="AD15" s="1" t="e">
        <f>HYD!#REF!</f>
        <v>#REF!</v>
      </c>
      <c r="AE15" s="1" t="e">
        <f>HYD!#REF!</f>
        <v>#REF!</v>
      </c>
      <c r="AF15" s="1" t="e">
        <f>HYD!#REF!</f>
        <v>#REF!</v>
      </c>
      <c r="AG15" s="1" t="e">
        <f>HYD!#REF!</f>
        <v>#REF!</v>
      </c>
      <c r="AH15" s="1" t="e">
        <f>HYD!#REF!</f>
        <v>#REF!</v>
      </c>
      <c r="AI15" s="1" t="e">
        <f>HYD!#REF!</f>
        <v>#REF!</v>
      </c>
      <c r="AJ15" s="1" t="e">
        <f>HYD!#REF!</f>
        <v>#REF!</v>
      </c>
      <c r="AK15" s="1" t="e">
        <f>HYD!#REF!</f>
        <v>#REF!</v>
      </c>
      <c r="AL15" s="1" t="e">
        <f>HYD!#REF!</f>
        <v>#REF!</v>
      </c>
      <c r="AM15" s="1" t="e">
        <f>HYD!#REF!</f>
        <v>#REF!</v>
      </c>
      <c r="AN15" s="1" t="e">
        <f>HYD!#REF!</f>
        <v>#REF!</v>
      </c>
      <c r="AO15" s="1" t="e">
        <f>HYD!#REF!</f>
        <v>#REF!</v>
      </c>
      <c r="AP15" s="29"/>
      <c r="AQ15" s="29"/>
      <c r="AR15" s="29"/>
      <c r="AS15" s="29"/>
    </row>
    <row r="16" spans="1:45" x14ac:dyDescent="0.25">
      <c r="A16" s="18">
        <v>14</v>
      </c>
      <c r="B16" s="18" t="str">
        <f t="shared" si="0"/>
        <v>SBH-01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 t="e">
        <f>HYD!#REF!</f>
        <v>#REF!</v>
      </c>
      <c r="K16" s="23" t="e">
        <f>HYD!#REF!</f>
        <v>#REF!</v>
      </c>
      <c r="L16" s="23" t="e">
        <f>HYD!#REF!</f>
        <v>#REF!</v>
      </c>
      <c r="M16" s="23" t="e">
        <f>HYD!#REF!</f>
        <v>#REF!</v>
      </c>
      <c r="N16" s="23" t="e">
        <f>HYD!#REF!</f>
        <v>#REF!</v>
      </c>
      <c r="O16" s="23" t="e">
        <f>HYD!#REF!</f>
        <v>#REF!</v>
      </c>
      <c r="P16" s="23" t="e">
        <f>HYD!#REF!</f>
        <v>#REF!</v>
      </c>
      <c r="Q16" s="23" t="e">
        <f>HYD!#REF!</f>
        <v>#REF!</v>
      </c>
      <c r="R16" s="23" t="e">
        <f>HYD!#REF!</f>
        <v>#REF!</v>
      </c>
      <c r="S16" s="23" t="e">
        <f>HYD!#REF!</f>
        <v>#REF!</v>
      </c>
      <c r="T16" s="23" t="e">
        <f>HYD!#REF!</f>
        <v>#REF!</v>
      </c>
      <c r="U16" s="23" t="e">
        <f>HYD!#REF!</f>
        <v>#REF!</v>
      </c>
      <c r="V16" s="23" t="e">
        <f>HYD!#REF!</f>
        <v>#REF!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 t="e">
        <f>HYD!#REF!</f>
        <v>#REF!</v>
      </c>
      <c r="AD16" s="1" t="e">
        <f>HYD!#REF!</f>
        <v>#REF!</v>
      </c>
      <c r="AE16" s="1" t="e">
        <f>HYD!#REF!</f>
        <v>#REF!</v>
      </c>
      <c r="AF16" s="1" t="e">
        <f>HYD!#REF!</f>
        <v>#REF!</v>
      </c>
      <c r="AG16" s="1" t="e">
        <f>HYD!#REF!</f>
        <v>#REF!</v>
      </c>
      <c r="AH16" s="1" t="e">
        <f>HYD!#REF!</f>
        <v>#REF!</v>
      </c>
      <c r="AI16" s="1" t="e">
        <f>HYD!#REF!</f>
        <v>#REF!</v>
      </c>
      <c r="AJ16" s="1" t="e">
        <f>HYD!#REF!</f>
        <v>#REF!</v>
      </c>
      <c r="AK16" s="1" t="e">
        <f>HYD!#REF!</f>
        <v>#REF!</v>
      </c>
      <c r="AL16" s="1" t="e">
        <f>HYD!#REF!</f>
        <v>#REF!</v>
      </c>
      <c r="AM16" s="1" t="e">
        <f>HYD!#REF!</f>
        <v>#REF!</v>
      </c>
      <c r="AN16" s="1" t="e">
        <f>HYD!#REF!</f>
        <v>#REF!</v>
      </c>
      <c r="AO16" s="1" t="e">
        <f>HYD!#REF!</f>
        <v>#REF!</v>
      </c>
      <c r="AP16" s="29"/>
      <c r="AQ16" s="29"/>
      <c r="AR16" s="29"/>
      <c r="AS16" s="29"/>
    </row>
    <row r="17" spans="1:45" x14ac:dyDescent="0.25">
      <c r="A17" s="18">
        <v>15</v>
      </c>
      <c r="B17" s="18" t="str">
        <f t="shared" si="0"/>
        <v>SBH-01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 t="e">
        <f>HYD!#REF!</f>
        <v>#REF!</v>
      </c>
      <c r="K17" s="23" t="e">
        <f>HYD!#REF!</f>
        <v>#REF!</v>
      </c>
      <c r="L17" s="23" t="e">
        <f>HYD!#REF!</f>
        <v>#REF!</v>
      </c>
      <c r="M17" s="23" t="e">
        <f>HYD!#REF!</f>
        <v>#REF!</v>
      </c>
      <c r="N17" s="23" t="e">
        <f>HYD!#REF!</f>
        <v>#REF!</v>
      </c>
      <c r="O17" s="23" t="e">
        <f>HYD!#REF!</f>
        <v>#REF!</v>
      </c>
      <c r="P17" s="23" t="e">
        <f>HYD!#REF!</f>
        <v>#REF!</v>
      </c>
      <c r="Q17" s="23" t="e">
        <f>HYD!#REF!</f>
        <v>#REF!</v>
      </c>
      <c r="R17" s="23" t="e">
        <f>HYD!#REF!</f>
        <v>#REF!</v>
      </c>
      <c r="S17" s="23" t="e">
        <f>HYD!#REF!</f>
        <v>#REF!</v>
      </c>
      <c r="T17" s="23" t="e">
        <f>HYD!#REF!</f>
        <v>#REF!</v>
      </c>
      <c r="U17" s="23" t="e">
        <f>HYD!#REF!</f>
        <v>#REF!</v>
      </c>
      <c r="V17" s="23" t="e">
        <f>HYD!#REF!</f>
        <v>#REF!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 t="e">
        <f>HYD!#REF!</f>
        <v>#REF!</v>
      </c>
      <c r="AD17" s="1" t="e">
        <f>HYD!#REF!</f>
        <v>#REF!</v>
      </c>
      <c r="AE17" s="1" t="e">
        <f>HYD!#REF!</f>
        <v>#REF!</v>
      </c>
      <c r="AF17" s="1" t="e">
        <f>HYD!#REF!</f>
        <v>#REF!</v>
      </c>
      <c r="AG17" s="1" t="e">
        <f>HYD!#REF!</f>
        <v>#REF!</v>
      </c>
      <c r="AH17" s="1" t="e">
        <f>HYD!#REF!</f>
        <v>#REF!</v>
      </c>
      <c r="AI17" s="1" t="e">
        <f>HYD!#REF!</f>
        <v>#REF!</v>
      </c>
      <c r="AJ17" s="1" t="e">
        <f>HYD!#REF!</f>
        <v>#REF!</v>
      </c>
      <c r="AK17" s="1" t="e">
        <f>HYD!#REF!</f>
        <v>#REF!</v>
      </c>
      <c r="AL17" s="1" t="e">
        <f>HYD!#REF!</f>
        <v>#REF!</v>
      </c>
      <c r="AM17" s="1" t="e">
        <f>HYD!#REF!</f>
        <v>#REF!</v>
      </c>
      <c r="AN17" s="1" t="e">
        <f>HYD!#REF!</f>
        <v>#REF!</v>
      </c>
      <c r="AO17" s="1" t="e">
        <f>HYD!#REF!</f>
        <v>#REF!</v>
      </c>
      <c r="AP17" s="29"/>
      <c r="AQ17" s="29"/>
      <c r="AR17" s="29"/>
      <c r="AS17" s="29"/>
    </row>
    <row r="18" spans="1:45" x14ac:dyDescent="0.25">
      <c r="A18" s="18">
        <v>16</v>
      </c>
      <c r="B18" s="18" t="str">
        <f t="shared" si="0"/>
        <v>SBH-01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 t="e">
        <f>HYD!#REF!</f>
        <v>#REF!</v>
      </c>
      <c r="K18" s="23" t="e">
        <f>HYD!#REF!</f>
        <v>#REF!</v>
      </c>
      <c r="L18" s="23" t="e">
        <f>HYD!#REF!</f>
        <v>#REF!</v>
      </c>
      <c r="M18" s="23" t="e">
        <f>HYD!#REF!</f>
        <v>#REF!</v>
      </c>
      <c r="N18" s="23" t="e">
        <f>HYD!#REF!</f>
        <v>#REF!</v>
      </c>
      <c r="O18" s="23" t="e">
        <f>HYD!#REF!</f>
        <v>#REF!</v>
      </c>
      <c r="P18" s="23" t="e">
        <f>HYD!#REF!</f>
        <v>#REF!</v>
      </c>
      <c r="Q18" s="23" t="e">
        <f>HYD!#REF!</f>
        <v>#REF!</v>
      </c>
      <c r="R18" s="23" t="e">
        <f>HYD!#REF!</f>
        <v>#REF!</v>
      </c>
      <c r="S18" s="23" t="e">
        <f>HYD!#REF!</f>
        <v>#REF!</v>
      </c>
      <c r="T18" s="23" t="e">
        <f>HYD!#REF!</f>
        <v>#REF!</v>
      </c>
      <c r="U18" s="23" t="e">
        <f>HYD!#REF!</f>
        <v>#REF!</v>
      </c>
      <c r="V18" s="23" t="e">
        <f>HYD!#REF!</f>
        <v>#REF!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 t="e">
        <f>HYD!#REF!</f>
        <v>#REF!</v>
      </c>
      <c r="AD18" s="1" t="e">
        <f>HYD!#REF!</f>
        <v>#REF!</v>
      </c>
      <c r="AE18" s="1" t="e">
        <f>HYD!#REF!</f>
        <v>#REF!</v>
      </c>
      <c r="AF18" s="1" t="e">
        <f>HYD!#REF!</f>
        <v>#REF!</v>
      </c>
      <c r="AG18" s="1" t="e">
        <f>HYD!#REF!</f>
        <v>#REF!</v>
      </c>
      <c r="AH18" s="1" t="e">
        <f>HYD!#REF!</f>
        <v>#REF!</v>
      </c>
      <c r="AI18" s="1" t="e">
        <f>HYD!#REF!</f>
        <v>#REF!</v>
      </c>
      <c r="AJ18" s="1" t="e">
        <f>HYD!#REF!</f>
        <v>#REF!</v>
      </c>
      <c r="AK18" s="1" t="e">
        <f>HYD!#REF!</f>
        <v>#REF!</v>
      </c>
      <c r="AL18" s="1" t="e">
        <f>HYD!#REF!</f>
        <v>#REF!</v>
      </c>
      <c r="AM18" s="1" t="e">
        <f>HYD!#REF!</f>
        <v>#REF!</v>
      </c>
      <c r="AN18" s="1" t="e">
        <f>HYD!#REF!</f>
        <v>#REF!</v>
      </c>
      <c r="AO18" s="1" t="e">
        <f>HYD!#REF!</f>
        <v>#REF!</v>
      </c>
      <c r="AP18" s="29"/>
      <c r="AQ18" s="29"/>
      <c r="AR18" s="29"/>
      <c r="AS18" s="29"/>
    </row>
    <row r="19" spans="1:45" x14ac:dyDescent="0.25">
      <c r="A19" s="18">
        <v>17</v>
      </c>
      <c r="B19" s="18" t="str">
        <f t="shared" si="0"/>
        <v>SBH-01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 t="e">
        <f>HYD!#REF!</f>
        <v>#REF!</v>
      </c>
      <c r="K19" s="23" t="e">
        <f>HYD!#REF!</f>
        <v>#REF!</v>
      </c>
      <c r="L19" s="23" t="e">
        <f>HYD!#REF!</f>
        <v>#REF!</v>
      </c>
      <c r="M19" s="23" t="e">
        <f>HYD!#REF!</f>
        <v>#REF!</v>
      </c>
      <c r="N19" s="23" t="e">
        <f>HYD!#REF!</f>
        <v>#REF!</v>
      </c>
      <c r="O19" s="23" t="e">
        <f>HYD!#REF!</f>
        <v>#REF!</v>
      </c>
      <c r="P19" s="23" t="e">
        <f>HYD!#REF!</f>
        <v>#REF!</v>
      </c>
      <c r="Q19" s="23" t="e">
        <f>HYD!#REF!</f>
        <v>#REF!</v>
      </c>
      <c r="R19" s="23" t="e">
        <f>HYD!#REF!</f>
        <v>#REF!</v>
      </c>
      <c r="S19" s="23" t="e">
        <f>HYD!#REF!</f>
        <v>#REF!</v>
      </c>
      <c r="T19" s="23" t="e">
        <f>HYD!#REF!</f>
        <v>#REF!</v>
      </c>
      <c r="U19" s="23" t="e">
        <f>HYD!#REF!</f>
        <v>#REF!</v>
      </c>
      <c r="V19" s="23" t="e">
        <f>HYD!#REF!</f>
        <v>#REF!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 t="e">
        <f>HYD!#REF!</f>
        <v>#REF!</v>
      </c>
      <c r="AD19" s="1" t="e">
        <f>HYD!#REF!</f>
        <v>#REF!</v>
      </c>
      <c r="AE19" s="1" t="e">
        <f>HYD!#REF!</f>
        <v>#REF!</v>
      </c>
      <c r="AF19" s="1" t="e">
        <f>HYD!#REF!</f>
        <v>#REF!</v>
      </c>
      <c r="AG19" s="1" t="e">
        <f>HYD!#REF!</f>
        <v>#REF!</v>
      </c>
      <c r="AH19" s="1" t="e">
        <f>HYD!#REF!</f>
        <v>#REF!</v>
      </c>
      <c r="AI19" s="1" t="e">
        <f>HYD!#REF!</f>
        <v>#REF!</v>
      </c>
      <c r="AJ19" s="1" t="e">
        <f>HYD!#REF!</f>
        <v>#REF!</v>
      </c>
      <c r="AK19" s="1" t="e">
        <f>HYD!#REF!</f>
        <v>#REF!</v>
      </c>
      <c r="AL19" s="1" t="e">
        <f>HYD!#REF!</f>
        <v>#REF!</v>
      </c>
      <c r="AM19" s="1" t="e">
        <f>HYD!#REF!</f>
        <v>#REF!</v>
      </c>
      <c r="AN19" s="1" t="e">
        <f>HYD!#REF!</f>
        <v>#REF!</v>
      </c>
      <c r="AO19" s="1" t="e">
        <f>HYD!#REF!</f>
        <v>#REF!</v>
      </c>
      <c r="AP19" s="29"/>
      <c r="AQ19" s="29"/>
      <c r="AR19" s="29"/>
      <c r="AS19" s="29"/>
    </row>
    <row r="20" spans="1:45" x14ac:dyDescent="0.25">
      <c r="A20" s="18">
        <v>18</v>
      </c>
      <c r="B20" s="18" t="str">
        <f t="shared" si="0"/>
        <v>SBH-01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 t="e">
        <f>HYD!#REF!</f>
        <v>#REF!</v>
      </c>
      <c r="K20" s="23" t="e">
        <f>HYD!#REF!</f>
        <v>#REF!</v>
      </c>
      <c r="L20" s="23" t="e">
        <f>HYD!#REF!</f>
        <v>#REF!</v>
      </c>
      <c r="M20" s="23" t="e">
        <f>HYD!#REF!</f>
        <v>#REF!</v>
      </c>
      <c r="N20" s="23" t="e">
        <f>HYD!#REF!</f>
        <v>#REF!</v>
      </c>
      <c r="O20" s="23" t="e">
        <f>HYD!#REF!</f>
        <v>#REF!</v>
      </c>
      <c r="P20" s="23" t="e">
        <f>HYD!#REF!</f>
        <v>#REF!</v>
      </c>
      <c r="Q20" s="23" t="e">
        <f>HYD!#REF!</f>
        <v>#REF!</v>
      </c>
      <c r="R20" s="23" t="e">
        <f>HYD!#REF!</f>
        <v>#REF!</v>
      </c>
      <c r="S20" s="23" t="e">
        <f>HYD!#REF!</f>
        <v>#REF!</v>
      </c>
      <c r="T20" s="23" t="e">
        <f>HYD!#REF!</f>
        <v>#REF!</v>
      </c>
      <c r="U20" s="23" t="e">
        <f>HYD!#REF!</f>
        <v>#REF!</v>
      </c>
      <c r="V20" s="23" t="e">
        <f>HYD!#REF!</f>
        <v>#REF!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 t="e">
        <f>HYD!#REF!</f>
        <v>#REF!</v>
      </c>
      <c r="AD20" s="1" t="e">
        <f>HYD!#REF!</f>
        <v>#REF!</v>
      </c>
      <c r="AE20" s="1" t="e">
        <f>HYD!#REF!</f>
        <v>#REF!</v>
      </c>
      <c r="AF20" s="1" t="e">
        <f>HYD!#REF!</f>
        <v>#REF!</v>
      </c>
      <c r="AG20" s="1" t="e">
        <f>HYD!#REF!</f>
        <v>#REF!</v>
      </c>
      <c r="AH20" s="1" t="e">
        <f>HYD!#REF!</f>
        <v>#REF!</v>
      </c>
      <c r="AI20" s="1" t="e">
        <f>HYD!#REF!</f>
        <v>#REF!</v>
      </c>
      <c r="AJ20" s="1" t="e">
        <f>HYD!#REF!</f>
        <v>#REF!</v>
      </c>
      <c r="AK20" s="1" t="e">
        <f>HYD!#REF!</f>
        <v>#REF!</v>
      </c>
      <c r="AL20" s="1" t="e">
        <f>HYD!#REF!</f>
        <v>#REF!</v>
      </c>
      <c r="AM20" s="1" t="e">
        <f>HYD!#REF!</f>
        <v>#REF!</v>
      </c>
      <c r="AN20" s="1" t="e">
        <f>HYD!#REF!</f>
        <v>#REF!</v>
      </c>
      <c r="AO20" s="1" t="e">
        <f>HYD!#REF!</f>
        <v>#REF!</v>
      </c>
      <c r="AP20" s="29"/>
      <c r="AQ20" s="29"/>
      <c r="AR20" s="29"/>
      <c r="AS20" s="29"/>
    </row>
    <row r="21" spans="1:45" x14ac:dyDescent="0.25">
      <c r="A21" s="18">
        <v>19</v>
      </c>
      <c r="B21" s="18" t="str">
        <f t="shared" si="0"/>
        <v>SBH-01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 t="e">
        <f>HYD!#REF!</f>
        <v>#REF!</v>
      </c>
      <c r="K21" s="23" t="e">
        <f>HYD!#REF!</f>
        <v>#REF!</v>
      </c>
      <c r="L21" s="23" t="e">
        <f>HYD!#REF!</f>
        <v>#REF!</v>
      </c>
      <c r="M21" s="23" t="e">
        <f>HYD!#REF!</f>
        <v>#REF!</v>
      </c>
      <c r="N21" s="23" t="e">
        <f>HYD!#REF!</f>
        <v>#REF!</v>
      </c>
      <c r="O21" s="23" t="e">
        <f>HYD!#REF!</f>
        <v>#REF!</v>
      </c>
      <c r="P21" s="23" t="e">
        <f>HYD!#REF!</f>
        <v>#REF!</v>
      </c>
      <c r="Q21" s="23" t="e">
        <f>HYD!#REF!</f>
        <v>#REF!</v>
      </c>
      <c r="R21" s="23" t="e">
        <f>HYD!#REF!</f>
        <v>#REF!</v>
      </c>
      <c r="S21" s="23" t="e">
        <f>HYD!#REF!</f>
        <v>#REF!</v>
      </c>
      <c r="T21" s="23" t="e">
        <f>HYD!#REF!</f>
        <v>#REF!</v>
      </c>
      <c r="U21" s="23" t="e">
        <f>HYD!#REF!</f>
        <v>#REF!</v>
      </c>
      <c r="V21" s="23" t="e">
        <f>HYD!#REF!</f>
        <v>#REF!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 t="e">
        <f>HYD!#REF!</f>
        <v>#REF!</v>
      </c>
      <c r="AD21" s="1" t="e">
        <f>HYD!#REF!</f>
        <v>#REF!</v>
      </c>
      <c r="AE21" s="1" t="e">
        <f>HYD!#REF!</f>
        <v>#REF!</v>
      </c>
      <c r="AF21" s="1" t="e">
        <f>HYD!#REF!</f>
        <v>#REF!</v>
      </c>
      <c r="AG21" s="1" t="e">
        <f>HYD!#REF!</f>
        <v>#REF!</v>
      </c>
      <c r="AH21" s="1" t="e">
        <f>HYD!#REF!</f>
        <v>#REF!</v>
      </c>
      <c r="AI21" s="1" t="e">
        <f>HYD!#REF!</f>
        <v>#REF!</v>
      </c>
      <c r="AJ21" s="1" t="e">
        <f>HYD!#REF!</f>
        <v>#REF!</v>
      </c>
      <c r="AK21" s="1" t="e">
        <f>HYD!#REF!</f>
        <v>#REF!</v>
      </c>
      <c r="AL21" s="1" t="e">
        <f>HYD!#REF!</f>
        <v>#REF!</v>
      </c>
      <c r="AM21" s="1" t="e">
        <f>HYD!#REF!</f>
        <v>#REF!</v>
      </c>
      <c r="AN21" s="1" t="e">
        <f>HYD!#REF!</f>
        <v>#REF!</v>
      </c>
      <c r="AO21" s="1" t="e">
        <f>HYD!#REF!</f>
        <v>#REF!</v>
      </c>
      <c r="AP21" s="29"/>
      <c r="AQ21" s="29"/>
      <c r="AR21" s="29"/>
      <c r="AS21" s="29"/>
    </row>
    <row r="22" spans="1:45" x14ac:dyDescent="0.25">
      <c r="A22" s="18">
        <v>20</v>
      </c>
      <c r="B22" s="18" t="str">
        <f t="shared" si="0"/>
        <v>SBH-01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 t="e">
        <f>HYD!#REF!</f>
        <v>#REF!</v>
      </c>
      <c r="K22" s="23" t="e">
        <f>HYD!#REF!</f>
        <v>#REF!</v>
      </c>
      <c r="L22" s="23" t="e">
        <f>HYD!#REF!</f>
        <v>#REF!</v>
      </c>
      <c r="M22" s="23" t="e">
        <f>HYD!#REF!</f>
        <v>#REF!</v>
      </c>
      <c r="N22" s="23" t="e">
        <f>HYD!#REF!</f>
        <v>#REF!</v>
      </c>
      <c r="O22" s="23" t="e">
        <f>HYD!#REF!</f>
        <v>#REF!</v>
      </c>
      <c r="P22" s="23" t="e">
        <f>HYD!#REF!</f>
        <v>#REF!</v>
      </c>
      <c r="Q22" s="23" t="e">
        <f>HYD!#REF!</f>
        <v>#REF!</v>
      </c>
      <c r="R22" s="23" t="e">
        <f>HYD!#REF!</f>
        <v>#REF!</v>
      </c>
      <c r="S22" s="23" t="e">
        <f>HYD!#REF!</f>
        <v>#REF!</v>
      </c>
      <c r="T22" s="23" t="e">
        <f>HYD!#REF!</f>
        <v>#REF!</v>
      </c>
      <c r="U22" s="23" t="e">
        <f>HYD!#REF!</f>
        <v>#REF!</v>
      </c>
      <c r="V22" s="23" t="e">
        <f>HYD!#REF!</f>
        <v>#REF!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 t="e">
        <f>HYD!#REF!</f>
        <v>#REF!</v>
      </c>
      <c r="AD22" s="1" t="e">
        <f>HYD!#REF!</f>
        <v>#REF!</v>
      </c>
      <c r="AE22" s="1" t="e">
        <f>HYD!#REF!</f>
        <v>#REF!</v>
      </c>
      <c r="AF22" s="1" t="e">
        <f>HYD!#REF!</f>
        <v>#REF!</v>
      </c>
      <c r="AG22" s="1" t="e">
        <f>HYD!#REF!</f>
        <v>#REF!</v>
      </c>
      <c r="AH22" s="1" t="e">
        <f>HYD!#REF!</f>
        <v>#REF!</v>
      </c>
      <c r="AI22" s="1" t="e">
        <f>HYD!#REF!</f>
        <v>#REF!</v>
      </c>
      <c r="AJ22" s="1" t="e">
        <f>HYD!#REF!</f>
        <v>#REF!</v>
      </c>
      <c r="AK22" s="1" t="e">
        <f>HYD!#REF!</f>
        <v>#REF!</v>
      </c>
      <c r="AL22" s="1" t="e">
        <f>HYD!#REF!</f>
        <v>#REF!</v>
      </c>
      <c r="AM22" s="1" t="e">
        <f>HYD!#REF!</f>
        <v>#REF!</v>
      </c>
      <c r="AN22" s="1" t="e">
        <f>HYD!#REF!</f>
        <v>#REF!</v>
      </c>
      <c r="AO22" s="1" t="e">
        <f>HYD!#REF!</f>
        <v>#REF!</v>
      </c>
    </row>
    <row r="23" spans="1:45" x14ac:dyDescent="0.25">
      <c r="A23" s="18">
        <v>21</v>
      </c>
      <c r="B23" s="18" t="str">
        <f t="shared" si="0"/>
        <v>SBH-01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 t="e">
        <f>HYD!#REF!</f>
        <v>#REF!</v>
      </c>
      <c r="K23" s="23" t="e">
        <f>HYD!#REF!</f>
        <v>#REF!</v>
      </c>
      <c r="L23" s="23" t="e">
        <f>HYD!#REF!</f>
        <v>#REF!</v>
      </c>
      <c r="M23" s="23" t="e">
        <f>HYD!#REF!</f>
        <v>#REF!</v>
      </c>
      <c r="N23" s="23" t="e">
        <f>HYD!#REF!</f>
        <v>#REF!</v>
      </c>
      <c r="O23" s="23" t="e">
        <f>HYD!#REF!</f>
        <v>#REF!</v>
      </c>
      <c r="P23" s="23" t="e">
        <f>HYD!#REF!</f>
        <v>#REF!</v>
      </c>
      <c r="Q23" s="23" t="e">
        <f>HYD!#REF!</f>
        <v>#REF!</v>
      </c>
      <c r="R23" s="23" t="e">
        <f>HYD!#REF!</f>
        <v>#REF!</v>
      </c>
      <c r="S23" s="23" t="e">
        <f>HYD!#REF!</f>
        <v>#REF!</v>
      </c>
      <c r="T23" s="23" t="e">
        <f>HYD!#REF!</f>
        <v>#REF!</v>
      </c>
      <c r="U23" s="23" t="e">
        <f>HYD!#REF!</f>
        <v>#REF!</v>
      </c>
      <c r="V23" s="23" t="e">
        <f>HYD!#REF!</f>
        <v>#REF!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 t="e">
        <f>HYD!#REF!</f>
        <v>#REF!</v>
      </c>
      <c r="AD23" s="1" t="e">
        <f>HYD!#REF!</f>
        <v>#REF!</v>
      </c>
      <c r="AE23" s="1" t="e">
        <f>HYD!#REF!</f>
        <v>#REF!</v>
      </c>
      <c r="AF23" s="1" t="e">
        <f>HYD!#REF!</f>
        <v>#REF!</v>
      </c>
      <c r="AG23" s="1" t="e">
        <f>HYD!#REF!</f>
        <v>#REF!</v>
      </c>
      <c r="AH23" s="1" t="e">
        <f>HYD!#REF!</f>
        <v>#REF!</v>
      </c>
      <c r="AI23" s="1" t="e">
        <f>HYD!#REF!</f>
        <v>#REF!</v>
      </c>
      <c r="AJ23" s="1" t="e">
        <f>HYD!#REF!</f>
        <v>#REF!</v>
      </c>
      <c r="AK23" s="1" t="e">
        <f>HYD!#REF!</f>
        <v>#REF!</v>
      </c>
      <c r="AL23" s="1" t="e">
        <f>HYD!#REF!</f>
        <v>#REF!</v>
      </c>
      <c r="AM23" s="1" t="e">
        <f>HYD!#REF!</f>
        <v>#REF!</v>
      </c>
      <c r="AN23" s="1" t="e">
        <f>HYD!#REF!</f>
        <v>#REF!</v>
      </c>
      <c r="AO23" s="1" t="e">
        <f>HYD!#REF!</f>
        <v>#REF!</v>
      </c>
    </row>
    <row r="24" spans="1:45" x14ac:dyDescent="0.25">
      <c r="AB24" s="1"/>
      <c r="AC24" s="29"/>
    </row>
    <row r="25" spans="1:45" x14ac:dyDescent="0.25">
      <c r="AB25" s="1"/>
      <c r="AC25" s="29"/>
    </row>
    <row r="26" spans="1:45" x14ac:dyDescent="0.25">
      <c r="AB26" s="1"/>
      <c r="AC26" s="29"/>
    </row>
    <row r="27" spans="1:45" x14ac:dyDescent="0.25">
      <c r="AB27" s="1"/>
      <c r="AC27" s="29"/>
    </row>
    <row r="28" spans="1:45" x14ac:dyDescent="0.25">
      <c r="AB28" s="1"/>
      <c r="AC28" s="29"/>
    </row>
    <row r="29" spans="1:45" x14ac:dyDescent="0.25">
      <c r="AB29" s="1"/>
      <c r="AC29" s="29"/>
    </row>
    <row r="30" spans="1:45" x14ac:dyDescent="0.25">
      <c r="AB30" s="1"/>
      <c r="AC30" s="29"/>
    </row>
    <row r="31" spans="1:45" x14ac:dyDescent="0.25">
      <c r="AB31" s="1"/>
      <c r="AC31" s="29"/>
    </row>
    <row r="32" spans="1:45" x14ac:dyDescent="0.25">
      <c r="AB32" s="1"/>
      <c r="AC32" s="29"/>
    </row>
    <row r="33" spans="28:29" x14ac:dyDescent="0.25">
      <c r="AB33" s="1"/>
      <c r="AC33" s="29"/>
    </row>
    <row r="34" spans="28:29" x14ac:dyDescent="0.25">
      <c r="AB34" s="1"/>
      <c r="AC34" s="29"/>
    </row>
    <row r="35" spans="28:29" x14ac:dyDescent="0.25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2026-09-26T10:41:43Z</dcterms:modified>
</cp:coreProperties>
</file>