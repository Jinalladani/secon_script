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2_WORKING DOCUMENTS\GUJARAT SECTION\02_TEST RESULTS\LOT-02\9. BRG Railway Line @ 49.161km(RLBH-01 &amp; RLBH-02)\"/>
    </mc:Choice>
  </mc:AlternateContent>
  <xr:revisionPtr revIDLastSave="0" documentId="13_ncr:1_{106E3F83-DAF6-497C-962C-31917180BBDE}" xr6:coauthVersionLast="47" xr6:coauthVersionMax="47" xr10:uidLastSave="{00000000-0000-0000-0000-000000000000}"/>
  <bookViews>
    <workbookView xWindow="28680" yWindow="-120" windowWidth="29040" windowHeight="157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3" i="7" l="1"/>
  <c r="I12" i="7"/>
  <c r="I11" i="7"/>
  <c r="I10" i="7"/>
  <c r="I9" i="7"/>
  <c r="I8" i="7"/>
  <c r="I7" i="7"/>
  <c r="I6" i="7"/>
  <c r="I5" i="7"/>
  <c r="T5" i="7" l="1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Z3" i="6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<sst xmlns="http://schemas.openxmlformats.org/spreadsheetml/2006/main" count="73" uniqueCount="50">
  <si>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</si>
  <si>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</si>
  <si>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</si>
  <si>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</si>
  <si>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</si>
  <si>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</si>
  <si>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</si>
  <si>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</si>
  <si>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</si>
  <si>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</si>
  <si>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</si>
  <si>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</si>
  <si>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</si>
  <si>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</si>
  <si>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</si>
  <si>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</si>
  <si>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</si>
  <si>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</si>
  <si>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</si>
  <si>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</si>
  <si>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</si>
  <si>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</si>
  <si>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</si>
  <si>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</si>
  <si>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</si>
  <si>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</si>
  <si>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</si>
  <si>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</si>
  <si>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</si>
  <si>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</si>
  <si>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</si>
  <si>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</si>
  <si>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</si>
  <si>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</si>
  <si>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</si>
  <si>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</si>
  <si>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</si>
  <si>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</si>
  <si>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</si>
  <si>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</si>
  <si>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</si>
  <si>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</si>
  <si>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</si>
  <si>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</si>
  <si>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</si>
  <si>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</si>
  <si>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</si>
  <si>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</si>
  <si>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</si>
  <si>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RLBH-02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</si>
</sst>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1"/>
    </font>
    <font>
      <sz val="11"/>
      <color theme="1"/>
      <name val="Calibri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74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3" borderId="1" xfId="0" applyNumberFormat="1" applyFont="1" applyFill="1" applyBorder="1" applyAlignment="1">
      <alignment horizontal="center" vertical="center"/>
    </xf>
    <xf numFmtId="2" fontId="11" fillId="3" borderId="1" xfId="0" applyNumberFormat="1" applyFont="1" applyFill="1" applyBorder="1" applyAlignment="1">
      <alignment horizontal="center" vertical="center"/>
    </xf>
    <xf numFmtId="0" fontId="3" fillId="2" borderId="0" xfId="1" applyFill="1"/>
    <xf numFmtId="166" fontId="1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2" fontId="11" fillId="0" borderId="1" xfId="0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0" fillId="0" borderId="1" xfId="0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5">
    <cellStyle name="Normal" xfId="0" builtinId="0"/>
    <cellStyle name="Normal 2" xfId="1" xr:uid="{13B726F5-1599-4C07-92E9-3289F274DDE0}"/>
    <cellStyle name="Normal 2 2" xfId="2" xr:uid="{CE10CE76-0344-41AE-9E8A-672CC38C4D6F}"/>
    <cellStyle name="Normal 3" xfId="3" xr:uid="{7CCE0397-F2B1-46E3-B6EA-A30F5016BC21}"/>
    <cellStyle name="Normal 4" xfId="4" xr:uid="{4F3FDD03-7408-434D-B140-8BA5C1213CBE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100</c:v>
                </c:pt>
                <c:pt idx="1">
                  <c:v>98.98</c:v>
                </c:pt>
                <c:pt idx="2">
                  <c:v>98.58</c:v>
                </c:pt>
                <c:pt idx="3">
                  <c:v>96.58</c:v>
                </c:pt>
                <c:pt idx="4">
                  <c:v>94.47</c:v>
                </c:pt>
                <c:pt idx="5">
                  <c:v>93.2</c:v>
                </c:pt>
                <c:pt idx="6">
                  <c:v>90</c:v>
                </c:pt>
                <c:pt idx="7">
                  <c:v>87.710000000000008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99.07</c:v>
                </c:pt>
                <c:pt idx="1">
                  <c:v>97.13</c:v>
                </c:pt>
                <c:pt idx="2">
                  <c:v>96.114999999999995</c:v>
                </c:pt>
                <c:pt idx="3">
                  <c:v>92.454999999999998</c:v>
                </c:pt>
                <c:pt idx="4">
                  <c:v>89.015000000000001</c:v>
                </c:pt>
                <c:pt idx="5">
                  <c:v>86.944999999999993</c:v>
                </c:pt>
                <c:pt idx="6">
                  <c:v>81.525000000000006</c:v>
                </c:pt>
                <c:pt idx="7">
                  <c:v>79.10499999999999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92.02</c:v>
                </c:pt>
                <c:pt idx="1">
                  <c:v>37.950000000000003</c:v>
                </c:pt>
                <c:pt idx="2">
                  <c:v>33.77000000000001</c:v>
                </c:pt>
                <c:pt idx="3">
                  <c:v>30.200000000000017</c:v>
                </c:pt>
                <c:pt idx="4">
                  <c:v>28.52000000000001</c:v>
                </c:pt>
                <c:pt idx="5">
                  <c:v>27.63000000000001</c:v>
                </c:pt>
                <c:pt idx="6">
                  <c:v>25.610000000000017</c:v>
                </c:pt>
                <c:pt idx="7">
                  <c:v>24.40000000000002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98.39</c:v>
                </c:pt>
                <c:pt idx="1">
                  <c:v>70.025000000000006</c:v>
                </c:pt>
                <c:pt idx="2">
                  <c:v>58.775000000000013</c:v>
                </c:pt>
                <c:pt idx="3">
                  <c:v>47.045000000000002</c:v>
                </c:pt>
                <c:pt idx="4">
                  <c:v>41.435000000000002</c:v>
                </c:pt>
                <c:pt idx="5">
                  <c:v>38.664999999999999</c:v>
                </c:pt>
                <c:pt idx="6">
                  <c:v>32.72</c:v>
                </c:pt>
                <c:pt idx="7">
                  <c:v>29.959999999999994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97.74</c:v>
                </c:pt>
                <c:pt idx="1">
                  <c:v>22.659999999999997</c:v>
                </c:pt>
                <c:pt idx="2">
                  <c:v>20.099999999999994</c:v>
                </c:pt>
                <c:pt idx="3">
                  <c:v>18</c:v>
                </c:pt>
                <c:pt idx="4">
                  <c:v>16.840000000000003</c:v>
                </c:pt>
                <c:pt idx="5">
                  <c:v>16.260000000000005</c:v>
                </c:pt>
                <c:pt idx="6">
                  <c:v>14.97</c:v>
                </c:pt>
                <c:pt idx="7">
                  <c:v>14.14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61.195</c:v>
                </c:pt>
                <c:pt idx="1">
                  <c:v>27.539999999999992</c:v>
                </c:pt>
                <c:pt idx="2">
                  <c:v>23.774999999999991</c:v>
                </c:pt>
                <c:pt idx="3">
                  <c:v>20.329999999999998</c:v>
                </c:pt>
                <c:pt idx="4">
                  <c:v>18.784999999999997</c:v>
                </c:pt>
                <c:pt idx="5">
                  <c:v>18.114999999999995</c:v>
                </c:pt>
                <c:pt idx="6">
                  <c:v>16.60499999999999</c:v>
                </c:pt>
                <c:pt idx="7">
                  <c:v>16.044999999999987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71.02</c:v>
                </c:pt>
                <c:pt idx="1">
                  <c:v>66.539999999999992</c:v>
                </c:pt>
                <c:pt idx="2">
                  <c:v>65.28</c:v>
                </c:pt>
                <c:pt idx="3">
                  <c:v>62.580000000000005</c:v>
                </c:pt>
                <c:pt idx="4">
                  <c:v>59.18</c:v>
                </c:pt>
                <c:pt idx="5">
                  <c:v>56.7</c:v>
                </c:pt>
                <c:pt idx="6">
                  <c:v>46.21</c:v>
                </c:pt>
                <c:pt idx="7">
                  <c:v>41.06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12.50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79.12</c:v>
                </c:pt>
                <c:pt idx="1">
                  <c:v>75.460000000000008</c:v>
                </c:pt>
                <c:pt idx="2">
                  <c:v>74</c:v>
                </c:pt>
                <c:pt idx="3">
                  <c:v>71.23</c:v>
                </c:pt>
                <c:pt idx="4">
                  <c:v>67.52000000000001</c:v>
                </c:pt>
                <c:pt idx="5">
                  <c:v>64.44</c:v>
                </c:pt>
                <c:pt idx="6">
                  <c:v>53.960000000000008</c:v>
                </c:pt>
                <c:pt idx="7">
                  <c:v>47.610000000000007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68.430000000000007</c:v>
                </c:pt>
                <c:pt idx="1">
                  <c:v>59.24</c:v>
                </c:pt>
                <c:pt idx="2">
                  <c:v>57.03</c:v>
                </c:pt>
                <c:pt idx="3">
                  <c:v>53.14</c:v>
                </c:pt>
                <c:pt idx="4">
                  <c:v>49.08</c:v>
                </c:pt>
                <c:pt idx="5">
                  <c:v>46.01</c:v>
                </c:pt>
                <c:pt idx="6">
                  <c:v>37.03</c:v>
                </c:pt>
                <c:pt idx="7">
                  <c:v>31.269999999999996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100</c:v>
                </c:pt>
                <c:pt idx="1">
                  <c:v>98.98</c:v>
                </c:pt>
                <c:pt idx="2">
                  <c:v>98.58</c:v>
                </c:pt>
                <c:pt idx="3">
                  <c:v>96.58</c:v>
                </c:pt>
                <c:pt idx="4">
                  <c:v>94.47</c:v>
                </c:pt>
                <c:pt idx="5">
                  <c:v>93.2</c:v>
                </c:pt>
                <c:pt idx="6">
                  <c:v>90</c:v>
                </c:pt>
                <c:pt idx="7">
                  <c:v>87.710000000000008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99.07</c:v>
                </c:pt>
                <c:pt idx="1">
                  <c:v>97.13</c:v>
                </c:pt>
                <c:pt idx="2">
                  <c:v>96.114999999999995</c:v>
                </c:pt>
                <c:pt idx="3">
                  <c:v>92.454999999999998</c:v>
                </c:pt>
                <c:pt idx="4">
                  <c:v>89.015000000000001</c:v>
                </c:pt>
                <c:pt idx="5">
                  <c:v>86.944999999999993</c:v>
                </c:pt>
                <c:pt idx="6">
                  <c:v>81.525000000000006</c:v>
                </c:pt>
                <c:pt idx="7">
                  <c:v>79.10499999999999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92.02</c:v>
                </c:pt>
                <c:pt idx="1">
                  <c:v>37.950000000000003</c:v>
                </c:pt>
                <c:pt idx="2">
                  <c:v>33.77000000000001</c:v>
                </c:pt>
                <c:pt idx="3">
                  <c:v>30.200000000000017</c:v>
                </c:pt>
                <c:pt idx="4">
                  <c:v>28.52000000000001</c:v>
                </c:pt>
                <c:pt idx="5">
                  <c:v>27.63000000000001</c:v>
                </c:pt>
                <c:pt idx="6">
                  <c:v>25.610000000000017</c:v>
                </c:pt>
                <c:pt idx="7">
                  <c:v>24.40000000000002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98.39</c:v>
                </c:pt>
                <c:pt idx="1">
                  <c:v>70.025000000000006</c:v>
                </c:pt>
                <c:pt idx="2">
                  <c:v>58.775000000000013</c:v>
                </c:pt>
                <c:pt idx="3">
                  <c:v>47.045000000000002</c:v>
                </c:pt>
                <c:pt idx="4">
                  <c:v>41.435000000000002</c:v>
                </c:pt>
                <c:pt idx="5">
                  <c:v>38.664999999999999</c:v>
                </c:pt>
                <c:pt idx="6">
                  <c:v>32.72</c:v>
                </c:pt>
                <c:pt idx="7">
                  <c:v>29.959999999999994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97.74</c:v>
                </c:pt>
                <c:pt idx="1">
                  <c:v>22.659999999999997</c:v>
                </c:pt>
                <c:pt idx="2">
                  <c:v>20.099999999999994</c:v>
                </c:pt>
                <c:pt idx="3">
                  <c:v>18</c:v>
                </c:pt>
                <c:pt idx="4">
                  <c:v>16.840000000000003</c:v>
                </c:pt>
                <c:pt idx="5">
                  <c:v>16.260000000000005</c:v>
                </c:pt>
                <c:pt idx="6">
                  <c:v>14.97</c:v>
                </c:pt>
                <c:pt idx="7">
                  <c:v>14.14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61.195</c:v>
                </c:pt>
                <c:pt idx="1">
                  <c:v>27.539999999999992</c:v>
                </c:pt>
                <c:pt idx="2">
                  <c:v>23.774999999999991</c:v>
                </c:pt>
                <c:pt idx="3">
                  <c:v>20.329999999999998</c:v>
                </c:pt>
                <c:pt idx="4">
                  <c:v>18.784999999999997</c:v>
                </c:pt>
                <c:pt idx="5">
                  <c:v>18.114999999999995</c:v>
                </c:pt>
                <c:pt idx="6">
                  <c:v>16.60499999999999</c:v>
                </c:pt>
                <c:pt idx="7">
                  <c:v>16.044999999999987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71.02</c:v>
                </c:pt>
                <c:pt idx="1">
                  <c:v>66.539999999999992</c:v>
                </c:pt>
                <c:pt idx="2">
                  <c:v>65.28</c:v>
                </c:pt>
                <c:pt idx="3">
                  <c:v>62.580000000000005</c:v>
                </c:pt>
                <c:pt idx="4">
                  <c:v>59.18</c:v>
                </c:pt>
                <c:pt idx="5">
                  <c:v>56.7</c:v>
                </c:pt>
                <c:pt idx="6">
                  <c:v>46.21</c:v>
                </c:pt>
                <c:pt idx="7">
                  <c:v>41.06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12.50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79.12</c:v>
                </c:pt>
                <c:pt idx="1">
                  <c:v>75.460000000000008</c:v>
                </c:pt>
                <c:pt idx="2">
                  <c:v>74</c:v>
                </c:pt>
                <c:pt idx="3">
                  <c:v>71.23</c:v>
                </c:pt>
                <c:pt idx="4">
                  <c:v>67.52000000000001</c:v>
                </c:pt>
                <c:pt idx="5">
                  <c:v>64.44</c:v>
                </c:pt>
                <c:pt idx="6">
                  <c:v>53.960000000000008</c:v>
                </c:pt>
                <c:pt idx="7">
                  <c:v>47.610000000000007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68.430000000000007</c:v>
                </c:pt>
                <c:pt idx="1">
                  <c:v>59.24</c:v>
                </c:pt>
                <c:pt idx="2">
                  <c:v>57.03</c:v>
                </c:pt>
                <c:pt idx="3">
                  <c:v>53.14</c:v>
                </c:pt>
                <c:pt idx="4">
                  <c:v>49.08</c:v>
                </c:pt>
                <c:pt idx="5">
                  <c:v>46.01</c:v>
                </c:pt>
                <c:pt idx="6">
                  <c:v>37.03</c:v>
                </c:pt>
                <c:pt idx="7">
                  <c:v>31.269999999999996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zoomScale="95" zoomScaleNormal="85" zoomScaleSheetLayoutView="95" zoomScalePageLayoutView="85" workbookViewId="0">
      <selection activeCell="J9" sqref="J9"/>
    </sheetView>
  </sheetViews>
  <sheetFormatPr defaultColWidth="9" defaultRowHeight="1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1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16384" width="9" style="1"/>
  </cols>
  <sheetData>
    <row r="1" spans="1:29" ht="25.15" customHeight="1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</row>
    <row r="2" spans="1:29" ht="24.6" customHeight="1">
      <c r="A2" s="43" t="s">
        <v>4</v>
      </c>
      <c r="B2" s="46" t="s">
        <v>5</v>
      </c>
      <c r="C2" s="46" t="s">
        <v>6</v>
      </c>
      <c r="D2" s="46" t="s">
        <v>7</v>
      </c>
      <c r="E2" s="49" t="s">
        <v>8</v>
      </c>
      <c r="F2" s="49" t="s">
        <v>9</v>
      </c>
      <c r="G2" s="49" t="s">
        <v>10</v>
      </c>
      <c r="H2" s="49" t="s">
        <v>11</v>
      </c>
      <c r="I2" s="50" t="s">
        <v>12</v>
      </c>
      <c r="J2" s="53" t="s">
        <v>13</v>
      </c>
      <c r="K2" s="53"/>
      <c r="L2" s="53"/>
      <c r="M2" s="53"/>
      <c r="N2" s="53"/>
      <c r="O2" s="53"/>
      <c r="P2" s="53"/>
      <c r="Q2" s="53"/>
      <c r="R2" s="53"/>
      <c r="S2" s="53" t="s">
        <v>0</v>
      </c>
      <c r="T2" s="53"/>
      <c r="U2" s="53"/>
      <c r="V2" s="53"/>
      <c r="W2" s="53"/>
      <c r="X2" s="53"/>
      <c r="Y2" s="53"/>
      <c r="Z2" s="53"/>
      <c r="AA2" s="52" t="s">
        <v>14</v>
      </c>
      <c r="AB2" s="52" t="s">
        <v>15</v>
      </c>
      <c r="AC2" s="52" t="s">
        <v>16</v>
      </c>
    </row>
    <row r="3" spans="1:29" ht="40.5" customHeight="1">
      <c r="A3" s="44"/>
      <c r="B3" s="47"/>
      <c r="C3" s="47"/>
      <c r="D3" s="47"/>
      <c r="E3" s="49"/>
      <c r="F3" s="49"/>
      <c r="G3" s="49"/>
      <c r="H3" s="49"/>
      <c r="I3" s="51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52"/>
      <c r="AB3" s="52"/>
      <c r="AC3" s="52"/>
    </row>
    <row r="4" spans="1:29" ht="21.6" customHeight="1">
      <c r="A4" s="45"/>
      <c r="B4" s="48"/>
      <c r="C4" s="48"/>
      <c r="D4" s="48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3" t="s">
        <v>20</v>
      </c>
      <c r="K4" s="53"/>
      <c r="L4" s="53"/>
      <c r="M4" s="53"/>
      <c r="N4" s="53"/>
      <c r="O4" s="53"/>
      <c r="P4" s="53"/>
      <c r="Q4" s="53"/>
      <c r="R4" s="53"/>
      <c r="S4" s="53" t="s">
        <v>20</v>
      </c>
      <c r="T4" s="53"/>
      <c r="U4" s="53"/>
      <c r="V4" s="53"/>
      <c r="W4" s="53"/>
      <c r="X4" s="53"/>
      <c r="Y4" s="53"/>
      <c r="Z4" s="53"/>
      <c r="AA4" s="54" t="s">
        <v>21</v>
      </c>
      <c r="AB4" s="55"/>
      <c r="AC4" s="55"/>
    </row>
    <row r="5" spans="1:29" ht="30" customHeight="1">
      <c r="A5" s="9">
        <v>1</v>
      </c>
      <c r="B5" s="56" t="s">
        <v>49</v>
      </c>
      <c r="C5" s="56"/>
      <c r="D5" s="57"/>
      <c r="E5" s="40" t="s">
        <v>22</v>
      </c>
      <c r="F5" s="41">
        <v>0.5</v>
      </c>
      <c r="G5" s="40"/>
      <c r="H5" s="40">
        <v>100</v>
      </c>
      <c r="I5" s="41">
        <f t="shared" ref="I5:I13" si="0">SUM(J5:R5)</f>
        <v>12.29</v>
      </c>
      <c r="J5" s="41">
        <v>0</v>
      </c>
      <c r="K5" s="41">
        <v>1.02</v>
      </c>
      <c r="L5" s="41">
        <v>0.4</v>
      </c>
      <c r="M5" s="41">
        <v>2</v>
      </c>
      <c r="N5" s="41">
        <v>2.11</v>
      </c>
      <c r="O5" s="41">
        <v>1.27</v>
      </c>
      <c r="P5" s="41">
        <v>3.2</v>
      </c>
      <c r="Q5" s="41">
        <v>2.29</v>
      </c>
      <c r="R5" s="10"/>
      <c r="S5" s="39">
        <f t="shared" ref="S5:S13" si="1">((H5-(SUM(J5)))/H5)*100</f>
        <v>100</v>
      </c>
      <c r="T5" s="39">
        <f>((H5-(SUM(J5:K5)))/H5)*100</f>
        <v>98.98</v>
      </c>
      <c r="U5" s="39">
        <f t="shared" ref="U5:U13" si="2">((H5-(SUM(J5:L5)))/H5)*100</f>
        <v>98.58</v>
      </c>
      <c r="V5" s="39">
        <f t="shared" ref="V5:V13" si="3">((H5-(SUM(J5:M5)))/H5)*100</f>
        <v>96.58</v>
      </c>
      <c r="W5" s="39">
        <f t="shared" ref="W5:W13" si="4">((H5-(SUM(J5:N5)))/H5)*100</f>
        <v>94.47</v>
      </c>
      <c r="X5" s="39">
        <f t="shared" ref="X5:X13" si="5">((H5-(SUM(J5:O5)))/H5)*100</f>
        <v>93.2</v>
      </c>
      <c r="Y5" s="39">
        <f t="shared" ref="Y5:Y13" si="6">((H5-(SUM(J5:P5)))/H5)*100</f>
        <v>90</v>
      </c>
      <c r="Z5" s="39">
        <f t="shared" ref="Z5:Z13" si="7">((H5-(SUM(J5:Q5)))/H5)*100</f>
        <v>87.710000000000008</v>
      </c>
      <c r="AA5" s="39">
        <f t="shared" ref="AA5:AA13" si="8">100-S5</f>
        <v>0</v>
      </c>
      <c r="AB5" s="39">
        <f t="shared" ref="AB5:AB13" si="9">S5-Z5</f>
        <v>12.289999999999992</v>
      </c>
      <c r="AC5" s="39">
        <f t="shared" ref="AC5:AC13" si="10">Z5</f>
        <v>87.710000000000008</v>
      </c>
    </row>
    <row r="6" spans="1:29" ht="30" customHeight="1">
      <c r="A6" s="9">
        <v>2</v>
      </c>
      <c r="B6" s="56"/>
      <c r="C6" s="56"/>
      <c r="D6" s="57"/>
      <c r="E6" s="40" t="s">
        <v>48</v>
      </c>
      <c r="F6" s="41">
        <v>1.5</v>
      </c>
      <c r="G6" s="40"/>
      <c r="H6" s="40">
        <v>200</v>
      </c>
      <c r="I6" s="41">
        <f t="shared" si="0"/>
        <v>41.790000000000006</v>
      </c>
      <c r="J6" s="41">
        <v>1.86</v>
      </c>
      <c r="K6" s="41">
        <v>3.88</v>
      </c>
      <c r="L6" s="41">
        <v>2.0299999999999998</v>
      </c>
      <c r="M6" s="41">
        <v>7.32</v>
      </c>
      <c r="N6" s="41">
        <v>6.88</v>
      </c>
      <c r="O6" s="41">
        <v>4.1399999999999997</v>
      </c>
      <c r="P6" s="41">
        <v>10.84</v>
      </c>
      <c r="Q6" s="41">
        <v>4.84</v>
      </c>
      <c r="R6" s="10"/>
      <c r="S6" s="39">
        <f t="shared" si="1"/>
        <v>99.07</v>
      </c>
      <c r="T6" s="39">
        <f t="shared" ref="T6:T13" si="11">((H6-(SUM(J6:K6)))/H6)*100</f>
        <v>97.13</v>
      </c>
      <c r="U6" s="39">
        <f t="shared" si="2"/>
        <v>96.114999999999995</v>
      </c>
      <c r="V6" s="39">
        <f t="shared" si="3"/>
        <v>92.454999999999998</v>
      </c>
      <c r="W6" s="39">
        <f t="shared" si="4"/>
        <v>89.015000000000001</v>
      </c>
      <c r="X6" s="39">
        <f t="shared" si="5"/>
        <v>86.944999999999993</v>
      </c>
      <c r="Y6" s="39">
        <f t="shared" si="6"/>
        <v>81.525000000000006</v>
      </c>
      <c r="Z6" s="39">
        <f t="shared" si="7"/>
        <v>79.10499999999999</v>
      </c>
      <c r="AA6" s="39">
        <f t="shared" si="8"/>
        <v>0.93000000000000682</v>
      </c>
      <c r="AB6" s="39">
        <f t="shared" si="9"/>
        <v>19.965000000000003</v>
      </c>
      <c r="AC6" s="39">
        <f t="shared" si="10"/>
        <v>79.10499999999999</v>
      </c>
    </row>
    <row r="7" spans="1:29" ht="30" customHeight="1">
      <c r="A7" s="9">
        <v>3</v>
      </c>
      <c r="B7" s="56"/>
      <c r="C7" s="56"/>
      <c r="D7" s="57"/>
      <c r="E7" s="40" t="s">
        <v>22</v>
      </c>
      <c r="F7" s="41">
        <v>3.5</v>
      </c>
      <c r="G7" s="40"/>
      <c r="H7" s="40">
        <v>100</v>
      </c>
      <c r="I7" s="41">
        <f t="shared" si="0"/>
        <v>75.59999999999998</v>
      </c>
      <c r="J7" s="41">
        <v>7.98</v>
      </c>
      <c r="K7" s="41">
        <v>54.07</v>
      </c>
      <c r="L7" s="41">
        <v>4.18</v>
      </c>
      <c r="M7" s="41">
        <v>3.57</v>
      </c>
      <c r="N7" s="41">
        <v>1.68</v>
      </c>
      <c r="O7" s="41">
        <v>0.89</v>
      </c>
      <c r="P7" s="41">
        <v>2.02</v>
      </c>
      <c r="Q7" s="41">
        <v>1.21</v>
      </c>
      <c r="R7" s="10"/>
      <c r="S7" s="39">
        <f t="shared" si="1"/>
        <v>92.02</v>
      </c>
      <c r="T7" s="39">
        <f t="shared" si="11"/>
        <v>37.950000000000003</v>
      </c>
      <c r="U7" s="39">
        <f t="shared" si="2"/>
        <v>33.77000000000001</v>
      </c>
      <c r="V7" s="39">
        <f t="shared" si="3"/>
        <v>30.200000000000017</v>
      </c>
      <c r="W7" s="39">
        <f t="shared" si="4"/>
        <v>28.52000000000001</v>
      </c>
      <c r="X7" s="39">
        <f t="shared" si="5"/>
        <v>27.63000000000001</v>
      </c>
      <c r="Y7" s="39">
        <f t="shared" si="6"/>
        <v>25.610000000000017</v>
      </c>
      <c r="Z7" s="39">
        <f t="shared" si="7"/>
        <v>24.40000000000002</v>
      </c>
      <c r="AA7" s="39">
        <f t="shared" si="8"/>
        <v>7.980000000000004</v>
      </c>
      <c r="AB7" s="39">
        <f t="shared" si="9"/>
        <v>67.619999999999976</v>
      </c>
      <c r="AC7" s="39">
        <f t="shared" si="10"/>
        <v>24.40000000000002</v>
      </c>
    </row>
    <row r="8" spans="1:29" ht="30" customHeight="1">
      <c r="A8" s="9">
        <v>4</v>
      </c>
      <c r="B8" s="56"/>
      <c r="C8" s="56"/>
      <c r="D8" s="57"/>
      <c r="E8" s="40" t="s">
        <v>48</v>
      </c>
      <c r="F8" s="41">
        <v>4.5</v>
      </c>
      <c r="G8" s="40"/>
      <c r="H8" s="40">
        <v>200</v>
      </c>
      <c r="I8" s="41">
        <f t="shared" si="0"/>
        <v>140.08000000000001</v>
      </c>
      <c r="J8" s="41">
        <v>3.22</v>
      </c>
      <c r="K8" s="41">
        <v>56.73</v>
      </c>
      <c r="L8" s="41">
        <v>22.5</v>
      </c>
      <c r="M8" s="41">
        <v>23.46</v>
      </c>
      <c r="N8" s="41">
        <v>11.22</v>
      </c>
      <c r="O8" s="41">
        <v>5.54</v>
      </c>
      <c r="P8" s="41">
        <v>11.89</v>
      </c>
      <c r="Q8" s="41">
        <v>5.52</v>
      </c>
      <c r="R8" s="10"/>
      <c r="S8" s="39">
        <f t="shared" si="1"/>
        <v>98.39</v>
      </c>
      <c r="T8" s="39">
        <f t="shared" si="11"/>
        <v>70.025000000000006</v>
      </c>
      <c r="U8" s="39">
        <f t="shared" si="2"/>
        <v>58.775000000000013</v>
      </c>
      <c r="V8" s="39">
        <f t="shared" si="3"/>
        <v>47.045000000000002</v>
      </c>
      <c r="W8" s="39">
        <f t="shared" si="4"/>
        <v>41.435000000000002</v>
      </c>
      <c r="X8" s="39">
        <f t="shared" si="5"/>
        <v>38.664999999999999</v>
      </c>
      <c r="Y8" s="39">
        <f t="shared" si="6"/>
        <v>32.72</v>
      </c>
      <c r="Z8" s="39">
        <f t="shared" si="7"/>
        <v>29.959999999999994</v>
      </c>
      <c r="AA8" s="39">
        <f t="shared" si="8"/>
        <v>1.6099999999999994</v>
      </c>
      <c r="AB8" s="39">
        <f t="shared" si="9"/>
        <v>68.430000000000007</v>
      </c>
      <c r="AC8" s="39">
        <f t="shared" si="10"/>
        <v>29.959999999999994</v>
      </c>
    </row>
    <row r="9" spans="1:29" ht="30" customHeight="1">
      <c r="A9" s="9">
        <v>5</v>
      </c>
      <c r="B9" s="56"/>
      <c r="C9" s="56"/>
      <c r="D9" s="57"/>
      <c r="E9" s="40" t="s">
        <v>22</v>
      </c>
      <c r="F9" s="41">
        <v>6.5</v>
      </c>
      <c r="G9" s="40"/>
      <c r="H9" s="40">
        <v>100</v>
      </c>
      <c r="I9" s="41">
        <f t="shared" si="0"/>
        <v>85.86</v>
      </c>
      <c r="J9" s="41">
        <v>2.2599999999999998</v>
      </c>
      <c r="K9" s="41">
        <v>75.08</v>
      </c>
      <c r="L9" s="41">
        <v>2.56</v>
      </c>
      <c r="M9" s="41">
        <v>2.1</v>
      </c>
      <c r="N9" s="41">
        <v>1.1599999999999999</v>
      </c>
      <c r="O9" s="41">
        <v>0.57999999999999996</v>
      </c>
      <c r="P9" s="41">
        <v>1.29</v>
      </c>
      <c r="Q9" s="41">
        <v>0.83</v>
      </c>
      <c r="R9" s="10"/>
      <c r="S9" s="39">
        <f t="shared" si="1"/>
        <v>97.74</v>
      </c>
      <c r="T9" s="39">
        <f t="shared" si="11"/>
        <v>22.659999999999997</v>
      </c>
      <c r="U9" s="39">
        <f t="shared" si="2"/>
        <v>20.099999999999994</v>
      </c>
      <c r="V9" s="39">
        <f t="shared" si="3"/>
        <v>18</v>
      </c>
      <c r="W9" s="39">
        <f t="shared" si="4"/>
        <v>16.840000000000003</v>
      </c>
      <c r="X9" s="39">
        <f>((H9-(SUM(J9:O9)))/H9)*100</f>
        <v>16.260000000000005</v>
      </c>
      <c r="Y9" s="39">
        <f t="shared" si="6"/>
        <v>14.97</v>
      </c>
      <c r="Z9" s="39">
        <f t="shared" si="7"/>
        <v>14.14</v>
      </c>
      <c r="AA9" s="39">
        <f t="shared" si="8"/>
        <v>2.2600000000000051</v>
      </c>
      <c r="AB9" s="39">
        <f t="shared" si="9"/>
        <v>83.6</v>
      </c>
      <c r="AC9" s="39">
        <f t="shared" si="10"/>
        <v>14.14</v>
      </c>
    </row>
    <row r="10" spans="1:29" s="31" customFormat="1" ht="30" customHeight="1">
      <c r="A10" s="9">
        <v>6</v>
      </c>
      <c r="B10" s="56"/>
      <c r="C10" s="56"/>
      <c r="D10" s="57"/>
      <c r="E10" s="40" t="s">
        <v>48</v>
      </c>
      <c r="F10" s="41">
        <v>7.5</v>
      </c>
      <c r="G10" s="40"/>
      <c r="H10" s="40">
        <v>200</v>
      </c>
      <c r="I10" s="41">
        <f t="shared" si="0"/>
        <v>167.91000000000003</v>
      </c>
      <c r="J10" s="41">
        <v>77.61</v>
      </c>
      <c r="K10" s="41">
        <v>67.31</v>
      </c>
      <c r="L10" s="41">
        <v>7.53</v>
      </c>
      <c r="M10" s="41">
        <v>6.89</v>
      </c>
      <c r="N10" s="41">
        <v>3.09</v>
      </c>
      <c r="O10" s="41">
        <v>1.34</v>
      </c>
      <c r="P10" s="41">
        <v>3.02</v>
      </c>
      <c r="Q10" s="41">
        <v>1.1200000000000001</v>
      </c>
      <c r="R10" s="10"/>
      <c r="S10" s="39">
        <f t="shared" si="1"/>
        <v>61.195</v>
      </c>
      <c r="T10" s="39">
        <f t="shared" si="11"/>
        <v>27.539999999999992</v>
      </c>
      <c r="U10" s="39">
        <f t="shared" si="2"/>
        <v>23.774999999999991</v>
      </c>
      <c r="V10" s="39">
        <f t="shared" si="3"/>
        <v>20.329999999999998</v>
      </c>
      <c r="W10" s="39">
        <f t="shared" si="4"/>
        <v>18.784999999999997</v>
      </c>
      <c r="X10" s="39">
        <f t="shared" si="5"/>
        <v>18.114999999999995</v>
      </c>
      <c r="Y10" s="39">
        <f t="shared" si="6"/>
        <v>16.60499999999999</v>
      </c>
      <c r="Z10" s="39">
        <f t="shared" si="7"/>
        <v>16.044999999999987</v>
      </c>
      <c r="AA10" s="39">
        <f t="shared" si="8"/>
        <v>38.805</v>
      </c>
      <c r="AB10" s="39">
        <f t="shared" si="9"/>
        <v>45.150000000000013</v>
      </c>
      <c r="AC10" s="39">
        <f t="shared" si="10"/>
        <v>16.044999999999987</v>
      </c>
    </row>
    <row r="11" spans="1:29" ht="30" customHeight="1">
      <c r="A11" s="9">
        <v>7</v>
      </c>
      <c r="B11" s="56"/>
      <c r="C11" s="56"/>
      <c r="D11" s="57"/>
      <c r="E11" s="40" t="s">
        <v>22</v>
      </c>
      <c r="F11" s="41">
        <v>10.5</v>
      </c>
      <c r="G11" s="40"/>
      <c r="H11" s="40">
        <v>100</v>
      </c>
      <c r="I11" s="41">
        <f t="shared" si="0"/>
        <v>58.94</v>
      </c>
      <c r="J11" s="41">
        <v>28.98</v>
      </c>
      <c r="K11" s="41">
        <v>4.4800000000000004</v>
      </c>
      <c r="L11" s="41">
        <v>1.26</v>
      </c>
      <c r="M11" s="41">
        <v>2.7</v>
      </c>
      <c r="N11" s="41">
        <v>3.4</v>
      </c>
      <c r="O11" s="41">
        <v>2.48</v>
      </c>
      <c r="P11" s="41">
        <v>10.49</v>
      </c>
      <c r="Q11" s="41">
        <v>5.15</v>
      </c>
      <c r="R11" s="10"/>
      <c r="S11" s="39">
        <f t="shared" si="1"/>
        <v>71.02</v>
      </c>
      <c r="T11" s="39">
        <f t="shared" si="11"/>
        <v>66.539999999999992</v>
      </c>
      <c r="U11" s="39">
        <f t="shared" si="2"/>
        <v>65.28</v>
      </c>
      <c r="V11" s="39">
        <f t="shared" si="3"/>
        <v>62.580000000000005</v>
      </c>
      <c r="W11" s="39">
        <f t="shared" si="4"/>
        <v>59.18</v>
      </c>
      <c r="X11" s="39">
        <f t="shared" si="5"/>
        <v>56.7</v>
      </c>
      <c r="Y11" s="39">
        <f t="shared" si="6"/>
        <v>46.21</v>
      </c>
      <c r="Z11" s="39">
        <f t="shared" si="7"/>
        <v>41.06</v>
      </c>
      <c r="AA11" s="39">
        <f t="shared" si="8"/>
        <v>28.980000000000004</v>
      </c>
      <c r="AB11" s="39">
        <f t="shared" si="9"/>
        <v>29.959999999999994</v>
      </c>
      <c r="AC11" s="39">
        <f t="shared" si="10"/>
        <v>41.06</v>
      </c>
    </row>
    <row r="12" spans="1:29" ht="30" customHeight="1">
      <c r="A12" s="9">
        <v>8</v>
      </c>
      <c r="B12" s="56"/>
      <c r="C12" s="56"/>
      <c r="D12" s="57"/>
      <c r="E12" s="40" t="s">
        <v>22</v>
      </c>
      <c r="F12" s="41">
        <v>12.5</v>
      </c>
      <c r="G12" s="40"/>
      <c r="H12" s="40">
        <v>100</v>
      </c>
      <c r="I12" s="41">
        <f t="shared" si="0"/>
        <v>52.389999999999993</v>
      </c>
      <c r="J12" s="41">
        <v>20.88</v>
      </c>
      <c r="K12" s="41">
        <v>3.66</v>
      </c>
      <c r="L12" s="41">
        <v>1.46</v>
      </c>
      <c r="M12" s="41">
        <v>2.77</v>
      </c>
      <c r="N12" s="41">
        <v>3.71</v>
      </c>
      <c r="O12" s="41">
        <v>3.08</v>
      </c>
      <c r="P12" s="41">
        <v>10.48</v>
      </c>
      <c r="Q12" s="41">
        <v>6.35</v>
      </c>
      <c r="R12" s="10"/>
      <c r="S12" s="39">
        <f t="shared" si="1"/>
        <v>79.12</v>
      </c>
      <c r="T12" s="39">
        <f t="shared" si="11"/>
        <v>75.460000000000008</v>
      </c>
      <c r="U12" s="39">
        <f t="shared" si="2"/>
        <v>74</v>
      </c>
      <c r="V12" s="39">
        <f t="shared" si="3"/>
        <v>71.23</v>
      </c>
      <c r="W12" s="39">
        <f t="shared" si="4"/>
        <v>67.52000000000001</v>
      </c>
      <c r="X12" s="39">
        <f t="shared" si="5"/>
        <v>64.44</v>
      </c>
      <c r="Y12" s="39">
        <f t="shared" si="6"/>
        <v>53.960000000000008</v>
      </c>
      <c r="Z12" s="39">
        <f t="shared" si="7"/>
        <v>47.610000000000007</v>
      </c>
      <c r="AA12" s="39">
        <f t="shared" si="8"/>
        <v>20.879999999999995</v>
      </c>
      <c r="AB12" s="39">
        <f t="shared" si="9"/>
        <v>31.509999999999998</v>
      </c>
      <c r="AC12" s="39">
        <f t="shared" si="10"/>
        <v>47.610000000000007</v>
      </c>
    </row>
    <row r="13" spans="1:29" ht="30" customHeight="1">
      <c r="A13" s="9">
        <v>9</v>
      </c>
      <c r="B13" s="56"/>
      <c r="C13" s="56"/>
      <c r="D13" s="57"/>
      <c r="E13" s="40" t="s">
        <v>22</v>
      </c>
      <c r="F13" s="41">
        <v>15</v>
      </c>
      <c r="G13" s="40"/>
      <c r="H13" s="40">
        <v>100</v>
      </c>
      <c r="I13" s="41">
        <f t="shared" si="0"/>
        <v>68.73</v>
      </c>
      <c r="J13" s="41">
        <v>31.57</v>
      </c>
      <c r="K13" s="41">
        <v>9.19</v>
      </c>
      <c r="L13" s="41">
        <v>2.21</v>
      </c>
      <c r="M13" s="41">
        <v>3.89</v>
      </c>
      <c r="N13" s="41">
        <v>4.0599999999999996</v>
      </c>
      <c r="O13" s="41">
        <v>3.07</v>
      </c>
      <c r="P13" s="41">
        <v>8.98</v>
      </c>
      <c r="Q13" s="41">
        <v>5.76</v>
      </c>
      <c r="R13" s="10"/>
      <c r="S13" s="39">
        <f t="shared" si="1"/>
        <v>68.430000000000007</v>
      </c>
      <c r="T13" s="39">
        <f t="shared" si="11"/>
        <v>59.24</v>
      </c>
      <c r="U13" s="39">
        <f t="shared" si="2"/>
        <v>57.03</v>
      </c>
      <c r="V13" s="39">
        <f t="shared" si="3"/>
        <v>53.14</v>
      </c>
      <c r="W13" s="39">
        <f t="shared" si="4"/>
        <v>49.08</v>
      </c>
      <c r="X13" s="39">
        <f t="shared" si="5"/>
        <v>46.01</v>
      </c>
      <c r="Y13" s="39">
        <f t="shared" si="6"/>
        <v>37.03</v>
      </c>
      <c r="Z13" s="39">
        <f t="shared" si="7"/>
        <v>31.269999999999996</v>
      </c>
      <c r="AA13" s="39">
        <f t="shared" si="8"/>
        <v>31.569999999999993</v>
      </c>
      <c r="AB13" s="39">
        <f t="shared" si="9"/>
        <v>37.160000000000011</v>
      </c>
      <c r="AC13" s="39">
        <f t="shared" si="10"/>
        <v>31.269999999999996</v>
      </c>
    </row>
  </sheetData>
  <mergeCells count="21">
    <mergeCell ref="J2:R2"/>
    <mergeCell ref="S2:Z2"/>
    <mergeCell ref="B5:B13"/>
    <mergeCell ref="C5:C13"/>
    <mergeCell ref="D5:D13"/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D10" sqref="D10"/>
    </sheetView>
  </sheetViews>
  <sheetFormatPr defaultRowHeight="1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>
      <c r="A1" s="58" t="s">
        <v>4</v>
      </c>
      <c r="B1" s="61" t="s">
        <v>5</v>
      </c>
      <c r="C1" s="61" t="s">
        <v>9</v>
      </c>
      <c r="D1" s="58" t="s">
        <v>8</v>
      </c>
      <c r="E1" s="58" t="s">
        <v>23</v>
      </c>
      <c r="F1" s="58" t="s">
        <v>40</v>
      </c>
      <c r="G1" s="58" t="s">
        <v>24</v>
      </c>
      <c r="H1" s="58" t="s">
        <v>25</v>
      </c>
      <c r="I1" s="67" t="s">
        <v>34</v>
      </c>
      <c r="J1" s="58" t="s">
        <v>35</v>
      </c>
      <c r="K1" s="58" t="s">
        <v>26</v>
      </c>
      <c r="L1" s="58" t="s">
        <v>27</v>
      </c>
      <c r="M1" s="65" t="s">
        <v>28</v>
      </c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5" t="s">
        <v>29</v>
      </c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 t="s">
        <v>30</v>
      </c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21"/>
      <c r="BA1" s="21"/>
    </row>
    <row r="2" spans="1:53">
      <c r="A2" s="59"/>
      <c r="B2" s="62"/>
      <c r="C2" s="62"/>
      <c r="D2" s="59"/>
      <c r="E2" s="59"/>
      <c r="F2" s="59"/>
      <c r="G2" s="59"/>
      <c r="H2" s="59"/>
      <c r="I2" s="67"/>
      <c r="J2" s="59"/>
      <c r="K2" s="59"/>
      <c r="L2" s="59"/>
      <c r="M2" s="68">
        <v>0.5</v>
      </c>
      <c r="N2" s="64">
        <v>1</v>
      </c>
      <c r="O2" s="64">
        <v>2</v>
      </c>
      <c r="P2" s="64">
        <v>4</v>
      </c>
      <c r="Q2" s="64">
        <v>8</v>
      </c>
      <c r="R2" s="64">
        <v>15</v>
      </c>
      <c r="S2" s="64">
        <v>30</v>
      </c>
      <c r="T2" s="64">
        <v>60</v>
      </c>
      <c r="U2" s="64">
        <v>120</v>
      </c>
      <c r="V2" s="64">
        <v>240</v>
      </c>
      <c r="W2" s="64">
        <v>480</v>
      </c>
      <c r="X2" s="64">
        <v>960</v>
      </c>
      <c r="Y2" s="64">
        <v>1440</v>
      </c>
      <c r="Z2" s="68">
        <v>0.5</v>
      </c>
      <c r="AA2" s="64">
        <v>1</v>
      </c>
      <c r="AB2" s="64">
        <v>2</v>
      </c>
      <c r="AC2" s="64">
        <v>4</v>
      </c>
      <c r="AD2" s="64">
        <v>8</v>
      </c>
      <c r="AE2" s="64">
        <v>15</v>
      </c>
      <c r="AF2" s="64">
        <v>30</v>
      </c>
      <c r="AG2" s="64">
        <v>60</v>
      </c>
      <c r="AH2" s="64">
        <v>120</v>
      </c>
      <c r="AI2" s="64">
        <v>240</v>
      </c>
      <c r="AJ2" s="64">
        <v>480</v>
      </c>
      <c r="AK2" s="64">
        <v>960</v>
      </c>
      <c r="AL2" s="64">
        <v>1440</v>
      </c>
      <c r="AM2" s="68">
        <v>0.5</v>
      </c>
      <c r="AN2" s="64">
        <v>1</v>
      </c>
      <c r="AO2" s="64">
        <v>2</v>
      </c>
      <c r="AP2" s="64">
        <v>4</v>
      </c>
      <c r="AQ2" s="64">
        <v>8</v>
      </c>
      <c r="AR2" s="64">
        <v>15</v>
      </c>
      <c r="AS2" s="64">
        <v>30</v>
      </c>
      <c r="AT2" s="64">
        <v>60</v>
      </c>
      <c r="AU2" s="64">
        <v>120</v>
      </c>
      <c r="AV2" s="64">
        <v>240</v>
      </c>
      <c r="AW2" s="64">
        <v>480</v>
      </c>
      <c r="AX2" s="64">
        <v>960</v>
      </c>
      <c r="AY2" s="64">
        <v>1440</v>
      </c>
      <c r="AZ2" s="21"/>
      <c r="BA2" s="21"/>
    </row>
    <row r="3" spans="1:53">
      <c r="A3" s="59"/>
      <c r="B3" s="62"/>
      <c r="C3" s="62"/>
      <c r="D3" s="60"/>
      <c r="E3" s="60"/>
      <c r="F3" s="60"/>
      <c r="G3" s="60"/>
      <c r="H3" s="60"/>
      <c r="I3" s="67"/>
      <c r="J3" s="60"/>
      <c r="K3" s="60"/>
      <c r="L3" s="60"/>
      <c r="M3" s="68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8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8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21"/>
      <c r="BA3" s="21"/>
    </row>
    <row r="4" spans="1:53">
      <c r="A4" s="60"/>
      <c r="B4" s="63"/>
      <c r="C4" s="63"/>
      <c r="D4" s="12" t="s">
        <v>18</v>
      </c>
      <c r="E4" s="12" t="s">
        <v>31</v>
      </c>
      <c r="F4" s="12" t="s">
        <v>39</v>
      </c>
      <c r="G4" s="12" t="s">
        <v>18</v>
      </c>
      <c r="H4" s="12" t="s">
        <v>18</v>
      </c>
      <c r="I4" s="13" t="s">
        <v>18</v>
      </c>
      <c r="J4" s="14"/>
      <c r="K4" s="14" t="s">
        <v>18</v>
      </c>
      <c r="L4" s="14" t="s">
        <v>18</v>
      </c>
      <c r="M4" s="69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1"/>
      <c r="Z4" s="69" t="s">
        <v>32</v>
      </c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1"/>
      <c r="AM4" s="67" t="s">
        <v>33</v>
      </c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19"/>
      <c r="BA4" s="19"/>
    </row>
    <row r="5" spans="1:53">
      <c r="A5" s="25">
        <v>1</v>
      </c>
      <c r="B5" s="25" t="str">
        <f>GSD!B5</f>
        <v>RLBH-02</v>
      </c>
      <c r="C5" s="38">
        <f>GSD!F5</f>
        <v>0.5</v>
      </c>
      <c r="D5" s="25" t="str">
        <f>GSD!E5</f>
        <v>SPT</v>
      </c>
      <c r="E5" s="26">
        <v>27</v>
      </c>
      <c r="F5" s="27">
        <f>(0.000000002615*E5^4) - (0.00000030607*E5^3) + (0.000016427499*E5^2) - (0.000618546309*E5) + 0.017919182437</f>
        <v>8.5594212700000009E-3</v>
      </c>
      <c r="G5" s="28"/>
      <c r="H5" s="25">
        <v>5.0000000000000001E-4</v>
      </c>
      <c r="I5" s="25">
        <v>1</v>
      </c>
      <c r="J5" s="25">
        <v>2</v>
      </c>
      <c r="K5" s="26">
        <f>(E5-27)*0.25</f>
        <v>0</v>
      </c>
      <c r="L5" s="25">
        <v>0.3</v>
      </c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20"/>
      <c r="BA5" s="20"/>
    </row>
    <row r="6" spans="1:53">
      <c r="A6" s="25">
        <v>2</v>
      </c>
      <c r="B6" s="25" t="str">
        <f>B5</f>
        <v>RLBH-02</v>
      </c>
      <c r="C6" s="38">
        <f>GSD!F6</f>
        <v>1.5</v>
      </c>
      <c r="D6" s="25" t="str">
        <f>GSD!E6</f>
        <v>UDS</v>
      </c>
      <c r="E6" s="26">
        <v>27</v>
      </c>
      <c r="F6" s="27">
        <f t="shared" ref="F6:F13" si="0">(0.000000002615*E6^4) - (0.00000030607*E6^3) + (0.000016427499*E6^2) - (0.000618546309*E6) + 0.017919182437</f>
        <v>8.5594212700000009E-3</v>
      </c>
      <c r="G6" s="28"/>
      <c r="H6" s="25">
        <v>5.0000000000000001E-4</v>
      </c>
      <c r="I6" s="25">
        <v>1</v>
      </c>
      <c r="J6" s="25">
        <v>2</v>
      </c>
      <c r="K6" s="26">
        <f t="shared" ref="K6:K13" si="1">(E6-27)*0.25</f>
        <v>0</v>
      </c>
      <c r="L6" s="25">
        <v>0.3</v>
      </c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20"/>
      <c r="BA6" s="20"/>
    </row>
    <row r="7" spans="1:53">
      <c r="A7" s="25">
        <v>3</v>
      </c>
      <c r="B7" s="25" t="str">
        <f t="shared" ref="B7:B13" si="2">B6</f>
        <v>RLBH-02</v>
      </c>
      <c r="C7" s="38">
        <f>GSD!F7</f>
        <v>3.5</v>
      </c>
      <c r="D7" s="25" t="str">
        <f>GSD!E7</f>
        <v>SPT</v>
      </c>
      <c r="E7" s="26">
        <v>27</v>
      </c>
      <c r="F7" s="27">
        <f t="shared" si="0"/>
        <v>8.5594212700000009E-3</v>
      </c>
      <c r="G7" s="28"/>
      <c r="H7" s="25">
        <v>5.0000000000000001E-4</v>
      </c>
      <c r="I7" s="25">
        <v>1</v>
      </c>
      <c r="J7" s="25">
        <v>2</v>
      </c>
      <c r="K7" s="26">
        <f t="shared" si="1"/>
        <v>0</v>
      </c>
      <c r="L7" s="25">
        <v>0.3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20"/>
      <c r="BA7" s="20"/>
    </row>
    <row r="8" spans="1:53">
      <c r="A8" s="25">
        <v>4</v>
      </c>
      <c r="B8" s="25" t="str">
        <f t="shared" si="2"/>
        <v>RLBH-02</v>
      </c>
      <c r="C8" s="38">
        <f>GSD!F8</f>
        <v>4.5</v>
      </c>
      <c r="D8" s="25" t="str">
        <f>GSD!E8</f>
        <v>UDS</v>
      </c>
      <c r="E8" s="26">
        <v>27</v>
      </c>
      <c r="F8" s="27">
        <f t="shared" si="0"/>
        <v>8.5594212700000009E-3</v>
      </c>
      <c r="G8" s="28"/>
      <c r="H8" s="25">
        <v>5.0000000000000001E-4</v>
      </c>
      <c r="I8" s="25">
        <v>1</v>
      </c>
      <c r="J8" s="25">
        <v>2</v>
      </c>
      <c r="K8" s="26">
        <f t="shared" si="1"/>
        <v>0</v>
      </c>
      <c r="L8" s="25">
        <v>0.3</v>
      </c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20"/>
      <c r="BA8" s="20"/>
    </row>
    <row r="9" spans="1:53">
      <c r="A9" s="25">
        <v>5</v>
      </c>
      <c r="B9" s="25" t="str">
        <f t="shared" si="2"/>
        <v>RLBH-02</v>
      </c>
      <c r="C9" s="38">
        <f>GSD!F9</f>
        <v>6.5</v>
      </c>
      <c r="D9" s="25" t="str">
        <f>GSD!E9</f>
        <v>SPT</v>
      </c>
      <c r="E9" s="26">
        <v>27</v>
      </c>
      <c r="F9" s="27">
        <f t="shared" si="0"/>
        <v>8.5594212700000009E-3</v>
      </c>
      <c r="G9" s="28"/>
      <c r="H9" s="25">
        <v>5.0000000000000001E-4</v>
      </c>
      <c r="I9" s="25">
        <v>1</v>
      </c>
      <c r="J9" s="25">
        <v>2</v>
      </c>
      <c r="K9" s="26">
        <f t="shared" si="1"/>
        <v>0</v>
      </c>
      <c r="L9" s="25">
        <v>0.3</v>
      </c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20"/>
      <c r="BA9" s="20"/>
    </row>
    <row r="10" spans="1:53">
      <c r="A10" s="25">
        <v>6</v>
      </c>
      <c r="B10" s="25" t="str">
        <f t="shared" si="2"/>
        <v>RLBH-02</v>
      </c>
      <c r="C10" s="38">
        <f>GSD!F10</f>
        <v>7.5</v>
      </c>
      <c r="D10" s="25" t="str">
        <f>GSD!E10</f>
        <v>UDS</v>
      </c>
      <c r="E10" s="26">
        <v>27</v>
      </c>
      <c r="F10" s="27">
        <f t="shared" si="0"/>
        <v>8.5594212700000009E-3</v>
      </c>
      <c r="G10" s="28"/>
      <c r="H10" s="25">
        <v>5.0000000000000001E-4</v>
      </c>
      <c r="I10" s="25">
        <v>1</v>
      </c>
      <c r="J10" s="25">
        <v>2</v>
      </c>
      <c r="K10" s="26">
        <f t="shared" si="1"/>
        <v>0</v>
      </c>
      <c r="L10" s="25">
        <v>0.3</v>
      </c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0"/>
      <c r="BA10" s="20"/>
    </row>
    <row r="11" spans="1:53">
      <c r="A11" s="25">
        <v>7</v>
      </c>
      <c r="B11" s="25" t="str">
        <f t="shared" si="2"/>
        <v>RLBH-02</v>
      </c>
      <c r="C11" s="38">
        <f>GSD!F11</f>
        <v>10.5</v>
      </c>
      <c r="D11" s="25" t="str">
        <f>GSD!E11</f>
        <v>SPT</v>
      </c>
      <c r="E11" s="26">
        <v>27</v>
      </c>
      <c r="F11" s="27">
        <f t="shared" si="0"/>
        <v>8.5594212700000009E-3</v>
      </c>
      <c r="G11" s="28"/>
      <c r="H11" s="25">
        <v>5.0000000000000001E-4</v>
      </c>
      <c r="I11" s="25">
        <v>1</v>
      </c>
      <c r="J11" s="25">
        <v>2</v>
      </c>
      <c r="K11" s="26">
        <f t="shared" si="1"/>
        <v>0</v>
      </c>
      <c r="L11" s="25">
        <v>0.3</v>
      </c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0"/>
      <c r="BA11" s="20"/>
    </row>
    <row r="12" spans="1:53">
      <c r="A12" s="25">
        <v>8</v>
      </c>
      <c r="B12" s="25" t="str">
        <f t="shared" si="2"/>
        <v>RLBH-02</v>
      </c>
      <c r="C12" s="38">
        <f>GSD!F12</f>
        <v>12.5</v>
      </c>
      <c r="D12" s="25" t="str">
        <f>GSD!E12</f>
        <v>SPT</v>
      </c>
      <c r="E12" s="26">
        <v>27</v>
      </c>
      <c r="F12" s="27">
        <f t="shared" si="0"/>
        <v>8.5594212700000009E-3</v>
      </c>
      <c r="G12" s="28"/>
      <c r="H12" s="25">
        <v>5.0000000000000001E-4</v>
      </c>
      <c r="I12" s="25">
        <v>1</v>
      </c>
      <c r="J12" s="25">
        <v>2</v>
      </c>
      <c r="K12" s="26">
        <f t="shared" si="1"/>
        <v>0</v>
      </c>
      <c r="L12" s="25">
        <v>0.3</v>
      </c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0"/>
      <c r="BA12" s="20"/>
    </row>
    <row r="13" spans="1:53">
      <c r="A13" s="25">
        <v>9</v>
      </c>
      <c r="B13" s="25" t="str">
        <f t="shared" si="2"/>
        <v>RLBH-02</v>
      </c>
      <c r="C13" s="38">
        <f>GSD!F13</f>
        <v>15</v>
      </c>
      <c r="D13" s="25" t="str">
        <f>GSD!E13</f>
        <v>SPT</v>
      </c>
      <c r="E13" s="26">
        <v>27</v>
      </c>
      <c r="F13" s="27">
        <f t="shared" si="0"/>
        <v>8.5594212700000009E-3</v>
      </c>
      <c r="G13" s="28"/>
      <c r="H13" s="25">
        <v>5.0000000000000001E-4</v>
      </c>
      <c r="I13" s="25">
        <v>1</v>
      </c>
      <c r="J13" s="25">
        <v>2</v>
      </c>
      <c r="K13" s="26">
        <f t="shared" si="1"/>
        <v>0</v>
      </c>
      <c r="L13" s="25">
        <v>0.3</v>
      </c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0"/>
      <c r="BA13" s="20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/>
  <sheetData>
    <row r="1" spans="1:6" ht="30">
      <c r="A1" s="16" t="s">
        <v>36</v>
      </c>
      <c r="B1" s="16" t="s">
        <v>37</v>
      </c>
      <c r="C1" s="16" t="s">
        <v>38</v>
      </c>
    </row>
    <row r="2" spans="1:6">
      <c r="A2" s="15">
        <v>0</v>
      </c>
      <c r="B2" s="15">
        <v>17.940000000000001</v>
      </c>
      <c r="C2" s="15">
        <v>1.7940000000000001E-2</v>
      </c>
      <c r="D2" s="17">
        <f>-((10^-7)*(A2^3))+((10^-5)*(A2^2))-(0.0006*A2)+0.0178</f>
        <v>1.78E-2</v>
      </c>
      <c r="E2">
        <f>C2-D2</f>
        <v>1.4000000000000123E-4</v>
      </c>
      <c r="F2" s="18">
        <f>E2/D2</f>
        <v>7.8651685393259126E-3</v>
      </c>
    </row>
    <row r="3" spans="1:6">
      <c r="A3" s="15">
        <v>1</v>
      </c>
      <c r="B3" s="15">
        <v>17.32</v>
      </c>
      <c r="C3" s="15">
        <v>1.7319999999999999E-2</v>
      </c>
      <c r="D3" s="17">
        <f t="shared" ref="D3:D41" si="0">-((10^-7)*(A3^3))+((10^-5)*(A3^2))-(0.0006*A3)+0.0178</f>
        <v>1.72099E-2</v>
      </c>
      <c r="E3">
        <f t="shared" ref="E3:E41" si="1">C3-D3</f>
        <v>1.1009999999999839E-4</v>
      </c>
      <c r="F3" s="18">
        <f t="shared" ref="F3:F41" si="2">E3/D3</f>
        <v>6.3974805199332012E-3</v>
      </c>
    </row>
    <row r="4" spans="1:6">
      <c r="A4" s="15">
        <v>2</v>
      </c>
      <c r="B4" s="15">
        <v>16.739999999999998</v>
      </c>
      <c r="C4" s="15">
        <v>1.6740000000000001E-2</v>
      </c>
      <c r="D4" s="17">
        <f t="shared" si="0"/>
        <v>1.66392E-2</v>
      </c>
      <c r="E4">
        <f t="shared" si="1"/>
        <v>1.0080000000000158E-4</v>
      </c>
      <c r="F4" s="18">
        <f t="shared" si="2"/>
        <v>6.0579835569018695E-3</v>
      </c>
    </row>
    <row r="5" spans="1:6">
      <c r="A5" s="15">
        <v>3</v>
      </c>
      <c r="B5" s="15">
        <v>16.190000000000001</v>
      </c>
      <c r="C5" s="15">
        <v>1.619E-2</v>
      </c>
      <c r="D5" s="17">
        <f t="shared" si="0"/>
        <v>1.6087299999999999E-2</v>
      </c>
      <c r="E5">
        <f t="shared" si="1"/>
        <v>1.0270000000000071E-4</v>
      </c>
      <c r="F5" s="18">
        <f t="shared" si="2"/>
        <v>6.3839177487832457E-3</v>
      </c>
    </row>
    <row r="6" spans="1:6">
      <c r="A6" s="15">
        <v>4</v>
      </c>
      <c r="B6" s="15">
        <v>15.68</v>
      </c>
      <c r="C6" s="15">
        <v>1.5679999999999999E-2</v>
      </c>
      <c r="D6" s="17">
        <f t="shared" si="0"/>
        <v>1.5553600000000001E-2</v>
      </c>
      <c r="E6">
        <f t="shared" si="1"/>
        <v>1.2639999999999874E-4</v>
      </c>
      <c r="F6" s="18">
        <f t="shared" si="2"/>
        <v>8.1267359325171498E-3</v>
      </c>
    </row>
    <row r="7" spans="1:6">
      <c r="A7" s="15">
        <v>5</v>
      </c>
      <c r="B7" s="15">
        <v>15.19</v>
      </c>
      <c r="C7" s="15">
        <v>1.519E-2</v>
      </c>
      <c r="D7" s="17">
        <f t="shared" si="0"/>
        <v>1.5037500000000001E-2</v>
      </c>
      <c r="E7">
        <f t="shared" si="1"/>
        <v>1.5249999999999986E-4</v>
      </c>
      <c r="F7" s="18">
        <f t="shared" si="2"/>
        <v>1.0141313383208636E-2</v>
      </c>
    </row>
    <row r="8" spans="1:6">
      <c r="A8" s="15">
        <v>6</v>
      </c>
      <c r="B8" s="15">
        <v>14.73</v>
      </c>
      <c r="C8" s="15">
        <v>1.473E-2</v>
      </c>
      <c r="D8" s="17">
        <f t="shared" si="0"/>
        <v>1.45384E-2</v>
      </c>
      <c r="E8">
        <f t="shared" si="1"/>
        <v>1.916000000000001E-4</v>
      </c>
      <c r="F8" s="18">
        <f t="shared" si="2"/>
        <v>1.3178891762504821E-2</v>
      </c>
    </row>
    <row r="9" spans="1:6">
      <c r="A9" s="15">
        <v>7</v>
      </c>
      <c r="B9" s="15">
        <v>14.29</v>
      </c>
      <c r="C9" s="15">
        <v>1.4290000000000001E-2</v>
      </c>
      <c r="D9" s="17">
        <f t="shared" si="0"/>
        <v>1.4055700000000001E-2</v>
      </c>
      <c r="E9">
        <f t="shared" si="1"/>
        <v>2.3429999999999979E-4</v>
      </c>
      <c r="F9" s="18">
        <f t="shared" si="2"/>
        <v>1.6669393911366903E-2</v>
      </c>
    </row>
    <row r="10" spans="1:6">
      <c r="A10" s="15">
        <v>8</v>
      </c>
      <c r="B10" s="15">
        <v>13.87</v>
      </c>
      <c r="C10" s="15">
        <v>1.387E-2</v>
      </c>
      <c r="D10" s="17">
        <f t="shared" si="0"/>
        <v>1.35888E-2</v>
      </c>
      <c r="E10">
        <f t="shared" si="1"/>
        <v>2.8120000000000055E-4</v>
      </c>
      <c r="F10" s="18">
        <f t="shared" si="2"/>
        <v>2.0693512304250601E-2</v>
      </c>
    </row>
    <row r="11" spans="1:6">
      <c r="A11" s="15">
        <v>9</v>
      </c>
      <c r="B11" s="15">
        <v>13.48</v>
      </c>
      <c r="C11" s="15">
        <v>1.3480000000000001E-2</v>
      </c>
      <c r="D11" s="17">
        <f t="shared" si="0"/>
        <v>1.3137100000000001E-2</v>
      </c>
      <c r="E11">
        <f t="shared" si="1"/>
        <v>3.4290000000000015E-4</v>
      </c>
      <c r="F11" s="18">
        <f t="shared" si="2"/>
        <v>2.6101651049318352E-2</v>
      </c>
    </row>
    <row r="12" spans="1:6">
      <c r="A12" s="15">
        <v>10</v>
      </c>
      <c r="B12" s="15">
        <v>13.1</v>
      </c>
      <c r="C12" s="15">
        <v>1.3100000000000001E-2</v>
      </c>
      <c r="D12" s="17">
        <f t="shared" si="0"/>
        <v>1.2699999999999999E-2</v>
      </c>
      <c r="E12">
        <f t="shared" si="1"/>
        <v>4.0000000000000105E-4</v>
      </c>
      <c r="F12" s="18">
        <f t="shared" si="2"/>
        <v>3.1496062992126067E-2</v>
      </c>
    </row>
    <row r="13" spans="1:6">
      <c r="A13" s="15">
        <v>11</v>
      </c>
      <c r="B13" s="15">
        <v>12.74</v>
      </c>
      <c r="C13" s="15">
        <v>1.274E-2</v>
      </c>
      <c r="D13" s="17">
        <f t="shared" si="0"/>
        <v>1.22769E-2</v>
      </c>
      <c r="E13">
        <f t="shared" si="1"/>
        <v>4.6309999999999928E-4</v>
      </c>
      <c r="F13" s="18">
        <f t="shared" si="2"/>
        <v>3.7721248849465198E-2</v>
      </c>
    </row>
    <row r="14" spans="1:6">
      <c r="A14" s="15">
        <v>12</v>
      </c>
      <c r="B14" s="15">
        <v>12.39</v>
      </c>
      <c r="C14" s="15">
        <v>1.239E-2</v>
      </c>
      <c r="D14" s="17">
        <f t="shared" si="0"/>
        <v>1.18672E-2</v>
      </c>
      <c r="E14">
        <f t="shared" si="1"/>
        <v>5.2280000000000035E-4</v>
      </c>
      <c r="F14" s="18">
        <f t="shared" si="2"/>
        <v>4.405419981124447E-2</v>
      </c>
    </row>
    <row r="15" spans="1:6">
      <c r="A15" s="15">
        <v>13</v>
      </c>
      <c r="B15" s="15">
        <v>12.06</v>
      </c>
      <c r="C15" s="15">
        <v>1.206E-2</v>
      </c>
      <c r="D15" s="17">
        <f t="shared" si="0"/>
        <v>1.1470299999999999E-2</v>
      </c>
      <c r="E15">
        <f t="shared" si="1"/>
        <v>5.8970000000000029E-4</v>
      </c>
      <c r="F15" s="18">
        <f t="shared" si="2"/>
        <v>5.1411035456788427E-2</v>
      </c>
    </row>
    <row r="16" spans="1:6">
      <c r="A16" s="15">
        <v>14</v>
      </c>
      <c r="B16" s="15">
        <v>11.75</v>
      </c>
      <c r="C16" s="15">
        <v>1.175E-2</v>
      </c>
      <c r="D16" s="17">
        <f t="shared" si="0"/>
        <v>1.1085600000000001E-2</v>
      </c>
      <c r="E16">
        <f t="shared" si="1"/>
        <v>6.6439999999999902E-4</v>
      </c>
      <c r="F16" s="18">
        <f t="shared" si="2"/>
        <v>5.9933607562964474E-2</v>
      </c>
    </row>
    <row r="17" spans="1:6">
      <c r="A17" s="15">
        <v>15</v>
      </c>
      <c r="B17" s="15">
        <v>11.45</v>
      </c>
      <c r="C17" s="15">
        <v>1.145E-2</v>
      </c>
      <c r="D17" s="17">
        <f t="shared" si="0"/>
        <v>1.07125E-2</v>
      </c>
      <c r="E17">
        <f t="shared" si="1"/>
        <v>7.3750000000000031E-4</v>
      </c>
      <c r="F17" s="18">
        <f t="shared" si="2"/>
        <v>6.8844807467911343E-2</v>
      </c>
    </row>
    <row r="18" spans="1:6">
      <c r="A18" s="15">
        <v>16</v>
      </c>
      <c r="B18" s="15">
        <v>11.16</v>
      </c>
      <c r="C18" s="15">
        <v>1.116E-2</v>
      </c>
      <c r="D18" s="17">
        <f t="shared" si="0"/>
        <v>1.0350400000000001E-2</v>
      </c>
      <c r="E18">
        <f t="shared" si="1"/>
        <v>8.0959999999999886E-4</v>
      </c>
      <c r="F18" s="18">
        <f t="shared" si="2"/>
        <v>7.8219199257999569E-2</v>
      </c>
    </row>
    <row r="19" spans="1:6">
      <c r="A19" s="15">
        <v>17</v>
      </c>
      <c r="B19" s="15">
        <v>10.88</v>
      </c>
      <c r="C19" s="15">
        <v>1.0880000000000001E-2</v>
      </c>
      <c r="D19" s="17">
        <f t="shared" si="0"/>
        <v>9.998700000000001E-3</v>
      </c>
      <c r="E19">
        <f t="shared" si="1"/>
        <v>8.8129999999999979E-4</v>
      </c>
      <c r="F19" s="18">
        <f t="shared" si="2"/>
        <v>8.8141458389590616E-2</v>
      </c>
    </row>
    <row r="20" spans="1:6">
      <c r="A20" s="15">
        <v>18</v>
      </c>
      <c r="B20" s="15">
        <v>10.6</v>
      </c>
      <c r="C20" s="15">
        <v>1.06E-2</v>
      </c>
      <c r="D20" s="17">
        <f t="shared" si="0"/>
        <v>9.6568000000000018E-3</v>
      </c>
      <c r="E20">
        <f t="shared" si="1"/>
        <v>9.4319999999999821E-4</v>
      </c>
      <c r="F20" s="18">
        <f t="shared" si="2"/>
        <v>9.7672106702012887E-2</v>
      </c>
    </row>
    <row r="21" spans="1:6">
      <c r="A21" s="15">
        <v>19</v>
      </c>
      <c r="B21" s="15">
        <v>10.34</v>
      </c>
      <c r="C21" s="15">
        <v>1.034E-2</v>
      </c>
      <c r="D21" s="17">
        <f t="shared" si="0"/>
        <v>9.3241000000000018E-3</v>
      </c>
      <c r="E21">
        <f t="shared" si="1"/>
        <v>1.0158999999999984E-3</v>
      </c>
      <c r="F21" s="18">
        <f t="shared" si="2"/>
        <v>0.10895421542025485</v>
      </c>
    </row>
    <row r="22" spans="1:6">
      <c r="A22" s="15">
        <v>20</v>
      </c>
      <c r="B22" s="15">
        <v>10.09</v>
      </c>
      <c r="C22" s="15">
        <v>1.009E-2</v>
      </c>
      <c r="D22" s="17">
        <f t="shared" si="0"/>
        <v>9.0000000000000011E-3</v>
      </c>
      <c r="E22">
        <f t="shared" si="1"/>
        <v>1.089999999999999E-3</v>
      </c>
      <c r="F22" s="18">
        <f t="shared" si="2"/>
        <v>0.12111111111111098</v>
      </c>
    </row>
    <row r="23" spans="1:6">
      <c r="A23" s="15">
        <v>21</v>
      </c>
      <c r="B23" s="15">
        <v>9.84</v>
      </c>
      <c r="C23" s="15">
        <v>9.8399999999999998E-3</v>
      </c>
      <c r="D23" s="17">
        <f t="shared" si="0"/>
        <v>8.6839000000000013E-3</v>
      </c>
      <c r="E23">
        <f t="shared" si="1"/>
        <v>1.1560999999999984E-3</v>
      </c>
      <c r="F23" s="18">
        <f t="shared" si="2"/>
        <v>0.13313142712375756</v>
      </c>
    </row>
    <row r="24" spans="1:6">
      <c r="A24" s="15">
        <v>22</v>
      </c>
      <c r="B24" s="15">
        <v>9.61</v>
      </c>
      <c r="C24" s="15">
        <v>9.6100000000000005E-3</v>
      </c>
      <c r="D24" s="17">
        <f t="shared" si="0"/>
        <v>8.3752000000000028E-3</v>
      </c>
      <c r="E24">
        <f t="shared" si="1"/>
        <v>1.2347999999999977E-3</v>
      </c>
      <c r="F24" s="18">
        <f t="shared" si="2"/>
        <v>0.14743528512751902</v>
      </c>
    </row>
    <row r="25" spans="1:6">
      <c r="A25" s="15">
        <v>23</v>
      </c>
      <c r="B25" s="15">
        <v>9.3800000000000008</v>
      </c>
      <c r="C25" s="15">
        <v>9.3799999999999994E-3</v>
      </c>
      <c r="D25" s="17">
        <f t="shared" si="0"/>
        <v>8.073300000000002E-3</v>
      </c>
      <c r="E25">
        <f t="shared" si="1"/>
        <v>1.3066999999999974E-3</v>
      </c>
      <c r="F25" s="18">
        <f t="shared" si="2"/>
        <v>0.16185450806981</v>
      </c>
    </row>
    <row r="26" spans="1:6">
      <c r="A26" s="15">
        <v>24</v>
      </c>
      <c r="B26" s="15">
        <v>9.16</v>
      </c>
      <c r="C26" s="15">
        <v>9.1599999999999997E-3</v>
      </c>
      <c r="D26" s="17">
        <f t="shared" si="0"/>
        <v>7.7776000000000008E-3</v>
      </c>
      <c r="E26">
        <f t="shared" si="1"/>
        <v>1.3823999999999989E-3</v>
      </c>
      <c r="F26" s="18">
        <f t="shared" si="2"/>
        <v>0.17774120551326872</v>
      </c>
    </row>
    <row r="27" spans="1:6">
      <c r="A27" s="15">
        <v>25</v>
      </c>
      <c r="B27" s="15">
        <v>8.9499999999999993</v>
      </c>
      <c r="C27" s="15">
        <v>8.9499999999999996E-3</v>
      </c>
      <c r="D27" s="17">
        <f t="shared" si="0"/>
        <v>7.4875000000000011E-3</v>
      </c>
      <c r="E27">
        <f t="shared" si="1"/>
        <v>1.4624999999999985E-3</v>
      </c>
      <c r="F27" s="18">
        <f t="shared" si="2"/>
        <v>0.19532554257095136</v>
      </c>
    </row>
    <row r="28" spans="1:6">
      <c r="A28" s="15">
        <v>26</v>
      </c>
      <c r="B28" s="15">
        <v>8.75</v>
      </c>
      <c r="C28" s="15">
        <v>8.7500000000000008E-3</v>
      </c>
      <c r="D28" s="17">
        <f t="shared" si="0"/>
        <v>7.2024000000000012E-3</v>
      </c>
      <c r="E28">
        <f t="shared" si="1"/>
        <v>1.5475999999999997E-3</v>
      </c>
      <c r="F28" s="18">
        <f t="shared" si="2"/>
        <v>0.21487282017105402</v>
      </c>
    </row>
    <row r="29" spans="1:6">
      <c r="A29" s="15">
        <v>27</v>
      </c>
      <c r="B29" s="15">
        <v>8.5500000000000007</v>
      </c>
      <c r="C29" s="15">
        <v>8.5500000000000003E-3</v>
      </c>
      <c r="D29" s="17">
        <f t="shared" si="0"/>
        <v>6.9217000000000011E-3</v>
      </c>
      <c r="E29">
        <f t="shared" si="1"/>
        <v>1.6282999999999992E-3</v>
      </c>
      <c r="F29" s="18">
        <f t="shared" si="2"/>
        <v>0.2352456766401316</v>
      </c>
    </row>
    <row r="30" spans="1:6">
      <c r="A30" s="15">
        <v>28</v>
      </c>
      <c r="B30" s="15">
        <v>8.36</v>
      </c>
      <c r="C30" s="15">
        <v>8.3599999999999994E-3</v>
      </c>
      <c r="D30" s="17">
        <f t="shared" si="0"/>
        <v>6.6448000000000028E-3</v>
      </c>
      <c r="E30">
        <f t="shared" si="1"/>
        <v>1.7151999999999966E-3</v>
      </c>
      <c r="F30" s="18">
        <f t="shared" si="2"/>
        <v>0.25812665542980917</v>
      </c>
    </row>
    <row r="31" spans="1:6">
      <c r="A31" s="15">
        <v>29</v>
      </c>
      <c r="B31" s="15">
        <v>8.18</v>
      </c>
      <c r="C31" s="15">
        <v>8.1799999999999998E-3</v>
      </c>
      <c r="D31" s="17">
        <f t="shared" si="0"/>
        <v>6.3711000000000011E-3</v>
      </c>
      <c r="E31">
        <f t="shared" si="1"/>
        <v>1.8088999999999987E-3</v>
      </c>
      <c r="F31" s="18">
        <f t="shared" si="2"/>
        <v>0.28392271350316245</v>
      </c>
    </row>
    <row r="32" spans="1:6">
      <c r="A32" s="15">
        <v>30</v>
      </c>
      <c r="B32" s="15">
        <v>8</v>
      </c>
      <c r="C32" s="15">
        <v>8.0000000000000002E-3</v>
      </c>
      <c r="D32" s="17">
        <f t="shared" si="0"/>
        <v>6.100000000000003E-3</v>
      </c>
      <c r="E32">
        <f t="shared" si="1"/>
        <v>1.8999999999999972E-3</v>
      </c>
      <c r="F32" s="18">
        <f t="shared" si="2"/>
        <v>0.31147540983606498</v>
      </c>
    </row>
    <row r="33" spans="1:6">
      <c r="A33" s="15">
        <v>31</v>
      </c>
      <c r="B33" s="15">
        <v>7.83</v>
      </c>
      <c r="C33" s="15">
        <v>7.8300000000000002E-3</v>
      </c>
      <c r="D33" s="17">
        <f t="shared" si="0"/>
        <v>5.8309000000000017E-3</v>
      </c>
      <c r="E33">
        <f t="shared" si="1"/>
        <v>1.9990999999999984E-3</v>
      </c>
      <c r="F33" s="18">
        <f t="shared" si="2"/>
        <v>0.34284587284981699</v>
      </c>
    </row>
    <row r="34" spans="1:6">
      <c r="A34" s="15">
        <v>32</v>
      </c>
      <c r="B34" s="15">
        <v>7.67</v>
      </c>
      <c r="C34" s="15">
        <v>7.6699999999999997E-3</v>
      </c>
      <c r="D34" s="17">
        <f t="shared" si="0"/>
        <v>5.5632000000000025E-3</v>
      </c>
      <c r="E34">
        <f t="shared" si="1"/>
        <v>2.1067999999999972E-3</v>
      </c>
      <c r="F34" s="18">
        <f t="shared" si="2"/>
        <v>0.3787029048029904</v>
      </c>
    </row>
    <row r="35" spans="1:6">
      <c r="A35" s="15">
        <v>33</v>
      </c>
      <c r="B35" s="15">
        <v>7.51</v>
      </c>
      <c r="C35" s="15">
        <v>7.5100000000000002E-3</v>
      </c>
      <c r="D35" s="17">
        <f t="shared" si="0"/>
        <v>5.296300000000002E-3</v>
      </c>
      <c r="E35">
        <f t="shared" si="1"/>
        <v>2.2136999999999981E-3</v>
      </c>
      <c r="F35" s="18">
        <f t="shared" si="2"/>
        <v>0.4179710363838901</v>
      </c>
    </row>
    <row r="36" spans="1:6">
      <c r="A36" s="15">
        <v>34</v>
      </c>
      <c r="B36" s="15">
        <v>7.36</v>
      </c>
      <c r="C36" s="15">
        <v>7.3600000000000002E-3</v>
      </c>
      <c r="D36" s="17">
        <f t="shared" si="0"/>
        <v>5.0296000000000021E-3</v>
      </c>
      <c r="E36">
        <f t="shared" si="1"/>
        <v>2.3303999999999981E-3</v>
      </c>
      <c r="F36" s="18">
        <f t="shared" si="2"/>
        <v>0.46333704469540266</v>
      </c>
    </row>
    <row r="37" spans="1:6">
      <c r="A37" s="15">
        <v>35</v>
      </c>
      <c r="B37" s="15">
        <v>7.21</v>
      </c>
      <c r="C37" s="15">
        <v>7.2100000000000003E-3</v>
      </c>
      <c r="D37" s="17">
        <f t="shared" si="0"/>
        <v>4.7625000000000028E-3</v>
      </c>
      <c r="E37">
        <f t="shared" si="1"/>
        <v>2.4474999999999974E-3</v>
      </c>
      <c r="F37" s="18">
        <f t="shared" si="2"/>
        <v>0.51391076115485479</v>
      </c>
    </row>
    <row r="38" spans="1:6">
      <c r="A38" s="15">
        <v>36</v>
      </c>
      <c r="B38" s="15">
        <v>7.06</v>
      </c>
      <c r="C38" s="15">
        <v>7.0600000000000003E-3</v>
      </c>
      <c r="D38" s="17">
        <f t="shared" si="0"/>
        <v>4.4944000000000026E-3</v>
      </c>
      <c r="E38">
        <f t="shared" si="1"/>
        <v>2.5655999999999977E-3</v>
      </c>
      <c r="F38" s="18">
        <f t="shared" si="2"/>
        <v>0.57084371662513267</v>
      </c>
    </row>
    <row r="39" spans="1:6">
      <c r="A39" s="15">
        <v>37</v>
      </c>
      <c r="B39" s="15">
        <v>6.92</v>
      </c>
      <c r="C39" s="15">
        <v>6.9199999999999999E-3</v>
      </c>
      <c r="D39" s="17">
        <f t="shared" si="0"/>
        <v>4.2247000000000031E-3</v>
      </c>
      <c r="E39">
        <f t="shared" si="1"/>
        <v>2.6952999999999968E-3</v>
      </c>
      <c r="F39" s="18">
        <f t="shared" si="2"/>
        <v>0.63798612919260422</v>
      </c>
    </row>
    <row r="40" spans="1:6">
      <c r="A40" s="15">
        <v>38</v>
      </c>
      <c r="B40" s="15">
        <v>6.79</v>
      </c>
      <c r="C40" s="15">
        <v>6.79E-3</v>
      </c>
      <c r="D40" s="17">
        <f t="shared" si="0"/>
        <v>3.9528000000000046E-3</v>
      </c>
      <c r="E40">
        <f t="shared" si="1"/>
        <v>2.8371999999999955E-3</v>
      </c>
      <c r="F40" s="18">
        <f t="shared" si="2"/>
        <v>0.7177696822505546</v>
      </c>
    </row>
    <row r="41" spans="1:6">
      <c r="A41" s="15">
        <v>39</v>
      </c>
      <c r="B41" s="15">
        <v>6.66</v>
      </c>
      <c r="C41" s="15">
        <v>6.6600000000000001E-3</v>
      </c>
      <c r="D41" s="17">
        <f t="shared" si="0"/>
        <v>3.6781000000000036E-3</v>
      </c>
      <c r="E41">
        <f t="shared" si="1"/>
        <v>2.9818999999999965E-3</v>
      </c>
      <c r="F41" s="18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topLeftCell="Q1" zoomScale="130" zoomScaleNormal="130" workbookViewId="0">
      <selection activeCell="Z3" sqref="Z3"/>
    </sheetView>
  </sheetViews>
  <sheetFormatPr defaultRowHeight="15"/>
  <sheetData>
    <row r="1" spans="1:49">
      <c r="L1" s="22">
        <v>0.5</v>
      </c>
      <c r="M1" s="22">
        <v>1</v>
      </c>
      <c r="N1" s="22">
        <v>2</v>
      </c>
      <c r="O1" s="22">
        <v>4</v>
      </c>
      <c r="P1" s="22">
        <v>8</v>
      </c>
      <c r="Q1" s="22">
        <v>15</v>
      </c>
      <c r="R1" s="22">
        <v>30</v>
      </c>
      <c r="S1" s="22">
        <v>60</v>
      </c>
      <c r="T1" s="22">
        <v>120</v>
      </c>
      <c r="U1" s="22">
        <v>240</v>
      </c>
      <c r="V1" s="22">
        <v>480</v>
      </c>
      <c r="W1" s="22">
        <v>960</v>
      </c>
      <c r="X1" s="22">
        <v>1440</v>
      </c>
      <c r="Y1" s="22">
        <v>4.75</v>
      </c>
      <c r="Z1" s="22">
        <v>2</v>
      </c>
      <c r="AA1" s="23">
        <v>1.18</v>
      </c>
      <c r="AB1" s="23">
        <v>0.6</v>
      </c>
      <c r="AC1" s="23">
        <v>0.42499999999999999</v>
      </c>
      <c r="AD1" s="23">
        <v>0.3</v>
      </c>
      <c r="AE1" s="23">
        <v>0.15</v>
      </c>
      <c r="AF1" s="23">
        <v>7.4999999999999997E-2</v>
      </c>
      <c r="AG1" s="22">
        <v>0.5</v>
      </c>
      <c r="AH1" s="22">
        <v>1</v>
      </c>
      <c r="AI1" s="22">
        <v>2</v>
      </c>
      <c r="AJ1" s="22">
        <v>4</v>
      </c>
      <c r="AK1" s="22">
        <v>8</v>
      </c>
      <c r="AL1" s="22">
        <v>15</v>
      </c>
      <c r="AM1" s="22">
        <v>30</v>
      </c>
      <c r="AN1" s="22">
        <v>60</v>
      </c>
      <c r="AO1" s="22">
        <v>120</v>
      </c>
      <c r="AP1" s="22">
        <v>240</v>
      </c>
      <c r="AQ1" s="22">
        <v>480</v>
      </c>
      <c r="AR1" s="22">
        <v>960</v>
      </c>
      <c r="AS1" s="22">
        <v>1440</v>
      </c>
    </row>
    <row r="2" spans="1:49" ht="17.25" customHeight="1">
      <c r="A2" s="24" t="s">
        <v>41</v>
      </c>
      <c r="B2" s="24" t="s">
        <v>5</v>
      </c>
      <c r="C2" s="24" t="s">
        <v>9</v>
      </c>
      <c r="D2" s="72" t="s">
        <v>42</v>
      </c>
      <c r="E2" s="72"/>
      <c r="F2" s="72"/>
      <c r="G2" s="72"/>
      <c r="H2" s="72"/>
      <c r="I2" s="72"/>
      <c r="J2" s="72"/>
      <c r="K2" s="72"/>
      <c r="L2" s="72" t="s">
        <v>43</v>
      </c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3" t="s">
        <v>44</v>
      </c>
      <c r="Z2" s="73"/>
      <c r="AA2" s="73"/>
      <c r="AB2" s="73"/>
      <c r="AC2" s="73"/>
      <c r="AD2" s="73"/>
      <c r="AE2" s="73"/>
      <c r="AF2" s="73"/>
      <c r="AG2" s="72" t="s">
        <v>45</v>
      </c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24" t="s">
        <v>1</v>
      </c>
      <c r="AU2" s="24" t="s">
        <v>46</v>
      </c>
      <c r="AV2" s="24" t="s">
        <v>47</v>
      </c>
      <c r="AW2" s="24" t="s">
        <v>2</v>
      </c>
    </row>
    <row r="3" spans="1:49" s="17" customFormat="1">
      <c r="A3" s="17">
        <v>1</v>
      </c>
      <c r="B3" s="17" t="str">
        <f>GSD!B5</f>
        <v>RLBH-02</v>
      </c>
      <c r="C3" s="33">
        <f>GSD!F5</f>
        <v>0.5</v>
      </c>
      <c r="D3" s="34">
        <v>4.75</v>
      </c>
      <c r="E3" s="34">
        <v>2</v>
      </c>
      <c r="F3" s="34">
        <v>1.18</v>
      </c>
      <c r="G3" s="34">
        <v>0.6</v>
      </c>
      <c r="H3" s="34">
        <v>0.42499999999999999</v>
      </c>
      <c r="I3" s="34">
        <v>0.3</v>
      </c>
      <c r="J3" s="34">
        <v>0.15</v>
      </c>
      <c r="K3" s="34">
        <v>7.4999999999999997E-2</v>
      </c>
      <c r="L3" s="35">
        <f>HYD!Z5</f>
        <v>0</v>
      </c>
      <c r="M3" s="35">
        <f>HYD!AA5</f>
        <v>0</v>
      </c>
      <c r="N3" s="35">
        <f>HYD!AB5</f>
        <v>0</v>
      </c>
      <c r="O3" s="35">
        <f>HYD!AC5</f>
        <v>0</v>
      </c>
      <c r="P3" s="35">
        <f>HYD!AD5</f>
        <v>0</v>
      </c>
      <c r="Q3" s="35">
        <f>HYD!AE5</f>
        <v>0</v>
      </c>
      <c r="R3" s="35">
        <f>HYD!AF5</f>
        <v>0</v>
      </c>
      <c r="S3" s="35">
        <f>HYD!AG5</f>
        <v>0</v>
      </c>
      <c r="T3" s="35">
        <f>HYD!AH5</f>
        <v>0</v>
      </c>
      <c r="U3" s="35">
        <f>HYD!AI5</f>
        <v>0</v>
      </c>
      <c r="V3" s="35">
        <f>HYD!AJ5</f>
        <v>0</v>
      </c>
      <c r="W3" s="35">
        <f>HYD!AK5</f>
        <v>0</v>
      </c>
      <c r="X3" s="35">
        <f>HYD!AL5</f>
        <v>0</v>
      </c>
      <c r="Y3" s="36">
        <f>GSD!S5</f>
        <v>100</v>
      </c>
      <c r="Z3" s="36">
        <f>GSD!T5</f>
        <v>98.98</v>
      </c>
      <c r="AA3" s="36">
        <f>GSD!U5</f>
        <v>98.58</v>
      </c>
      <c r="AB3" s="36">
        <f>GSD!V5</f>
        <v>96.58</v>
      </c>
      <c r="AC3" s="36">
        <f>GSD!W5</f>
        <v>94.47</v>
      </c>
      <c r="AD3" s="36">
        <f>GSD!X5</f>
        <v>93.2</v>
      </c>
      <c r="AE3" s="36">
        <f>GSD!Y5</f>
        <v>90</v>
      </c>
      <c r="AF3" s="36">
        <f>GSD!Z5</f>
        <v>87.710000000000008</v>
      </c>
      <c r="AG3" s="36">
        <f>HYD!AM5</f>
        <v>0</v>
      </c>
      <c r="AH3" s="36">
        <f>HYD!AN5</f>
        <v>0</v>
      </c>
      <c r="AI3" s="36">
        <f>HYD!AO5</f>
        <v>0</v>
      </c>
      <c r="AJ3" s="36">
        <f>HYD!AP5</f>
        <v>0</v>
      </c>
      <c r="AK3" s="36">
        <f>HYD!AQ5</f>
        <v>0</v>
      </c>
      <c r="AL3" s="36">
        <f>HYD!AR5</f>
        <v>0</v>
      </c>
      <c r="AM3" s="36">
        <f>HYD!AS5</f>
        <v>0</v>
      </c>
      <c r="AN3" s="36">
        <f>HYD!AT5</f>
        <v>0</v>
      </c>
      <c r="AO3" s="36">
        <f>HYD!AU5</f>
        <v>0</v>
      </c>
      <c r="AP3" s="36">
        <f>HYD!AV5</f>
        <v>0</v>
      </c>
      <c r="AQ3" s="36">
        <f>HYD!AW5</f>
        <v>0</v>
      </c>
      <c r="AR3" s="36">
        <f>HYD!AX5</f>
        <v>0</v>
      </c>
      <c r="AS3" s="36">
        <f>HYD!AY5</f>
        <v>0</v>
      </c>
      <c r="AT3" s="36"/>
      <c r="AU3" s="36"/>
      <c r="AV3" s="36"/>
      <c r="AW3" s="36"/>
    </row>
    <row r="4" spans="1:49">
      <c r="A4" s="17">
        <v>2</v>
      </c>
      <c r="B4" s="17" t="str">
        <f>B3</f>
        <v>RLBH-02</v>
      </c>
      <c r="C4" s="33">
        <f>GSD!F6</f>
        <v>1.5</v>
      </c>
      <c r="D4" s="34">
        <v>4.75</v>
      </c>
      <c r="E4" s="34">
        <v>2</v>
      </c>
      <c r="F4" s="34">
        <v>1.18</v>
      </c>
      <c r="G4" s="34">
        <v>0.6</v>
      </c>
      <c r="H4" s="34">
        <v>0.42499999999999999</v>
      </c>
      <c r="I4" s="34">
        <v>0.3</v>
      </c>
      <c r="J4" s="34">
        <v>0.15</v>
      </c>
      <c r="K4" s="34">
        <v>7.4999999999999997E-2</v>
      </c>
      <c r="L4" s="35">
        <f>HYD!Z6</f>
        <v>0</v>
      </c>
      <c r="M4" s="35">
        <f>HYD!AA6</f>
        <v>0</v>
      </c>
      <c r="N4" s="35">
        <f>HYD!AB6</f>
        <v>0</v>
      </c>
      <c r="O4" s="35">
        <f>HYD!AC6</f>
        <v>0</v>
      </c>
      <c r="P4" s="35">
        <f>HYD!AD6</f>
        <v>0</v>
      </c>
      <c r="Q4" s="35">
        <f>HYD!AE6</f>
        <v>0</v>
      </c>
      <c r="R4" s="35">
        <f>HYD!AF6</f>
        <v>0</v>
      </c>
      <c r="S4" s="35">
        <f>HYD!AG6</f>
        <v>0</v>
      </c>
      <c r="T4" s="35">
        <f>HYD!AH6</f>
        <v>0</v>
      </c>
      <c r="U4" s="35">
        <f>HYD!AI6</f>
        <v>0</v>
      </c>
      <c r="V4" s="35">
        <f>HYD!AJ6</f>
        <v>0</v>
      </c>
      <c r="W4" s="35">
        <f>HYD!AK6</f>
        <v>0</v>
      </c>
      <c r="X4" s="35">
        <f>HYD!AL6</f>
        <v>0</v>
      </c>
      <c r="Y4" s="36">
        <f>GSD!S6</f>
        <v>99.07</v>
      </c>
      <c r="Z4" s="36">
        <f>GSD!T6</f>
        <v>97.13</v>
      </c>
      <c r="AA4" s="36">
        <f>GSD!U6</f>
        <v>96.114999999999995</v>
      </c>
      <c r="AB4" s="36">
        <f>GSD!V6</f>
        <v>92.454999999999998</v>
      </c>
      <c r="AC4" s="36">
        <f>GSD!W6</f>
        <v>89.015000000000001</v>
      </c>
      <c r="AD4" s="36">
        <f>GSD!X6</f>
        <v>86.944999999999993</v>
      </c>
      <c r="AE4" s="36">
        <f>GSD!Y6</f>
        <v>81.525000000000006</v>
      </c>
      <c r="AF4" s="36">
        <f>GSD!Z6</f>
        <v>79.10499999999999</v>
      </c>
      <c r="AG4" s="36">
        <f>HYD!AM6</f>
        <v>0</v>
      </c>
      <c r="AH4" s="36">
        <f>HYD!AN6</f>
        <v>0</v>
      </c>
      <c r="AI4" s="36">
        <f>HYD!AO6</f>
        <v>0</v>
      </c>
      <c r="AJ4" s="36">
        <f>HYD!AP6</f>
        <v>0</v>
      </c>
      <c r="AK4" s="36">
        <f>HYD!AQ6</f>
        <v>0</v>
      </c>
      <c r="AL4" s="36">
        <f>HYD!AR6</f>
        <v>0</v>
      </c>
      <c r="AM4" s="36">
        <f>HYD!AS6</f>
        <v>0</v>
      </c>
      <c r="AN4" s="36">
        <f>HYD!AT6</f>
        <v>0</v>
      </c>
      <c r="AO4" s="36">
        <f>HYD!AU6</f>
        <v>0</v>
      </c>
      <c r="AP4" s="36">
        <f>HYD!AV6</f>
        <v>0</v>
      </c>
      <c r="AQ4" s="36">
        <f>HYD!AW6</f>
        <v>0</v>
      </c>
      <c r="AR4" s="36">
        <f>HYD!AX6</f>
        <v>0</v>
      </c>
      <c r="AS4" s="36">
        <f>HYD!AY6</f>
        <v>0</v>
      </c>
      <c r="AT4" s="36"/>
      <c r="AU4" s="36"/>
      <c r="AV4" s="36"/>
      <c r="AW4" s="36"/>
    </row>
    <row r="5" spans="1:49">
      <c r="A5" s="17">
        <v>3</v>
      </c>
      <c r="B5" s="17" t="str">
        <f t="shared" ref="B5:B11" si="0">B4</f>
        <v>RLBH-02</v>
      </c>
      <c r="C5" s="33">
        <f>GSD!F7</f>
        <v>3.5</v>
      </c>
      <c r="D5" s="34">
        <v>4.75</v>
      </c>
      <c r="E5" s="34">
        <v>2</v>
      </c>
      <c r="F5" s="34">
        <v>1.18</v>
      </c>
      <c r="G5" s="34">
        <v>0.6</v>
      </c>
      <c r="H5" s="34">
        <v>0.42499999999999999</v>
      </c>
      <c r="I5" s="34">
        <v>0.3</v>
      </c>
      <c r="J5" s="34">
        <v>0.15</v>
      </c>
      <c r="K5" s="34">
        <v>7.4999999999999997E-2</v>
      </c>
      <c r="L5" s="35">
        <f>HYD!Z7</f>
        <v>0</v>
      </c>
      <c r="M5" s="35">
        <f>HYD!AA7</f>
        <v>0</v>
      </c>
      <c r="N5" s="35">
        <f>HYD!AB7</f>
        <v>0</v>
      </c>
      <c r="O5" s="35">
        <f>HYD!AC7</f>
        <v>0</v>
      </c>
      <c r="P5" s="35">
        <f>HYD!AD7</f>
        <v>0</v>
      </c>
      <c r="Q5" s="35">
        <f>HYD!AE7</f>
        <v>0</v>
      </c>
      <c r="R5" s="35">
        <f>HYD!AF7</f>
        <v>0</v>
      </c>
      <c r="S5" s="35">
        <f>HYD!AG7</f>
        <v>0</v>
      </c>
      <c r="T5" s="35">
        <f>HYD!AH7</f>
        <v>0</v>
      </c>
      <c r="U5" s="35">
        <f>HYD!AI7</f>
        <v>0</v>
      </c>
      <c r="V5" s="35">
        <f>HYD!AJ7</f>
        <v>0</v>
      </c>
      <c r="W5" s="35">
        <f>HYD!AK7</f>
        <v>0</v>
      </c>
      <c r="X5" s="35">
        <f>HYD!AL7</f>
        <v>0</v>
      </c>
      <c r="Y5" s="36">
        <f>GSD!S7</f>
        <v>92.02</v>
      </c>
      <c r="Z5" s="36">
        <f>GSD!T7</f>
        <v>37.950000000000003</v>
      </c>
      <c r="AA5" s="36">
        <f>GSD!U7</f>
        <v>33.77000000000001</v>
      </c>
      <c r="AB5" s="36">
        <f>GSD!V7</f>
        <v>30.200000000000017</v>
      </c>
      <c r="AC5" s="36">
        <f>GSD!W7</f>
        <v>28.52000000000001</v>
      </c>
      <c r="AD5" s="36">
        <f>GSD!X7</f>
        <v>27.63000000000001</v>
      </c>
      <c r="AE5" s="36">
        <f>GSD!Y7</f>
        <v>25.610000000000017</v>
      </c>
      <c r="AF5" s="36">
        <f>GSD!Z7</f>
        <v>24.40000000000002</v>
      </c>
      <c r="AG5" s="36">
        <f>HYD!AM7</f>
        <v>0</v>
      </c>
      <c r="AH5" s="36">
        <f>HYD!AN7</f>
        <v>0</v>
      </c>
      <c r="AI5" s="36">
        <f>HYD!AO7</f>
        <v>0</v>
      </c>
      <c r="AJ5" s="36">
        <f>HYD!AP7</f>
        <v>0</v>
      </c>
      <c r="AK5" s="36">
        <f>HYD!AQ7</f>
        <v>0</v>
      </c>
      <c r="AL5" s="36">
        <f>HYD!AR7</f>
        <v>0</v>
      </c>
      <c r="AM5" s="36">
        <f>HYD!AS7</f>
        <v>0</v>
      </c>
      <c r="AN5" s="36">
        <f>HYD!AT7</f>
        <v>0</v>
      </c>
      <c r="AO5" s="36">
        <f>HYD!AU7</f>
        <v>0</v>
      </c>
      <c r="AP5" s="36">
        <f>HYD!AV7</f>
        <v>0</v>
      </c>
      <c r="AQ5" s="36">
        <f>HYD!AW7</f>
        <v>0</v>
      </c>
      <c r="AR5" s="36">
        <f>HYD!AX7</f>
        <v>0</v>
      </c>
      <c r="AS5" s="36">
        <f>HYD!AY7</f>
        <v>0</v>
      </c>
      <c r="AT5" s="36"/>
      <c r="AU5" s="36"/>
      <c r="AV5" s="36"/>
      <c r="AW5" s="36"/>
    </row>
    <row r="6" spans="1:49">
      <c r="A6" s="17">
        <v>4</v>
      </c>
      <c r="B6" s="17" t="str">
        <f t="shared" si="0"/>
        <v>RLBH-02</v>
      </c>
      <c r="C6" s="33">
        <f>GSD!F8</f>
        <v>4.5</v>
      </c>
      <c r="D6" s="34">
        <v>4.75</v>
      </c>
      <c r="E6" s="34">
        <v>2</v>
      </c>
      <c r="F6" s="34">
        <v>1.18</v>
      </c>
      <c r="G6" s="34">
        <v>0.6</v>
      </c>
      <c r="H6" s="34">
        <v>0.42499999999999999</v>
      </c>
      <c r="I6" s="34">
        <v>0.3</v>
      </c>
      <c r="J6" s="34">
        <v>0.15</v>
      </c>
      <c r="K6" s="34">
        <v>7.4999999999999997E-2</v>
      </c>
      <c r="L6" s="35">
        <f>HYD!Z8</f>
        <v>0</v>
      </c>
      <c r="M6" s="35">
        <f>HYD!AA8</f>
        <v>0</v>
      </c>
      <c r="N6" s="35">
        <f>HYD!AB8</f>
        <v>0</v>
      </c>
      <c r="O6" s="35">
        <f>HYD!AC8</f>
        <v>0</v>
      </c>
      <c r="P6" s="35">
        <f>HYD!AD8</f>
        <v>0</v>
      </c>
      <c r="Q6" s="35">
        <f>HYD!AE8</f>
        <v>0</v>
      </c>
      <c r="R6" s="35">
        <f>HYD!AF8</f>
        <v>0</v>
      </c>
      <c r="S6" s="35">
        <f>HYD!AG8</f>
        <v>0</v>
      </c>
      <c r="T6" s="35">
        <f>HYD!AH8</f>
        <v>0</v>
      </c>
      <c r="U6" s="35">
        <f>HYD!AI8</f>
        <v>0</v>
      </c>
      <c r="V6" s="35">
        <f>HYD!AJ8</f>
        <v>0</v>
      </c>
      <c r="W6" s="35">
        <f>HYD!AK8</f>
        <v>0</v>
      </c>
      <c r="X6" s="35">
        <f>HYD!AL8</f>
        <v>0</v>
      </c>
      <c r="Y6" s="36">
        <f>GSD!S8</f>
        <v>98.39</v>
      </c>
      <c r="Z6" s="36">
        <f>GSD!T8</f>
        <v>70.025000000000006</v>
      </c>
      <c r="AA6" s="36">
        <f>GSD!U8</f>
        <v>58.775000000000013</v>
      </c>
      <c r="AB6" s="36">
        <f>GSD!V8</f>
        <v>47.045000000000002</v>
      </c>
      <c r="AC6" s="36">
        <f>GSD!W8</f>
        <v>41.435000000000002</v>
      </c>
      <c r="AD6" s="36">
        <f>GSD!X8</f>
        <v>38.664999999999999</v>
      </c>
      <c r="AE6" s="36">
        <f>GSD!Y8</f>
        <v>32.72</v>
      </c>
      <c r="AF6" s="36">
        <f>GSD!Z8</f>
        <v>29.959999999999994</v>
      </c>
      <c r="AG6" s="36">
        <f>HYD!AM8</f>
        <v>0</v>
      </c>
      <c r="AH6" s="36">
        <f>HYD!AN8</f>
        <v>0</v>
      </c>
      <c r="AI6" s="36">
        <f>HYD!AO8</f>
        <v>0</v>
      </c>
      <c r="AJ6" s="36">
        <f>HYD!AP8</f>
        <v>0</v>
      </c>
      <c r="AK6" s="36">
        <f>HYD!AQ8</f>
        <v>0</v>
      </c>
      <c r="AL6" s="36">
        <f>HYD!AR8</f>
        <v>0</v>
      </c>
      <c r="AM6" s="36">
        <f>HYD!AS8</f>
        <v>0</v>
      </c>
      <c r="AN6" s="36">
        <f>HYD!AT8</f>
        <v>0</v>
      </c>
      <c r="AO6" s="36">
        <f>HYD!AU8</f>
        <v>0</v>
      </c>
      <c r="AP6" s="36">
        <f>HYD!AV8</f>
        <v>0</v>
      </c>
      <c r="AQ6" s="36">
        <f>HYD!AW8</f>
        <v>0</v>
      </c>
      <c r="AR6" s="36">
        <f>HYD!AX8</f>
        <v>0</v>
      </c>
      <c r="AS6" s="36">
        <f>HYD!AY8</f>
        <v>0</v>
      </c>
      <c r="AT6" s="36"/>
      <c r="AU6" s="36"/>
      <c r="AV6" s="36"/>
      <c r="AW6" s="36"/>
    </row>
    <row r="7" spans="1:49">
      <c r="A7" s="17">
        <v>5</v>
      </c>
      <c r="B7" s="17" t="str">
        <f t="shared" si="0"/>
        <v>RLBH-02</v>
      </c>
      <c r="C7" s="33">
        <f>GSD!F9</f>
        <v>6.5</v>
      </c>
      <c r="D7" s="34">
        <v>4.75</v>
      </c>
      <c r="E7" s="34">
        <v>2</v>
      </c>
      <c r="F7" s="34">
        <v>1.18</v>
      </c>
      <c r="G7" s="34">
        <v>0.6</v>
      </c>
      <c r="H7" s="34">
        <v>0.42499999999999999</v>
      </c>
      <c r="I7" s="34">
        <v>0.3</v>
      </c>
      <c r="J7" s="34">
        <v>0.15</v>
      </c>
      <c r="K7" s="34">
        <v>7.4999999999999997E-2</v>
      </c>
      <c r="L7" s="35">
        <f>HYD!Z9</f>
        <v>0</v>
      </c>
      <c r="M7" s="35">
        <f>HYD!AA9</f>
        <v>0</v>
      </c>
      <c r="N7" s="35">
        <f>HYD!AB9</f>
        <v>0</v>
      </c>
      <c r="O7" s="35">
        <f>HYD!AC9</f>
        <v>0</v>
      </c>
      <c r="P7" s="35">
        <f>HYD!AD9</f>
        <v>0</v>
      </c>
      <c r="Q7" s="35">
        <f>HYD!AE9</f>
        <v>0</v>
      </c>
      <c r="R7" s="35">
        <f>HYD!AF9</f>
        <v>0</v>
      </c>
      <c r="S7" s="35">
        <f>HYD!AG9</f>
        <v>0</v>
      </c>
      <c r="T7" s="35">
        <f>HYD!AH9</f>
        <v>0</v>
      </c>
      <c r="U7" s="35">
        <f>HYD!AI9</f>
        <v>0</v>
      </c>
      <c r="V7" s="35">
        <f>HYD!AJ9</f>
        <v>0</v>
      </c>
      <c r="W7" s="35">
        <f>HYD!AK9</f>
        <v>0</v>
      </c>
      <c r="X7" s="35">
        <f>HYD!AL9</f>
        <v>0</v>
      </c>
      <c r="Y7" s="36">
        <f>GSD!S9</f>
        <v>97.74</v>
      </c>
      <c r="Z7" s="36">
        <f>GSD!T9</f>
        <v>22.659999999999997</v>
      </c>
      <c r="AA7" s="36">
        <f>GSD!U9</f>
        <v>20.099999999999994</v>
      </c>
      <c r="AB7" s="36">
        <f>GSD!V9</f>
        <v>18</v>
      </c>
      <c r="AC7" s="36">
        <f>GSD!W9</f>
        <v>16.840000000000003</v>
      </c>
      <c r="AD7" s="36">
        <f>GSD!X9</f>
        <v>16.260000000000005</v>
      </c>
      <c r="AE7" s="36">
        <f>GSD!Y9</f>
        <v>14.97</v>
      </c>
      <c r="AF7" s="36">
        <f>GSD!Z9</f>
        <v>14.14</v>
      </c>
      <c r="AG7" s="36">
        <f>HYD!AM9</f>
        <v>0</v>
      </c>
      <c r="AH7" s="36">
        <f>HYD!AN9</f>
        <v>0</v>
      </c>
      <c r="AI7" s="36">
        <f>HYD!AO9</f>
        <v>0</v>
      </c>
      <c r="AJ7" s="36">
        <f>HYD!AP9</f>
        <v>0</v>
      </c>
      <c r="AK7" s="36">
        <f>HYD!AQ9</f>
        <v>0</v>
      </c>
      <c r="AL7" s="36">
        <f>HYD!AR9</f>
        <v>0</v>
      </c>
      <c r="AM7" s="36">
        <f>HYD!AS9</f>
        <v>0</v>
      </c>
      <c r="AN7" s="36">
        <f>HYD!AT9</f>
        <v>0</v>
      </c>
      <c r="AO7" s="36">
        <f>HYD!AU9</f>
        <v>0</v>
      </c>
      <c r="AP7" s="36">
        <f>HYD!AV9</f>
        <v>0</v>
      </c>
      <c r="AQ7" s="36">
        <f>HYD!AW9</f>
        <v>0</v>
      </c>
      <c r="AR7" s="36">
        <f>HYD!AX9</f>
        <v>0</v>
      </c>
      <c r="AS7" s="36">
        <f>HYD!AY9</f>
        <v>0</v>
      </c>
      <c r="AT7" s="36"/>
      <c r="AU7" s="36"/>
      <c r="AV7" s="36"/>
      <c r="AW7" s="36"/>
    </row>
    <row r="8" spans="1:49">
      <c r="A8" s="17">
        <v>6</v>
      </c>
      <c r="B8" s="17" t="str">
        <f t="shared" si="0"/>
        <v>RLBH-02</v>
      </c>
      <c r="C8" s="33">
        <f>GSD!F10</f>
        <v>7.5</v>
      </c>
      <c r="D8" s="34">
        <v>4.75</v>
      </c>
      <c r="E8" s="34">
        <v>2</v>
      </c>
      <c r="F8" s="34">
        <v>1.18</v>
      </c>
      <c r="G8" s="34">
        <v>0.6</v>
      </c>
      <c r="H8" s="34">
        <v>0.42499999999999999</v>
      </c>
      <c r="I8" s="34">
        <v>0.3</v>
      </c>
      <c r="J8" s="34">
        <v>0.15</v>
      </c>
      <c r="K8" s="34">
        <v>7.4999999999999997E-2</v>
      </c>
      <c r="L8" s="35">
        <f>HYD!Z10</f>
        <v>0</v>
      </c>
      <c r="M8" s="35">
        <f>HYD!AA10</f>
        <v>0</v>
      </c>
      <c r="N8" s="35">
        <f>HYD!AB10</f>
        <v>0</v>
      </c>
      <c r="O8" s="35">
        <f>HYD!AC10</f>
        <v>0</v>
      </c>
      <c r="P8" s="35">
        <f>HYD!AD10</f>
        <v>0</v>
      </c>
      <c r="Q8" s="35">
        <f>HYD!AE10</f>
        <v>0</v>
      </c>
      <c r="R8" s="35">
        <f>HYD!AF10</f>
        <v>0</v>
      </c>
      <c r="S8" s="35">
        <f>HYD!AG10</f>
        <v>0</v>
      </c>
      <c r="T8" s="35">
        <f>HYD!AH10</f>
        <v>0</v>
      </c>
      <c r="U8" s="35">
        <f>HYD!AI10</f>
        <v>0</v>
      </c>
      <c r="V8" s="35">
        <f>HYD!AJ10</f>
        <v>0</v>
      </c>
      <c r="W8" s="35">
        <f>HYD!AK10</f>
        <v>0</v>
      </c>
      <c r="X8" s="35">
        <f>HYD!AL10</f>
        <v>0</v>
      </c>
      <c r="Y8" s="36">
        <f>GSD!S10</f>
        <v>61.195</v>
      </c>
      <c r="Z8" s="36">
        <f>GSD!T10</f>
        <v>27.539999999999992</v>
      </c>
      <c r="AA8" s="36">
        <f>GSD!U10</f>
        <v>23.774999999999991</v>
      </c>
      <c r="AB8" s="36">
        <f>GSD!V10</f>
        <v>20.329999999999998</v>
      </c>
      <c r="AC8" s="36">
        <f>GSD!W10</f>
        <v>18.784999999999997</v>
      </c>
      <c r="AD8" s="36">
        <f>GSD!X10</f>
        <v>18.114999999999995</v>
      </c>
      <c r="AE8" s="36">
        <f>GSD!Y10</f>
        <v>16.60499999999999</v>
      </c>
      <c r="AF8" s="36">
        <f>GSD!Z10</f>
        <v>16.044999999999987</v>
      </c>
      <c r="AG8" s="36">
        <f>HYD!AM10</f>
        <v>0</v>
      </c>
      <c r="AH8" s="36">
        <f>HYD!AN10</f>
        <v>0</v>
      </c>
      <c r="AI8" s="36">
        <f>HYD!AO10</f>
        <v>0</v>
      </c>
      <c r="AJ8" s="36">
        <f>HYD!AP10</f>
        <v>0</v>
      </c>
      <c r="AK8" s="36">
        <f>HYD!AQ10</f>
        <v>0</v>
      </c>
      <c r="AL8" s="36">
        <f>HYD!AR10</f>
        <v>0</v>
      </c>
      <c r="AM8" s="36">
        <f>HYD!AS10</f>
        <v>0</v>
      </c>
      <c r="AN8" s="36">
        <f>HYD!AT10</f>
        <v>0</v>
      </c>
      <c r="AO8" s="36">
        <f>HYD!AU10</f>
        <v>0</v>
      </c>
      <c r="AP8" s="36">
        <f>HYD!AV10</f>
        <v>0</v>
      </c>
      <c r="AQ8" s="36">
        <f>HYD!AW10</f>
        <v>0</v>
      </c>
      <c r="AR8" s="36">
        <f>HYD!AX10</f>
        <v>0</v>
      </c>
      <c r="AS8" s="36">
        <f>HYD!AY10</f>
        <v>0</v>
      </c>
      <c r="AT8" s="36"/>
      <c r="AU8" s="36"/>
      <c r="AV8" s="36"/>
      <c r="AW8" s="36"/>
    </row>
    <row r="9" spans="1:49">
      <c r="A9" s="17">
        <v>7</v>
      </c>
      <c r="B9" s="17" t="str">
        <f t="shared" si="0"/>
        <v>RLBH-02</v>
      </c>
      <c r="C9" s="33">
        <f>GSD!F11</f>
        <v>10.5</v>
      </c>
      <c r="D9" s="34">
        <v>4.75</v>
      </c>
      <c r="E9" s="34">
        <v>2</v>
      </c>
      <c r="F9" s="34">
        <v>1.18</v>
      </c>
      <c r="G9" s="34">
        <v>0.6</v>
      </c>
      <c r="H9" s="34">
        <v>0.42499999999999999</v>
      </c>
      <c r="I9" s="34">
        <v>0.3</v>
      </c>
      <c r="J9" s="34">
        <v>0.15</v>
      </c>
      <c r="K9" s="34">
        <v>7.4999999999999997E-2</v>
      </c>
      <c r="L9" s="35">
        <f>HYD!Z11</f>
        <v>0</v>
      </c>
      <c r="M9" s="35">
        <f>HYD!AA11</f>
        <v>0</v>
      </c>
      <c r="N9" s="35">
        <f>HYD!AB11</f>
        <v>0</v>
      </c>
      <c r="O9" s="35">
        <f>HYD!AC11</f>
        <v>0</v>
      </c>
      <c r="P9" s="35">
        <f>HYD!AD11</f>
        <v>0</v>
      </c>
      <c r="Q9" s="35">
        <f>HYD!AE11</f>
        <v>0</v>
      </c>
      <c r="R9" s="35">
        <f>HYD!AF11</f>
        <v>0</v>
      </c>
      <c r="S9" s="35">
        <f>HYD!AG11</f>
        <v>0</v>
      </c>
      <c r="T9" s="35">
        <f>HYD!AH11</f>
        <v>0</v>
      </c>
      <c r="U9" s="35">
        <f>HYD!AI11</f>
        <v>0</v>
      </c>
      <c r="V9" s="35">
        <f>HYD!AJ11</f>
        <v>0</v>
      </c>
      <c r="W9" s="35">
        <f>HYD!AK11</f>
        <v>0</v>
      </c>
      <c r="X9" s="35">
        <f>HYD!AL11</f>
        <v>0</v>
      </c>
      <c r="Y9" s="36">
        <f>GSD!S11</f>
        <v>71.02</v>
      </c>
      <c r="Z9" s="36">
        <f>GSD!T11</f>
        <v>66.539999999999992</v>
      </c>
      <c r="AA9" s="36">
        <f>GSD!U11</f>
        <v>65.28</v>
      </c>
      <c r="AB9" s="36">
        <f>GSD!V11</f>
        <v>62.580000000000005</v>
      </c>
      <c r="AC9" s="36">
        <f>GSD!W11</f>
        <v>59.18</v>
      </c>
      <c r="AD9" s="36">
        <f>GSD!X11</f>
        <v>56.7</v>
      </c>
      <c r="AE9" s="36">
        <f>GSD!Y11</f>
        <v>46.21</v>
      </c>
      <c r="AF9" s="36">
        <f>GSD!Z11</f>
        <v>41.06</v>
      </c>
      <c r="AG9" s="36">
        <f>HYD!AM11</f>
        <v>0</v>
      </c>
      <c r="AH9" s="36">
        <f>HYD!AN11</f>
        <v>0</v>
      </c>
      <c r="AI9" s="36">
        <f>HYD!AO11</f>
        <v>0</v>
      </c>
      <c r="AJ9" s="36">
        <f>HYD!AP11</f>
        <v>0</v>
      </c>
      <c r="AK9" s="36">
        <f>HYD!AQ11</f>
        <v>0</v>
      </c>
      <c r="AL9" s="36">
        <f>HYD!AR11</f>
        <v>0</v>
      </c>
      <c r="AM9" s="36">
        <f>HYD!AS11</f>
        <v>0</v>
      </c>
      <c r="AN9" s="36">
        <f>HYD!AT11</f>
        <v>0</v>
      </c>
      <c r="AO9" s="36">
        <f>HYD!AU11</f>
        <v>0</v>
      </c>
      <c r="AP9" s="36">
        <f>HYD!AV11</f>
        <v>0</v>
      </c>
      <c r="AQ9" s="36">
        <f>HYD!AW11</f>
        <v>0</v>
      </c>
      <c r="AR9" s="36">
        <f>HYD!AX11</f>
        <v>0</v>
      </c>
      <c r="AS9" s="36">
        <f>HYD!AY11</f>
        <v>0</v>
      </c>
      <c r="AT9" s="37"/>
      <c r="AU9" s="37"/>
      <c r="AV9" s="37"/>
      <c r="AW9" s="37"/>
    </row>
    <row r="10" spans="1:49">
      <c r="A10" s="17">
        <v>8</v>
      </c>
      <c r="B10" s="17" t="str">
        <f t="shared" si="0"/>
        <v>RLBH-02</v>
      </c>
      <c r="C10" s="33">
        <f>GSD!F12</f>
        <v>12.5</v>
      </c>
      <c r="D10" s="34">
        <v>4.75</v>
      </c>
      <c r="E10" s="34">
        <v>2</v>
      </c>
      <c r="F10" s="34">
        <v>1.18</v>
      </c>
      <c r="G10" s="34">
        <v>0.6</v>
      </c>
      <c r="H10" s="34">
        <v>0.42499999999999999</v>
      </c>
      <c r="I10" s="34">
        <v>0.3</v>
      </c>
      <c r="J10" s="34">
        <v>0.15</v>
      </c>
      <c r="K10" s="34">
        <v>7.4999999999999997E-2</v>
      </c>
      <c r="L10" s="35">
        <f>HYD!Z12</f>
        <v>0</v>
      </c>
      <c r="M10" s="35">
        <f>HYD!AA12</f>
        <v>0</v>
      </c>
      <c r="N10" s="35">
        <f>HYD!AB12</f>
        <v>0</v>
      </c>
      <c r="O10" s="35">
        <f>HYD!AC12</f>
        <v>0</v>
      </c>
      <c r="P10" s="35">
        <f>HYD!AD12</f>
        <v>0</v>
      </c>
      <c r="Q10" s="35">
        <f>HYD!AE12</f>
        <v>0</v>
      </c>
      <c r="R10" s="35">
        <f>HYD!AF12</f>
        <v>0</v>
      </c>
      <c r="S10" s="35">
        <f>HYD!AG12</f>
        <v>0</v>
      </c>
      <c r="T10" s="35">
        <f>HYD!AH12</f>
        <v>0</v>
      </c>
      <c r="U10" s="35">
        <f>HYD!AI12</f>
        <v>0</v>
      </c>
      <c r="V10" s="35">
        <f>HYD!AJ12</f>
        <v>0</v>
      </c>
      <c r="W10" s="35">
        <f>HYD!AK12</f>
        <v>0</v>
      </c>
      <c r="X10" s="35">
        <f>HYD!AL12</f>
        <v>0</v>
      </c>
      <c r="Y10" s="36">
        <f>GSD!S12</f>
        <v>79.12</v>
      </c>
      <c r="Z10" s="36">
        <f>GSD!T12</f>
        <v>75.460000000000008</v>
      </c>
      <c r="AA10" s="36">
        <f>GSD!U12</f>
        <v>74</v>
      </c>
      <c r="AB10" s="36">
        <f>GSD!V12</f>
        <v>71.23</v>
      </c>
      <c r="AC10" s="36">
        <f>GSD!W12</f>
        <v>67.52000000000001</v>
      </c>
      <c r="AD10" s="36">
        <f>GSD!X12</f>
        <v>64.44</v>
      </c>
      <c r="AE10" s="36">
        <f>GSD!Y12</f>
        <v>53.960000000000008</v>
      </c>
      <c r="AF10" s="36">
        <f>GSD!Z12</f>
        <v>47.610000000000007</v>
      </c>
      <c r="AG10" s="36">
        <f>HYD!AM12</f>
        <v>0</v>
      </c>
      <c r="AH10" s="36">
        <f>HYD!AN12</f>
        <v>0</v>
      </c>
      <c r="AI10" s="36">
        <f>HYD!AO12</f>
        <v>0</v>
      </c>
      <c r="AJ10" s="36">
        <f>HYD!AP12</f>
        <v>0</v>
      </c>
      <c r="AK10" s="36">
        <f>HYD!AQ12</f>
        <v>0</v>
      </c>
      <c r="AL10" s="36">
        <f>HYD!AR12</f>
        <v>0</v>
      </c>
      <c r="AM10" s="36">
        <f>HYD!AS12</f>
        <v>0</v>
      </c>
      <c r="AN10" s="36">
        <f>HYD!AT12</f>
        <v>0</v>
      </c>
      <c r="AO10" s="36">
        <f>HYD!AU12</f>
        <v>0</v>
      </c>
      <c r="AP10" s="36">
        <f>HYD!AV12</f>
        <v>0</v>
      </c>
      <c r="AQ10" s="36">
        <f>HYD!AW12</f>
        <v>0</v>
      </c>
      <c r="AR10" s="36">
        <f>HYD!AX12</f>
        <v>0</v>
      </c>
      <c r="AS10" s="36">
        <f>HYD!AY12</f>
        <v>0</v>
      </c>
      <c r="AT10" s="37"/>
      <c r="AU10" s="37"/>
      <c r="AV10" s="37"/>
      <c r="AW10" s="37"/>
    </row>
    <row r="11" spans="1:49">
      <c r="A11" s="17">
        <v>9</v>
      </c>
      <c r="B11" s="17" t="str">
        <f t="shared" si="0"/>
        <v>RLBH-02</v>
      </c>
      <c r="C11" s="33">
        <f>GSD!F13</f>
        <v>15</v>
      </c>
      <c r="D11" s="34">
        <v>4.75</v>
      </c>
      <c r="E11" s="34">
        <v>2</v>
      </c>
      <c r="F11" s="34">
        <v>1.18</v>
      </c>
      <c r="G11" s="34">
        <v>0.6</v>
      </c>
      <c r="H11" s="34">
        <v>0.42499999999999999</v>
      </c>
      <c r="I11" s="34">
        <v>0.3</v>
      </c>
      <c r="J11" s="34">
        <v>0.15</v>
      </c>
      <c r="K11" s="34">
        <v>7.4999999999999997E-2</v>
      </c>
      <c r="L11" s="35">
        <f>HYD!Z13</f>
        <v>0</v>
      </c>
      <c r="M11" s="35">
        <f>HYD!AA13</f>
        <v>0</v>
      </c>
      <c r="N11" s="35">
        <f>HYD!AB13</f>
        <v>0</v>
      </c>
      <c r="O11" s="35">
        <f>HYD!AC13</f>
        <v>0</v>
      </c>
      <c r="P11" s="35">
        <f>HYD!AD13</f>
        <v>0</v>
      </c>
      <c r="Q11" s="35">
        <f>HYD!AE13</f>
        <v>0</v>
      </c>
      <c r="R11" s="35">
        <f>HYD!AF13</f>
        <v>0</v>
      </c>
      <c r="S11" s="35">
        <f>HYD!AG13</f>
        <v>0</v>
      </c>
      <c r="T11" s="35">
        <f>HYD!AH13</f>
        <v>0</v>
      </c>
      <c r="U11" s="35">
        <f>HYD!AI13</f>
        <v>0</v>
      </c>
      <c r="V11" s="35">
        <f>HYD!AJ13</f>
        <v>0</v>
      </c>
      <c r="W11" s="35">
        <f>HYD!AK13</f>
        <v>0</v>
      </c>
      <c r="X11" s="35">
        <f>HYD!AL13</f>
        <v>0</v>
      </c>
      <c r="Y11" s="36">
        <f>GSD!S13</f>
        <v>68.430000000000007</v>
      </c>
      <c r="Z11" s="36">
        <f>GSD!T13</f>
        <v>59.24</v>
      </c>
      <c r="AA11" s="36">
        <f>GSD!U13</f>
        <v>57.03</v>
      </c>
      <c r="AB11" s="36">
        <f>GSD!V13</f>
        <v>53.14</v>
      </c>
      <c r="AC11" s="36">
        <f>GSD!W13</f>
        <v>49.08</v>
      </c>
      <c r="AD11" s="36">
        <f>GSD!X13</f>
        <v>46.01</v>
      </c>
      <c r="AE11" s="36">
        <f>GSD!Y13</f>
        <v>37.03</v>
      </c>
      <c r="AF11" s="36">
        <f>GSD!Z13</f>
        <v>31.269999999999996</v>
      </c>
      <c r="AG11" s="36">
        <f>HYD!AM13</f>
        <v>0</v>
      </c>
      <c r="AH11" s="36">
        <f>HYD!AN13</f>
        <v>0</v>
      </c>
      <c r="AI11" s="36">
        <f>HYD!AO13</f>
        <v>0</v>
      </c>
      <c r="AJ11" s="36">
        <f>HYD!AP13</f>
        <v>0</v>
      </c>
      <c r="AK11" s="36">
        <f>HYD!AQ13</f>
        <v>0</v>
      </c>
      <c r="AL11" s="36">
        <f>HYD!AR13</f>
        <v>0</v>
      </c>
      <c r="AM11" s="36">
        <f>HYD!AS13</f>
        <v>0</v>
      </c>
      <c r="AN11" s="36">
        <f>HYD!AT13</f>
        <v>0</v>
      </c>
      <c r="AO11" s="36">
        <f>HYD!AU13</f>
        <v>0</v>
      </c>
      <c r="AP11" s="36">
        <f>HYD!AV13</f>
        <v>0</v>
      </c>
      <c r="AQ11" s="36">
        <f>HYD!AW13</f>
        <v>0</v>
      </c>
      <c r="AR11" s="36">
        <f>HYD!AX13</f>
        <v>0</v>
      </c>
      <c r="AS11" s="36">
        <f>HYD!AY13</f>
        <v>0</v>
      </c>
      <c r="AT11" s="37"/>
      <c r="AU11" s="37"/>
      <c r="AV11" s="37"/>
      <c r="AW11" s="37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2026-09-15T10:05:16Z</dcterms:modified>
</cp:coreProperties>
</file>