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10. SH-220_CH_297.219 km (SBH-09 &amp; SBH-10)\GSD &amp; HYD_SHBH 09\"/>
    </mc:Choice>
  </mc:AlternateContent>
  <xr:revisionPtr revIDLastSave="0" documentId="13_ncr:1_{3BC59536-B4C1-49B5-9CB3-B9C86ABC3734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<sst xmlns="http://schemas.openxmlformats.org/spreadsheetml/2006/main" count="78" uniqueCount="57">
  <si>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</si>
  <si>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</si>
  <si>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</si>
  <si>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</si>
  <si>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</si>
  <si>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</si>
  <si>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</si>
  <si>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</si>
  <si>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</si>
  <si>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</si>
  <si>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</si>
  <si>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</si>
  <si>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</si>
  <si>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</si>
  <si>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</si>
  <si>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</si>
  <si>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</si>
  <si>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</si>
  <si>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</si>
  <si>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</si>
  <si>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</si>
  <si>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</si>
  <si>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</si>
  <si>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</si>
  <si>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</si>
  <si>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</si>
  <si>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</si>
  <si>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</si>
  <si>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</si>
  <si>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</si>
  <si>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</si>
  <si>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</si>
  <si>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</si>
  <si>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</si>
  <si>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</si>
  <si>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</si>
  <si>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</si>
  <si>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</si>
  <si>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</si>
  <si>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</si>
  <si>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</si>
  <si>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</si>
  <si>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</si>
  <si>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</si>
  <si>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</si>
  <si>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</si>
  <si>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</si>
  <si>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</si>
  <si>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</si>
  <si>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SHBH-09</t>
  </si>
  <si>
    <t>A154</t>
  </si>
  <si>
    <t>A135</t>
  </si>
  <si>
    <t>A069</t>
  </si>
  <si>
    <t>A041</t>
  </si>
  <si>
    <t>A112</t>
  </si>
  <si>
    <t>A029</t>
  </si>
  <si>
    <t>A026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</si>
</sst>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99.48</c:v>
                </c:pt>
                <c:pt idx="1">
                  <c:v>96.56</c:v>
                </c:pt>
                <c:pt idx="2">
                  <c:v>95.92</c:v>
                </c:pt>
                <c:pt idx="3">
                  <c:v>94.24</c:v>
                </c:pt>
                <c:pt idx="4">
                  <c:v>92.74</c:v>
                </c:pt>
                <c:pt idx="5">
                  <c:v>92.01</c:v>
                </c:pt>
                <c:pt idx="6">
                  <c:v>81.650000000000006</c:v>
                </c:pt>
                <c:pt idx="7">
                  <c:v>54.87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99.584999999999994</c:v>
                </c:pt>
                <c:pt idx="1">
                  <c:v>98.474999999999994</c:v>
                </c:pt>
                <c:pt idx="2">
                  <c:v>98.11</c:v>
                </c:pt>
                <c:pt idx="3">
                  <c:v>95.724999999999994</c:v>
                </c:pt>
                <c:pt idx="4">
                  <c:v>93.22</c:v>
                </c:pt>
                <c:pt idx="5">
                  <c:v>91.72</c:v>
                </c:pt>
                <c:pt idx="6">
                  <c:v>80.42</c:v>
                </c:pt>
                <c:pt idx="7">
                  <c:v>67.42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99.68</c:v>
                </c:pt>
                <c:pt idx="1">
                  <c:v>99.59</c:v>
                </c:pt>
                <c:pt idx="2">
                  <c:v>99.5</c:v>
                </c:pt>
                <c:pt idx="3">
                  <c:v>98.15</c:v>
                </c:pt>
                <c:pt idx="4">
                  <c:v>96.62</c:v>
                </c:pt>
                <c:pt idx="5">
                  <c:v>95.88</c:v>
                </c:pt>
                <c:pt idx="6">
                  <c:v>76.81</c:v>
                </c:pt>
                <c:pt idx="7">
                  <c:v>55.84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99.125</c:v>
                </c:pt>
                <c:pt idx="1">
                  <c:v>96.57</c:v>
                </c:pt>
                <c:pt idx="2">
                  <c:v>95.07</c:v>
                </c:pt>
                <c:pt idx="3">
                  <c:v>90.87</c:v>
                </c:pt>
                <c:pt idx="4">
                  <c:v>84.42</c:v>
                </c:pt>
                <c:pt idx="5">
                  <c:v>79.86</c:v>
                </c:pt>
                <c:pt idx="6">
                  <c:v>59.915000000000006</c:v>
                </c:pt>
                <c:pt idx="7">
                  <c:v>51.14500000000001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93.92</c:v>
                </c:pt>
                <c:pt idx="1">
                  <c:v>93.22</c:v>
                </c:pt>
                <c:pt idx="2">
                  <c:v>92.92</c:v>
                </c:pt>
                <c:pt idx="3">
                  <c:v>91.49</c:v>
                </c:pt>
                <c:pt idx="4">
                  <c:v>90.03</c:v>
                </c:pt>
                <c:pt idx="5">
                  <c:v>89.19</c:v>
                </c:pt>
                <c:pt idx="6">
                  <c:v>75.67</c:v>
                </c:pt>
                <c:pt idx="7">
                  <c:v>55.370000000000005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100</c:v>
                </c:pt>
                <c:pt idx="1">
                  <c:v>99.6</c:v>
                </c:pt>
                <c:pt idx="2">
                  <c:v>99.37</c:v>
                </c:pt>
                <c:pt idx="3">
                  <c:v>97.95</c:v>
                </c:pt>
                <c:pt idx="4">
                  <c:v>96.48</c:v>
                </c:pt>
                <c:pt idx="5">
                  <c:v>95.58</c:v>
                </c:pt>
                <c:pt idx="6">
                  <c:v>78.17</c:v>
                </c:pt>
                <c:pt idx="7">
                  <c:v>59.790000000000006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100</c:v>
                </c:pt>
                <c:pt idx="1">
                  <c:v>99.73</c:v>
                </c:pt>
                <c:pt idx="2">
                  <c:v>99.61</c:v>
                </c:pt>
                <c:pt idx="3">
                  <c:v>98</c:v>
                </c:pt>
                <c:pt idx="4">
                  <c:v>96.27</c:v>
                </c:pt>
                <c:pt idx="5">
                  <c:v>95.42</c:v>
                </c:pt>
                <c:pt idx="6">
                  <c:v>80.150000000000006</c:v>
                </c:pt>
                <c:pt idx="7">
                  <c:v>56.98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74-430E-8BE5-47E773D45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5741697858671E-2"/>
          <c:h val="0.554436030037596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99.48</c:v>
                </c:pt>
                <c:pt idx="1">
                  <c:v>96.56</c:v>
                </c:pt>
                <c:pt idx="2">
                  <c:v>95.92</c:v>
                </c:pt>
                <c:pt idx="3">
                  <c:v>94.24</c:v>
                </c:pt>
                <c:pt idx="4">
                  <c:v>92.74</c:v>
                </c:pt>
                <c:pt idx="5">
                  <c:v>92.01</c:v>
                </c:pt>
                <c:pt idx="6">
                  <c:v>81.650000000000006</c:v>
                </c:pt>
                <c:pt idx="7">
                  <c:v>54.87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99.584999999999994</c:v>
                </c:pt>
                <c:pt idx="1">
                  <c:v>98.474999999999994</c:v>
                </c:pt>
                <c:pt idx="2">
                  <c:v>98.11</c:v>
                </c:pt>
                <c:pt idx="3">
                  <c:v>95.724999999999994</c:v>
                </c:pt>
                <c:pt idx="4">
                  <c:v>93.22</c:v>
                </c:pt>
                <c:pt idx="5">
                  <c:v>91.72</c:v>
                </c:pt>
                <c:pt idx="6">
                  <c:v>80.42</c:v>
                </c:pt>
                <c:pt idx="7">
                  <c:v>67.42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99.68</c:v>
                </c:pt>
                <c:pt idx="1">
                  <c:v>99.59</c:v>
                </c:pt>
                <c:pt idx="2">
                  <c:v>99.5</c:v>
                </c:pt>
                <c:pt idx="3">
                  <c:v>98.15</c:v>
                </c:pt>
                <c:pt idx="4">
                  <c:v>96.62</c:v>
                </c:pt>
                <c:pt idx="5">
                  <c:v>95.88</c:v>
                </c:pt>
                <c:pt idx="6">
                  <c:v>76.81</c:v>
                </c:pt>
                <c:pt idx="7">
                  <c:v>55.84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99.125</c:v>
                </c:pt>
                <c:pt idx="1">
                  <c:v>96.57</c:v>
                </c:pt>
                <c:pt idx="2">
                  <c:v>95.07</c:v>
                </c:pt>
                <c:pt idx="3">
                  <c:v>90.87</c:v>
                </c:pt>
                <c:pt idx="4">
                  <c:v>84.42</c:v>
                </c:pt>
                <c:pt idx="5">
                  <c:v>79.86</c:v>
                </c:pt>
                <c:pt idx="6">
                  <c:v>59.915000000000006</c:v>
                </c:pt>
                <c:pt idx="7">
                  <c:v>51.14500000000001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93.92</c:v>
                </c:pt>
                <c:pt idx="1">
                  <c:v>93.22</c:v>
                </c:pt>
                <c:pt idx="2">
                  <c:v>92.92</c:v>
                </c:pt>
                <c:pt idx="3">
                  <c:v>91.49</c:v>
                </c:pt>
                <c:pt idx="4">
                  <c:v>90.03</c:v>
                </c:pt>
                <c:pt idx="5">
                  <c:v>89.19</c:v>
                </c:pt>
                <c:pt idx="6">
                  <c:v>75.67</c:v>
                </c:pt>
                <c:pt idx="7">
                  <c:v>55.370000000000005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100</c:v>
                </c:pt>
                <c:pt idx="1">
                  <c:v>99.6</c:v>
                </c:pt>
                <c:pt idx="2">
                  <c:v>99.37</c:v>
                </c:pt>
                <c:pt idx="3">
                  <c:v>97.95</c:v>
                </c:pt>
                <c:pt idx="4">
                  <c:v>96.48</c:v>
                </c:pt>
                <c:pt idx="5">
                  <c:v>95.58</c:v>
                </c:pt>
                <c:pt idx="6">
                  <c:v>78.17</c:v>
                </c:pt>
                <c:pt idx="7">
                  <c:v>59.790000000000006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100</c:v>
                </c:pt>
                <c:pt idx="1">
                  <c:v>99.73</c:v>
                </c:pt>
                <c:pt idx="2">
                  <c:v>99.61</c:v>
                </c:pt>
                <c:pt idx="3">
                  <c:v>98</c:v>
                </c:pt>
                <c:pt idx="4">
                  <c:v>96.27</c:v>
                </c:pt>
                <c:pt idx="5">
                  <c:v>95.42</c:v>
                </c:pt>
                <c:pt idx="6">
                  <c:v>80.150000000000006</c:v>
                </c:pt>
                <c:pt idx="7">
                  <c:v>56.98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tabSelected="1" view="pageBreakPreview" topLeftCell="L1" zoomScale="130" zoomScaleNormal="85" zoomScaleSheetLayoutView="130" zoomScalePageLayoutView="85" workbookViewId="0">
      <selection activeCell="Y5" sqref="Y5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26" width="9" style="1" customWidth="1"/>
    <col min="27" max="16384" width="9" style="1"/>
  </cols>
  <sheetData>
    <row r="1" spans="1:29" ht="25.15" customHeight="1" x14ac:dyDescent="0.25">
      <c r="A1" s="60" t="s">
        <v>3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</row>
    <row r="2" spans="1:29" ht="24.6" customHeight="1" x14ac:dyDescent="0.25">
      <c r="A2" s="61" t="s">
        <v>4</v>
      </c>
      <c r="B2" s="64" t="s">
        <v>5</v>
      </c>
      <c r="C2" s="64" t="s">
        <v>6</v>
      </c>
      <c r="D2" s="64" t="s">
        <v>7</v>
      </c>
      <c r="E2" s="67" t="s">
        <v>8</v>
      </c>
      <c r="F2" s="67" t="s">
        <v>9</v>
      </c>
      <c r="G2" s="67" t="s">
        <v>10</v>
      </c>
      <c r="H2" s="67" t="s">
        <v>11</v>
      </c>
      <c r="I2" s="68" t="s">
        <v>12</v>
      </c>
      <c r="J2" s="57" t="s">
        <v>13</v>
      </c>
      <c r="K2" s="57"/>
      <c r="L2" s="57"/>
      <c r="M2" s="57"/>
      <c r="N2" s="57"/>
      <c r="O2" s="57"/>
      <c r="P2" s="57"/>
      <c r="Q2" s="57"/>
      <c r="R2" s="57"/>
      <c r="S2" s="57" t="s">
        <v>0</v>
      </c>
      <c r="T2" s="57"/>
      <c r="U2" s="57"/>
      <c r="V2" s="57"/>
      <c r="W2" s="57"/>
      <c r="X2" s="57"/>
      <c r="Y2" s="57"/>
      <c r="Z2" s="57"/>
      <c r="AA2" s="70" t="s">
        <v>14</v>
      </c>
      <c r="AB2" s="70" t="s">
        <v>15</v>
      </c>
      <c r="AC2" s="70" t="s">
        <v>16</v>
      </c>
    </row>
    <row r="3" spans="1:29" ht="40.5" customHeight="1" x14ac:dyDescent="0.25">
      <c r="A3" s="62"/>
      <c r="B3" s="65"/>
      <c r="C3" s="65"/>
      <c r="D3" s="65"/>
      <c r="E3" s="67"/>
      <c r="F3" s="67"/>
      <c r="G3" s="67"/>
      <c r="H3" s="67"/>
      <c r="I3" s="69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70"/>
      <c r="AB3" s="70"/>
      <c r="AC3" s="70"/>
    </row>
    <row r="4" spans="1:29" ht="21.6" customHeight="1" x14ac:dyDescent="0.25">
      <c r="A4" s="63"/>
      <c r="B4" s="66"/>
      <c r="C4" s="66"/>
      <c r="D4" s="66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7" t="s">
        <v>20</v>
      </c>
      <c r="K4" s="57"/>
      <c r="L4" s="57"/>
      <c r="M4" s="57"/>
      <c r="N4" s="57"/>
      <c r="O4" s="57"/>
      <c r="P4" s="57"/>
      <c r="Q4" s="57"/>
      <c r="R4" s="57"/>
      <c r="S4" s="57" t="s">
        <v>20</v>
      </c>
      <c r="T4" s="57"/>
      <c r="U4" s="57"/>
      <c r="V4" s="57"/>
      <c r="W4" s="57"/>
      <c r="X4" s="57"/>
      <c r="Y4" s="57"/>
      <c r="Z4" s="57"/>
      <c r="AA4" s="71" t="s">
        <v>21</v>
      </c>
      <c r="AB4" s="72"/>
      <c r="AC4" s="72"/>
    </row>
    <row r="5" spans="1:29" ht="30" customHeight="1" x14ac:dyDescent="0.25">
      <c r="A5" s="9">
        <v>1</v>
      </c>
      <c r="B5" s="58" t="s">
        <v>49</v>
      </c>
      <c r="C5" s="58"/>
      <c r="D5" s="59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54.87</v>
      </c>
      <c r="J5" s="24">
        <v>0.52</v>
      </c>
      <c r="K5" s="24">
        <v>2.92</v>
      </c>
      <c r="L5" s="24">
        <v>0.64</v>
      </c>
      <c r="M5" s="24">
        <v>1.68</v>
      </c>
      <c r="N5" s="24">
        <v>1.5</v>
      </c>
      <c r="O5" s="24">
        <v>0.73</v>
      </c>
      <c r="P5" s="24">
        <v>10.36</v>
      </c>
      <c r="Q5" s="24">
        <v>26.78</v>
      </c>
      <c r="R5" s="10"/>
      <c r="S5" s="11">
        <f t="shared" ref="S5:S11" si="0">((H5-(SUM(J5)))/H5)*100</f>
        <v>99.48</v>
      </c>
      <c r="T5" s="11">
        <f t="shared" ref="T5:T11" si="1">((H5-(SUM(J5:K5)))/H5)*100</f>
        <v>96.56</v>
      </c>
      <c r="U5" s="11">
        <f t="shared" ref="U5:U11" si="2">((H5-(SUM(J5:L5)))/H5)*100</f>
        <v>95.92</v>
      </c>
      <c r="V5" s="11">
        <f t="shared" ref="V5:V11" si="3">((H5-(SUM(J5:M5)))/H5)*100</f>
        <v>94.24</v>
      </c>
      <c r="W5" s="11">
        <f t="shared" ref="W5:W11" si="4">((H5-(SUM(J5:N5)))/H5)*100</f>
        <v>92.74</v>
      </c>
      <c r="X5" s="11">
        <f t="shared" ref="X5:X11" si="5">((H5-(SUM(J5:O5)))/H5)*100</f>
        <v>92.01</v>
      </c>
      <c r="Y5" s="11">
        <f t="shared" ref="Y5:Y11" si="6">((H5-(SUM(J5:P5)))/H5)*100</f>
        <v>81.650000000000006</v>
      </c>
      <c r="Z5" s="11">
        <f t="shared" ref="Z5:Z11" si="7">((H5-(SUM(J5:Q5)))/H5)*100</f>
        <v>54.87</v>
      </c>
      <c r="AA5" s="11">
        <f t="shared" ref="AA5:AA11" si="8">100-S5</f>
        <v>0.51999999999999602</v>
      </c>
      <c r="AB5" s="11">
        <f t="shared" ref="AB5:AB11" si="9">S5-Z5</f>
        <v>44.610000000000007</v>
      </c>
      <c r="AC5" s="11">
        <f t="shared" ref="AC5:AC11" si="10">Z5</f>
        <v>54.87</v>
      </c>
    </row>
    <row r="6" spans="1:29" ht="30" customHeight="1" x14ac:dyDescent="0.25">
      <c r="A6" s="9">
        <v>2</v>
      </c>
      <c r="B6" s="58"/>
      <c r="C6" s="58"/>
      <c r="D6" s="59"/>
      <c r="E6" s="46" t="s">
        <v>48</v>
      </c>
      <c r="F6" s="24">
        <v>1.5</v>
      </c>
      <c r="G6" s="46" t="s">
        <v>51</v>
      </c>
      <c r="H6" s="55">
        <v>200</v>
      </c>
      <c r="I6" s="24">
        <f t="shared" ref="I6:I11" si="11">H6-SUM(J6:Q6)</f>
        <v>134.84</v>
      </c>
      <c r="J6" s="24">
        <v>0.83</v>
      </c>
      <c r="K6" s="24">
        <v>2.2200000000000002</v>
      </c>
      <c r="L6" s="24">
        <v>0.73</v>
      </c>
      <c r="M6" s="24">
        <v>4.7699999999999996</v>
      </c>
      <c r="N6" s="24">
        <v>5.01</v>
      </c>
      <c r="O6" s="24">
        <v>3</v>
      </c>
      <c r="P6" s="24">
        <v>22.6</v>
      </c>
      <c r="Q6" s="24">
        <v>26</v>
      </c>
      <c r="R6" s="10"/>
      <c r="S6" s="11">
        <f t="shared" si="0"/>
        <v>99.584999999999994</v>
      </c>
      <c r="T6" s="11">
        <f t="shared" si="1"/>
        <v>98.474999999999994</v>
      </c>
      <c r="U6" s="11">
        <f t="shared" si="2"/>
        <v>98.11</v>
      </c>
      <c r="V6" s="11">
        <f t="shared" si="3"/>
        <v>95.724999999999994</v>
      </c>
      <c r="W6" s="11">
        <f t="shared" si="4"/>
        <v>93.22</v>
      </c>
      <c r="X6" s="11">
        <f t="shared" si="5"/>
        <v>91.72</v>
      </c>
      <c r="Y6" s="11">
        <f t="shared" si="6"/>
        <v>80.42</v>
      </c>
      <c r="Z6" s="11">
        <f t="shared" si="7"/>
        <v>67.42</v>
      </c>
      <c r="AA6" s="11">
        <f t="shared" si="8"/>
        <v>0.41500000000000625</v>
      </c>
      <c r="AB6" s="11">
        <f t="shared" si="9"/>
        <v>32.164999999999992</v>
      </c>
      <c r="AC6" s="11">
        <f t="shared" si="10"/>
        <v>67.42</v>
      </c>
    </row>
    <row r="7" spans="1:29" ht="30" customHeight="1" x14ac:dyDescent="0.25">
      <c r="A7" s="9">
        <v>3</v>
      </c>
      <c r="B7" s="58"/>
      <c r="C7" s="58"/>
      <c r="D7" s="59"/>
      <c r="E7" s="46" t="s">
        <v>22</v>
      </c>
      <c r="F7" s="56">
        <v>3.5</v>
      </c>
      <c r="G7" s="46" t="s">
        <v>52</v>
      </c>
      <c r="H7" s="55">
        <v>100</v>
      </c>
      <c r="I7" s="24">
        <f t="shared" si="11"/>
        <v>55.84</v>
      </c>
      <c r="J7" s="24">
        <v>0.32</v>
      </c>
      <c r="K7" s="24">
        <v>0.09</v>
      </c>
      <c r="L7" s="24">
        <v>0.09</v>
      </c>
      <c r="M7" s="24">
        <v>1.35</v>
      </c>
      <c r="N7" s="24">
        <v>1.53</v>
      </c>
      <c r="O7" s="24">
        <v>0.74</v>
      </c>
      <c r="P7" s="24">
        <v>19.07</v>
      </c>
      <c r="Q7" s="24">
        <v>20.97</v>
      </c>
      <c r="R7" s="10"/>
      <c r="S7" s="11">
        <f t="shared" si="0"/>
        <v>99.68</v>
      </c>
      <c r="T7" s="11">
        <f t="shared" si="1"/>
        <v>99.59</v>
      </c>
      <c r="U7" s="11">
        <f t="shared" si="2"/>
        <v>99.5</v>
      </c>
      <c r="V7" s="11">
        <f t="shared" si="3"/>
        <v>98.15</v>
      </c>
      <c r="W7" s="11">
        <f t="shared" si="4"/>
        <v>96.62</v>
      </c>
      <c r="X7" s="11">
        <f t="shared" si="5"/>
        <v>95.88</v>
      </c>
      <c r="Y7" s="11">
        <f t="shared" si="6"/>
        <v>76.81</v>
      </c>
      <c r="Z7" s="11">
        <f t="shared" si="7"/>
        <v>55.84</v>
      </c>
      <c r="AA7" s="11">
        <f t="shared" si="8"/>
        <v>0.31999999999999318</v>
      </c>
      <c r="AB7" s="11">
        <f t="shared" si="9"/>
        <v>43.84</v>
      </c>
      <c r="AC7" s="11">
        <f t="shared" si="10"/>
        <v>55.84</v>
      </c>
    </row>
    <row r="8" spans="1:29" ht="30" customHeight="1" x14ac:dyDescent="0.25">
      <c r="A8" s="9">
        <v>4</v>
      </c>
      <c r="B8" s="58"/>
      <c r="C8" s="58"/>
      <c r="D8" s="59"/>
      <c r="E8" s="46" t="s">
        <v>48</v>
      </c>
      <c r="F8" s="24">
        <v>4.5</v>
      </c>
      <c r="G8" s="46" t="s">
        <v>53</v>
      </c>
      <c r="H8" s="55">
        <v>200</v>
      </c>
      <c r="I8" s="24">
        <f t="shared" si="11"/>
        <v>102.29000000000002</v>
      </c>
      <c r="J8" s="24">
        <v>1.75</v>
      </c>
      <c r="K8" s="24">
        <v>5.1100000000000003</v>
      </c>
      <c r="L8" s="24">
        <v>3</v>
      </c>
      <c r="M8" s="24">
        <v>8.4</v>
      </c>
      <c r="N8" s="24">
        <v>12.9</v>
      </c>
      <c r="O8" s="24">
        <v>9.1199999999999992</v>
      </c>
      <c r="P8" s="24">
        <v>39.89</v>
      </c>
      <c r="Q8" s="24">
        <v>17.54</v>
      </c>
      <c r="R8" s="10"/>
      <c r="S8" s="11">
        <f t="shared" si="0"/>
        <v>99.125</v>
      </c>
      <c r="T8" s="11">
        <f t="shared" si="1"/>
        <v>96.57</v>
      </c>
      <c r="U8" s="11">
        <f t="shared" si="2"/>
        <v>95.07</v>
      </c>
      <c r="V8" s="11">
        <f t="shared" si="3"/>
        <v>90.87</v>
      </c>
      <c r="W8" s="11">
        <f t="shared" si="4"/>
        <v>84.42</v>
      </c>
      <c r="X8" s="11">
        <f t="shared" si="5"/>
        <v>79.86</v>
      </c>
      <c r="Y8" s="11">
        <f t="shared" si="6"/>
        <v>59.915000000000006</v>
      </c>
      <c r="Z8" s="11">
        <f t="shared" si="7"/>
        <v>51.14500000000001</v>
      </c>
      <c r="AA8" s="11">
        <f t="shared" si="8"/>
        <v>0.875</v>
      </c>
      <c r="AB8" s="11">
        <f t="shared" si="9"/>
        <v>47.97999999999999</v>
      </c>
      <c r="AC8" s="11">
        <f t="shared" si="10"/>
        <v>51.14500000000001</v>
      </c>
    </row>
    <row r="9" spans="1:29" ht="30" customHeight="1" x14ac:dyDescent="0.25">
      <c r="A9" s="9">
        <v>5</v>
      </c>
      <c r="B9" s="58"/>
      <c r="C9" s="58"/>
      <c r="D9" s="59"/>
      <c r="E9" s="46" t="s">
        <v>22</v>
      </c>
      <c r="F9" s="24">
        <v>6.5</v>
      </c>
      <c r="G9" s="46" t="s">
        <v>54</v>
      </c>
      <c r="H9" s="55">
        <v>100</v>
      </c>
      <c r="I9" s="24">
        <f t="shared" si="11"/>
        <v>55.370000000000005</v>
      </c>
      <c r="J9" s="24">
        <v>6.08</v>
      </c>
      <c r="K9" s="24">
        <v>0.7</v>
      </c>
      <c r="L9" s="24">
        <v>0.3</v>
      </c>
      <c r="M9" s="24">
        <v>1.43</v>
      </c>
      <c r="N9" s="24">
        <v>1.46</v>
      </c>
      <c r="O9" s="24">
        <v>0.84</v>
      </c>
      <c r="P9" s="24">
        <v>13.52</v>
      </c>
      <c r="Q9" s="24">
        <v>20.3</v>
      </c>
      <c r="R9" s="10"/>
      <c r="S9" s="11">
        <f t="shared" si="0"/>
        <v>93.92</v>
      </c>
      <c r="T9" s="11">
        <f t="shared" si="1"/>
        <v>93.22</v>
      </c>
      <c r="U9" s="11">
        <f t="shared" si="2"/>
        <v>92.92</v>
      </c>
      <c r="V9" s="11">
        <f t="shared" si="3"/>
        <v>91.49</v>
      </c>
      <c r="W9" s="11">
        <f t="shared" si="4"/>
        <v>90.03</v>
      </c>
      <c r="X9" s="11">
        <f>((H9-(SUM(J9:O9)))/H9)*100</f>
        <v>89.19</v>
      </c>
      <c r="Y9" s="11">
        <f t="shared" si="6"/>
        <v>75.67</v>
      </c>
      <c r="Z9" s="11">
        <f t="shared" si="7"/>
        <v>55.370000000000005</v>
      </c>
      <c r="AA9" s="11">
        <f t="shared" si="8"/>
        <v>6.0799999999999983</v>
      </c>
      <c r="AB9" s="11">
        <f t="shared" si="9"/>
        <v>38.549999999999997</v>
      </c>
      <c r="AC9" s="11">
        <f t="shared" si="10"/>
        <v>55.370000000000005</v>
      </c>
    </row>
    <row r="10" spans="1:29" s="34" customFormat="1" ht="30" customHeight="1" x14ac:dyDescent="0.25">
      <c r="A10" s="42"/>
      <c r="B10" s="58"/>
      <c r="C10" s="58"/>
      <c r="D10" s="59"/>
      <c r="E10" s="46" t="s">
        <v>22</v>
      </c>
      <c r="F10" s="43">
        <v>7.5</v>
      </c>
      <c r="G10" s="47" t="s">
        <v>55</v>
      </c>
      <c r="H10" s="55">
        <v>100</v>
      </c>
      <c r="I10" s="24">
        <f t="shared" si="11"/>
        <v>59.790000000000006</v>
      </c>
      <c r="J10" s="43">
        <v>0</v>
      </c>
      <c r="K10" s="43">
        <v>0.4</v>
      </c>
      <c r="L10" s="43">
        <v>0.23</v>
      </c>
      <c r="M10" s="43">
        <v>1.42</v>
      </c>
      <c r="N10" s="43">
        <v>1.47</v>
      </c>
      <c r="O10" s="43">
        <v>0.9</v>
      </c>
      <c r="P10" s="43">
        <v>17.41</v>
      </c>
      <c r="Q10" s="43">
        <v>18.38</v>
      </c>
      <c r="R10" s="44"/>
      <c r="S10" s="45">
        <f t="shared" si="0"/>
        <v>100</v>
      </c>
      <c r="T10" s="45">
        <f t="shared" si="1"/>
        <v>99.6</v>
      </c>
      <c r="U10" s="45">
        <f t="shared" si="2"/>
        <v>99.37</v>
      </c>
      <c r="V10" s="45">
        <f t="shared" si="3"/>
        <v>97.95</v>
      </c>
      <c r="W10" s="45">
        <f t="shared" si="4"/>
        <v>96.48</v>
      </c>
      <c r="X10" s="45">
        <f t="shared" si="5"/>
        <v>95.58</v>
      </c>
      <c r="Y10" s="45">
        <f t="shared" si="6"/>
        <v>78.17</v>
      </c>
      <c r="Z10" s="45">
        <f t="shared" si="7"/>
        <v>59.790000000000006</v>
      </c>
      <c r="AA10" s="45">
        <f t="shared" si="8"/>
        <v>0</v>
      </c>
      <c r="AB10" s="45">
        <f t="shared" si="9"/>
        <v>40.209999999999994</v>
      </c>
      <c r="AC10" s="45">
        <f t="shared" si="10"/>
        <v>59.790000000000006</v>
      </c>
    </row>
    <row r="11" spans="1:29" ht="30" customHeight="1" x14ac:dyDescent="0.25">
      <c r="A11" s="9">
        <v>7</v>
      </c>
      <c r="B11" s="58"/>
      <c r="C11" s="58"/>
      <c r="D11" s="59"/>
      <c r="E11" s="46" t="s">
        <v>22</v>
      </c>
      <c r="F11" s="24">
        <v>10</v>
      </c>
      <c r="G11" s="46" t="s">
        <v>56</v>
      </c>
      <c r="H11" s="55">
        <v>100</v>
      </c>
      <c r="I11" s="24">
        <f t="shared" si="11"/>
        <v>56.98</v>
      </c>
      <c r="J11" s="24">
        <v>0</v>
      </c>
      <c r="K11" s="24">
        <v>0.27</v>
      </c>
      <c r="L11" s="24">
        <v>0.12</v>
      </c>
      <c r="M11" s="24">
        <v>1.61</v>
      </c>
      <c r="N11" s="24">
        <v>1.73</v>
      </c>
      <c r="O11" s="24">
        <v>0.85</v>
      </c>
      <c r="P11" s="24">
        <v>15.27</v>
      </c>
      <c r="Q11" s="24">
        <v>23.17</v>
      </c>
      <c r="R11" s="10"/>
      <c r="S11" s="11">
        <f t="shared" si="0"/>
        <v>100</v>
      </c>
      <c r="T11" s="11">
        <f t="shared" si="1"/>
        <v>99.73</v>
      </c>
      <c r="U11" s="11">
        <f t="shared" si="2"/>
        <v>99.61</v>
      </c>
      <c r="V11" s="11">
        <f t="shared" si="3"/>
        <v>98</v>
      </c>
      <c r="W11" s="11">
        <f t="shared" si="4"/>
        <v>96.27</v>
      </c>
      <c r="X11" s="11">
        <f t="shared" si="5"/>
        <v>95.42</v>
      </c>
      <c r="Y11" s="11">
        <f t="shared" si="6"/>
        <v>80.150000000000006</v>
      </c>
      <c r="Z11" s="11">
        <f t="shared" si="7"/>
        <v>56.98</v>
      </c>
      <c r="AA11" s="11">
        <f t="shared" si="8"/>
        <v>0</v>
      </c>
      <c r="AB11" s="11">
        <f t="shared" si="9"/>
        <v>43.02</v>
      </c>
      <c r="AC11" s="11">
        <f t="shared" si="10"/>
        <v>56.98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1"/>
    <mergeCell ref="C5:C11"/>
    <mergeCell ref="D5:D11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1"/>
  <sheetViews>
    <sheetView zoomScale="145" zoomScaleNormal="145" zoomScaleSheetLayoutView="145" workbookViewId="0">
      <selection activeCell="A12" sqref="A12:XFD13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1" t="s">
        <v>4</v>
      </c>
      <c r="B1" s="84" t="s">
        <v>5</v>
      </c>
      <c r="C1" s="84" t="s">
        <v>9</v>
      </c>
      <c r="D1" s="81" t="s">
        <v>8</v>
      </c>
      <c r="E1" s="81" t="s">
        <v>23</v>
      </c>
      <c r="F1" s="81" t="s">
        <v>40</v>
      </c>
      <c r="G1" s="81" t="s">
        <v>24</v>
      </c>
      <c r="H1" s="81" t="s">
        <v>25</v>
      </c>
      <c r="I1" s="77" t="s">
        <v>34</v>
      </c>
      <c r="J1" s="81" t="s">
        <v>35</v>
      </c>
      <c r="K1" s="81" t="s">
        <v>26</v>
      </c>
      <c r="L1" s="81" t="s">
        <v>27</v>
      </c>
      <c r="M1" s="79" t="s">
        <v>28</v>
      </c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29</v>
      </c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 t="s">
        <v>30</v>
      </c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22"/>
      <c r="BA1" s="22"/>
    </row>
    <row r="2" spans="1:53" x14ac:dyDescent="0.25">
      <c r="A2" s="82"/>
      <c r="B2" s="85"/>
      <c r="C2" s="85"/>
      <c r="D2" s="82"/>
      <c r="E2" s="82"/>
      <c r="F2" s="82"/>
      <c r="G2" s="82"/>
      <c r="H2" s="82"/>
      <c r="I2" s="77"/>
      <c r="J2" s="82"/>
      <c r="K2" s="82"/>
      <c r="L2" s="82"/>
      <c r="M2" s="78">
        <v>0.5</v>
      </c>
      <c r="N2" s="73">
        <v>1</v>
      </c>
      <c r="O2" s="73">
        <v>2</v>
      </c>
      <c r="P2" s="73">
        <v>4</v>
      </c>
      <c r="Q2" s="73">
        <v>8</v>
      </c>
      <c r="R2" s="73">
        <v>15</v>
      </c>
      <c r="S2" s="73">
        <v>30</v>
      </c>
      <c r="T2" s="73">
        <v>60</v>
      </c>
      <c r="U2" s="73">
        <v>120</v>
      </c>
      <c r="V2" s="73">
        <v>240</v>
      </c>
      <c r="W2" s="73">
        <v>480</v>
      </c>
      <c r="X2" s="73">
        <v>960</v>
      </c>
      <c r="Y2" s="73">
        <v>1440</v>
      </c>
      <c r="Z2" s="78">
        <v>0.5</v>
      </c>
      <c r="AA2" s="73">
        <v>1</v>
      </c>
      <c r="AB2" s="73">
        <v>2</v>
      </c>
      <c r="AC2" s="73">
        <v>4</v>
      </c>
      <c r="AD2" s="73">
        <v>8</v>
      </c>
      <c r="AE2" s="73">
        <v>15</v>
      </c>
      <c r="AF2" s="73">
        <v>30</v>
      </c>
      <c r="AG2" s="73">
        <v>60</v>
      </c>
      <c r="AH2" s="73">
        <v>120</v>
      </c>
      <c r="AI2" s="73">
        <v>240</v>
      </c>
      <c r="AJ2" s="73">
        <v>480</v>
      </c>
      <c r="AK2" s="73">
        <v>960</v>
      </c>
      <c r="AL2" s="73">
        <v>1440</v>
      </c>
      <c r="AM2" s="78">
        <v>0.5</v>
      </c>
      <c r="AN2" s="73">
        <v>1</v>
      </c>
      <c r="AO2" s="73">
        <v>2</v>
      </c>
      <c r="AP2" s="73">
        <v>4</v>
      </c>
      <c r="AQ2" s="73">
        <v>8</v>
      </c>
      <c r="AR2" s="73">
        <v>15</v>
      </c>
      <c r="AS2" s="73">
        <v>30</v>
      </c>
      <c r="AT2" s="73">
        <v>60</v>
      </c>
      <c r="AU2" s="73">
        <v>120</v>
      </c>
      <c r="AV2" s="73">
        <v>240</v>
      </c>
      <c r="AW2" s="73">
        <v>480</v>
      </c>
      <c r="AX2" s="73">
        <v>960</v>
      </c>
      <c r="AY2" s="73">
        <v>1440</v>
      </c>
      <c r="AZ2" s="22"/>
      <c r="BA2" s="22"/>
    </row>
    <row r="3" spans="1:53" x14ac:dyDescent="0.25">
      <c r="A3" s="82"/>
      <c r="B3" s="85"/>
      <c r="C3" s="85"/>
      <c r="D3" s="83"/>
      <c r="E3" s="83"/>
      <c r="F3" s="83"/>
      <c r="G3" s="83"/>
      <c r="H3" s="83"/>
      <c r="I3" s="77"/>
      <c r="J3" s="83"/>
      <c r="K3" s="83"/>
      <c r="L3" s="83"/>
      <c r="M3" s="78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8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8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2"/>
      <c r="BA3" s="22"/>
    </row>
    <row r="4" spans="1:53" x14ac:dyDescent="0.25">
      <c r="A4" s="83"/>
      <c r="B4" s="86"/>
      <c r="C4" s="86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4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6"/>
      <c r="Z4" s="74" t="s">
        <v>32</v>
      </c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6"/>
      <c r="AM4" s="77" t="s">
        <v>33</v>
      </c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20"/>
      <c r="BA4" s="20"/>
    </row>
    <row r="5" spans="1:53" x14ac:dyDescent="0.25">
      <c r="A5" s="27">
        <v>1</v>
      </c>
      <c r="B5" s="27" t="str">
        <f>GSD!B5</f>
        <v>SHBH-09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SHBH-09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SHBH-09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SHBH-09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SHBH-09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SHBH-09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SHBH-09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K15" sqref="K15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SHBH-09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99.48</v>
      </c>
      <c r="Z3" s="52">
        <f>GSD!T5</f>
        <v>96.56</v>
      </c>
      <c r="AA3" s="52">
        <f>GSD!U5</f>
        <v>95.92</v>
      </c>
      <c r="AB3" s="52">
        <f>GSD!V5</f>
        <v>94.24</v>
      </c>
      <c r="AC3" s="52">
        <f>GSD!W5</f>
        <v>92.74</v>
      </c>
      <c r="AD3" s="52">
        <f>GSD!X5</f>
        <v>92.01</v>
      </c>
      <c r="AE3" s="52">
        <f>GSD!Y5</f>
        <v>81.650000000000006</v>
      </c>
      <c r="AF3" s="52">
        <f>GSD!Z5</f>
        <v>54.87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SHBH-09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99.584999999999994</v>
      </c>
      <c r="Z4" s="52">
        <f>GSD!T6</f>
        <v>98.474999999999994</v>
      </c>
      <c r="AA4" s="52">
        <f>GSD!U6</f>
        <v>98.11</v>
      </c>
      <c r="AB4" s="52">
        <f>GSD!V6</f>
        <v>95.724999999999994</v>
      </c>
      <c r="AC4" s="52">
        <f>GSD!W6</f>
        <v>93.22</v>
      </c>
      <c r="AD4" s="52">
        <f>GSD!X6</f>
        <v>91.72</v>
      </c>
      <c r="AE4" s="52">
        <f>GSD!Y6</f>
        <v>80.42</v>
      </c>
      <c r="AF4" s="52">
        <f>GSD!Z6</f>
        <v>67.42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9" si="0">B4</f>
        <v>SHBH-09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99.68</v>
      </c>
      <c r="Z5" s="52">
        <f>GSD!T7</f>
        <v>99.59</v>
      </c>
      <c r="AA5" s="52">
        <f>GSD!U7</f>
        <v>99.5</v>
      </c>
      <c r="AB5" s="52">
        <f>GSD!V7</f>
        <v>98.15</v>
      </c>
      <c r="AC5" s="52">
        <f>GSD!W7</f>
        <v>96.62</v>
      </c>
      <c r="AD5" s="52">
        <f>GSD!X7</f>
        <v>95.88</v>
      </c>
      <c r="AE5" s="52">
        <f>GSD!Y7</f>
        <v>76.81</v>
      </c>
      <c r="AF5" s="52">
        <f>GSD!Z7</f>
        <v>55.84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SHBH-09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99.125</v>
      </c>
      <c r="Z6" s="52">
        <f>GSD!T8</f>
        <v>96.57</v>
      </c>
      <c r="AA6" s="52">
        <f>GSD!U8</f>
        <v>95.07</v>
      </c>
      <c r="AB6" s="52">
        <f>GSD!V8</f>
        <v>90.87</v>
      </c>
      <c r="AC6" s="52">
        <f>GSD!W8</f>
        <v>84.42</v>
      </c>
      <c r="AD6" s="52">
        <f>GSD!X8</f>
        <v>79.86</v>
      </c>
      <c r="AE6" s="52">
        <f>GSD!Y8</f>
        <v>59.915000000000006</v>
      </c>
      <c r="AF6" s="52">
        <f>GSD!Z8</f>
        <v>51.14500000000001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SHBH-09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93.92</v>
      </c>
      <c r="Z7" s="52">
        <f>GSD!T9</f>
        <v>93.22</v>
      </c>
      <c r="AA7" s="52">
        <f>GSD!U9</f>
        <v>92.92</v>
      </c>
      <c r="AB7" s="52">
        <f>GSD!V9</f>
        <v>91.49</v>
      </c>
      <c r="AC7" s="52">
        <f>GSD!W9</f>
        <v>90.03</v>
      </c>
      <c r="AD7" s="52">
        <f>GSD!X9</f>
        <v>89.19</v>
      </c>
      <c r="AE7" s="52">
        <f>GSD!Y9</f>
        <v>75.67</v>
      </c>
      <c r="AF7" s="52">
        <f>GSD!Z9</f>
        <v>55.370000000000005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SHBH-09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100</v>
      </c>
      <c r="Z8" s="52">
        <f>GSD!T10</f>
        <v>99.6</v>
      </c>
      <c r="AA8" s="52">
        <f>GSD!U10</f>
        <v>99.37</v>
      </c>
      <c r="AB8" s="52">
        <f>GSD!V10</f>
        <v>97.95</v>
      </c>
      <c r="AC8" s="52">
        <f>GSD!W10</f>
        <v>96.48</v>
      </c>
      <c r="AD8" s="52">
        <f>GSD!X10</f>
        <v>95.58</v>
      </c>
      <c r="AE8" s="52">
        <f>GSD!Y10</f>
        <v>78.17</v>
      </c>
      <c r="AF8" s="52">
        <f>GSD!Z10</f>
        <v>59.790000000000006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SHBH-09</v>
      </c>
      <c r="C9" s="49">
        <f>GSD!F11</f>
        <v>10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100</v>
      </c>
      <c r="Z9" s="52">
        <f>GSD!T11</f>
        <v>99.73</v>
      </c>
      <c r="AA9" s="52">
        <f>GSD!U11</f>
        <v>99.61</v>
      </c>
      <c r="AB9" s="52">
        <f>GSD!V11</f>
        <v>98</v>
      </c>
      <c r="AC9" s="52">
        <f>GSD!W11</f>
        <v>96.27</v>
      </c>
      <c r="AD9" s="52">
        <f>GSD!X11</f>
        <v>95.42</v>
      </c>
      <c r="AE9" s="52">
        <f>GSD!Y11</f>
        <v>80.150000000000006</v>
      </c>
      <c r="AF9" s="52">
        <f>GSD!Z11</f>
        <v>56.98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/>
      <c r="B10" s="48"/>
      <c r="C10" s="49"/>
      <c r="D10" s="50"/>
      <c r="E10" s="50"/>
      <c r="F10" s="50"/>
      <c r="G10" s="50"/>
      <c r="H10" s="50"/>
      <c r="I10" s="50"/>
      <c r="J10" s="50"/>
      <c r="K10" s="50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4"/>
      <c r="AU10" s="54"/>
      <c r="AV10" s="54"/>
      <c r="AW10" s="54"/>
    </row>
    <row r="11" spans="1:49" s="41" customFormat="1" x14ac:dyDescent="0.25">
      <c r="A11" s="48"/>
      <c r="B11" s="48"/>
      <c r="C11" s="49"/>
      <c r="D11" s="50"/>
      <c r="E11" s="50"/>
      <c r="F11" s="50"/>
      <c r="G11" s="50"/>
      <c r="H11" s="50"/>
      <c r="I11" s="50"/>
      <c r="J11" s="50"/>
      <c r="K11" s="50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2026-09-18T09:46:39Z</dcterms:modified>
</cp:coreProperties>
</file>