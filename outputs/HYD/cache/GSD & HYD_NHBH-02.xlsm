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002_WORKING DOCUMENTS\GUJARAT SECTION\02_TEST RESULTS\LOT-02\8. NH-27_48.15km (NHBH-01 &amp; NHBH-02)\GSD &amp; HYD_TEST\NHBH-02\"/>
    </mc:Choice>
  </mc:AlternateContent>
  <xr:revisionPtr revIDLastSave="0" documentId="13_ncr:1_{CB0FA281-99C5-4498-97CE-906859FC7A50}" xr6:coauthVersionLast="47" xr6:coauthVersionMax="47" xr10:uidLastSave="{00000000-0000-0000-0000-000000000000}"/>
  <bookViews>
    <workbookView xWindow="-28920" yWindow="630" windowWidth="29040" windowHeight="15720" xr2:uid="{B16E64A8-CC9D-4A8A-9F41-7FD552CE8813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GSD!$A$1:$Y$12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7" l="1"/>
  <c r="Q6" i="7"/>
  <c r="R6" i="7"/>
  <c r="S6" i="7"/>
  <c r="T6" i="7"/>
  <c r="U6" i="7"/>
  <c r="V6" i="7"/>
  <c r="W6" i="7"/>
  <c r="X6" i="7"/>
  <c r="Y6" i="7"/>
  <c r="C6" i="8"/>
  <c r="D6" i="8"/>
  <c r="F6" i="8"/>
  <c r="K6" i="8"/>
  <c r="C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C7" i="6"/>
  <c r="J7" i="6"/>
  <c r="K7" i="6"/>
  <c r="L7" i="6"/>
  <c r="M7" i="6"/>
  <c r="N7" i="6"/>
  <c r="O7" i="6"/>
  <c r="P7" i="6"/>
  <c r="Q7" i="6"/>
  <c r="R7" i="6"/>
  <c r="S7" i="6"/>
  <c r="T7" i="6"/>
  <c r="U7" i="6"/>
  <c r="V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C8" i="6"/>
  <c r="J8" i="6"/>
  <c r="K8" i="6"/>
  <c r="L8" i="6"/>
  <c r="M8" i="6"/>
  <c r="N8" i="6"/>
  <c r="O8" i="6"/>
  <c r="P8" i="6"/>
  <c r="Q8" i="6"/>
  <c r="R8" i="6"/>
  <c r="S8" i="6"/>
  <c r="T8" i="6"/>
  <c r="U8" i="6"/>
  <c r="V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C9" i="6"/>
  <c r="J9" i="6"/>
  <c r="K9" i="6"/>
  <c r="L9" i="6"/>
  <c r="M9" i="6"/>
  <c r="N9" i="6"/>
  <c r="O9" i="6"/>
  <c r="P9" i="6"/>
  <c r="Q9" i="6"/>
  <c r="R9" i="6"/>
  <c r="S9" i="6"/>
  <c r="T9" i="6"/>
  <c r="U9" i="6"/>
  <c r="V9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C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AA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C12" i="8"/>
  <c r="D12" i="8"/>
  <c r="F12" i="8"/>
  <c r="K12" i="8"/>
  <c r="C11" i="8"/>
  <c r="D11" i="8"/>
  <c r="F11" i="8"/>
  <c r="K11" i="8"/>
  <c r="C9" i="8"/>
  <c r="D9" i="8"/>
  <c r="F9" i="8"/>
  <c r="K9" i="8"/>
  <c r="C10" i="8"/>
  <c r="D10" i="8"/>
  <c r="F10" i="8"/>
  <c r="K10" i="8"/>
  <c r="C8" i="8"/>
  <c r="D8" i="8"/>
  <c r="V12" i="7"/>
  <c r="Y12" i="7" s="1"/>
  <c r="U12" i="7"/>
  <c r="T12" i="7"/>
  <c r="Z10" i="6" s="1"/>
  <c r="S12" i="7"/>
  <c r="Y10" i="6" s="1"/>
  <c r="R12" i="7"/>
  <c r="X10" i="6" s="1"/>
  <c r="Q12" i="7"/>
  <c r="W10" i="6" s="1"/>
  <c r="I12" i="7"/>
  <c r="V11" i="7"/>
  <c r="AB9" i="6" s="1"/>
  <c r="U11" i="7"/>
  <c r="AA9" i="6" s="1"/>
  <c r="T11" i="7"/>
  <c r="Z9" i="6" s="1"/>
  <c r="S11" i="7"/>
  <c r="Y9" i="6" s="1"/>
  <c r="R11" i="7"/>
  <c r="X9" i="6" s="1"/>
  <c r="Q11" i="7"/>
  <c r="W11" i="7" s="1"/>
  <c r="I11" i="7"/>
  <c r="V10" i="7"/>
  <c r="Y10" i="7" s="1"/>
  <c r="U10" i="7"/>
  <c r="AA8" i="6" s="1"/>
  <c r="T10" i="7"/>
  <c r="Z8" i="6" s="1"/>
  <c r="S10" i="7"/>
  <c r="Y8" i="6" s="1"/>
  <c r="R10" i="7"/>
  <c r="X8" i="6" s="1"/>
  <c r="Q10" i="7"/>
  <c r="W8" i="6" s="1"/>
  <c r="I10" i="7"/>
  <c r="V9" i="7"/>
  <c r="Y9" i="7" s="1"/>
  <c r="U9" i="7"/>
  <c r="AA7" i="6" s="1"/>
  <c r="T9" i="7"/>
  <c r="Z7" i="6" s="1"/>
  <c r="S9" i="7"/>
  <c r="Y7" i="6" s="1"/>
  <c r="R9" i="7"/>
  <c r="X7" i="6" s="1"/>
  <c r="Q9" i="7"/>
  <c r="W9" i="7" s="1"/>
  <c r="I9" i="7"/>
  <c r="I8" i="7"/>
  <c r="I7" i="7"/>
  <c r="I5" i="7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D3" i="6"/>
  <c r="AE3" i="6"/>
  <c r="AF3" i="6"/>
  <c r="AG3" i="6"/>
  <c r="AH3" i="6"/>
  <c r="AI3" i="6"/>
  <c r="AJ3" i="6"/>
  <c r="AK3" i="6"/>
  <c r="AL3" i="6"/>
  <c r="AM3" i="6"/>
  <c r="AN3" i="6"/>
  <c r="AO3" i="6"/>
  <c r="AC3" i="6"/>
  <c r="J5" i="6"/>
  <c r="K5" i="6"/>
  <c r="L5" i="6"/>
  <c r="M5" i="6"/>
  <c r="N5" i="6"/>
  <c r="O5" i="6"/>
  <c r="P5" i="6"/>
  <c r="Q5" i="6"/>
  <c r="R5" i="6"/>
  <c r="S5" i="6"/>
  <c r="T5" i="6"/>
  <c r="U5" i="6"/>
  <c r="V5" i="6"/>
  <c r="J6" i="6"/>
  <c r="K6" i="6"/>
  <c r="L6" i="6"/>
  <c r="M6" i="6"/>
  <c r="N6" i="6"/>
  <c r="O6" i="6"/>
  <c r="P6" i="6"/>
  <c r="Q6" i="6"/>
  <c r="R6" i="6"/>
  <c r="S6" i="6"/>
  <c r="T6" i="6"/>
  <c r="U6" i="6"/>
  <c r="V6" i="6"/>
  <c r="K3" i="6"/>
  <c r="L3" i="6"/>
  <c r="M3" i="6"/>
  <c r="N3" i="6"/>
  <c r="O3" i="6"/>
  <c r="P3" i="6"/>
  <c r="Q3" i="6"/>
  <c r="R3" i="6"/>
  <c r="S3" i="6"/>
  <c r="T3" i="6"/>
  <c r="U3" i="6"/>
  <c r="V3" i="6"/>
  <c r="J3" i="6"/>
  <c r="V5" i="7"/>
  <c r="AB3" i="6" s="1"/>
  <c r="U5" i="7"/>
  <c r="AA3" i="6" s="1"/>
  <c r="T5" i="7"/>
  <c r="Z3" i="6" s="1"/>
  <c r="S5" i="7"/>
  <c r="Y3" i="6" s="1"/>
  <c r="R5" i="7"/>
  <c r="X3" i="6" s="1"/>
  <c r="Q5" i="7"/>
  <c r="C5" i="6"/>
  <c r="C6" i="6"/>
  <c r="C3" i="6"/>
  <c r="B3" i="6"/>
  <c r="B4" i="6" s="1"/>
  <c r="B5" i="6" s="1"/>
  <c r="B6" i="6" s="1"/>
  <c r="B7" i="6" s="1"/>
  <c r="B8" i="6" s="1"/>
  <c r="B9" i="6" s="1"/>
  <c r="B10" i="6" s="1"/>
  <c r="D7" i="8"/>
  <c r="D5" i="8"/>
  <c r="C7" i="8"/>
  <c r="C5" i="8"/>
  <c r="B5" i="8"/>
  <c r="B6" i="8" s="1"/>
  <c r="B7" i="8" s="1"/>
  <c r="B8" i="8" s="1"/>
  <c r="B9" i="8" s="1"/>
  <c r="B10" i="8" s="1"/>
  <c r="B11" i="8" s="1"/>
  <c r="B12" i="8" s="1"/>
  <c r="W9" i="6" l="1"/>
  <c r="AB7" i="6"/>
  <c r="AB10" i="6"/>
  <c r="AB8" i="6"/>
  <c r="W7" i="6"/>
  <c r="X11" i="7"/>
  <c r="X12" i="7"/>
  <c r="Y11" i="7"/>
  <c r="W12" i="7"/>
  <c r="X10" i="7"/>
  <c r="W10" i="7"/>
  <c r="X9" i="7"/>
  <c r="X5" i="7"/>
  <c r="W5" i="7"/>
  <c r="Y5" i="7"/>
  <c r="W3" i="6"/>
  <c r="K8" i="8"/>
  <c r="F8" i="8"/>
  <c r="K7" i="8"/>
  <c r="F7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8" i="7" l="1"/>
  <c r="U8" i="7"/>
  <c r="AA6" i="6" s="1"/>
  <c r="T8" i="7"/>
  <c r="Z6" i="6" s="1"/>
  <c r="S8" i="7"/>
  <c r="Y6" i="6" s="1"/>
  <c r="R8" i="7"/>
  <c r="X6" i="6" s="1"/>
  <c r="Q8" i="7"/>
  <c r="V7" i="7"/>
  <c r="U7" i="7"/>
  <c r="AA5" i="6" s="1"/>
  <c r="T7" i="7"/>
  <c r="Z5" i="6" s="1"/>
  <c r="S7" i="7"/>
  <c r="Y5" i="6" s="1"/>
  <c r="R7" i="7"/>
  <c r="X5" i="6" s="1"/>
  <c r="Q7" i="7"/>
  <c r="W6" i="6" l="1"/>
  <c r="W8" i="7"/>
  <c r="X8" i="7"/>
  <c r="W5" i="6"/>
  <c r="X7" i="7"/>
  <c r="W7" i="7"/>
  <c r="AB5" i="6"/>
  <c r="Y7" i="7"/>
  <c r="Y8" i="7"/>
  <c r="AB6" i="6"/>
</calcChain>
</file>

<file path=xl/sharedStrings.xml><?xml version="1.0" encoding="utf-8"?>
<sst xmlns="http://schemas.openxmlformats.org/spreadsheetml/2006/main" count="72" uniqueCount="50">
  <si>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</si>
  <si>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</si>
  <si>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</si>
  <si>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</si>
  <si>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</si>
  <si>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</si>
  <si>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</si>
  <si>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</si>
  <si>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</si>
  <si>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</si>
  <si>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</si>
  <si>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</si>
  <si>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</si>
  <si>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</si>
  <si>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</si>
  <si>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</si>
  <si>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</si>
  <si>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</si>
  <si>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</si>
  <si>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</si>
  <si>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</si>
  <si>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</si>
  <si>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</si>
  <si>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</si>
  <si>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</si>
  <si>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</si>
  <si>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</si>
  <si>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</si>
  <si>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</si>
  <si>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</si>
  <si>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</si>
  <si>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</si>
  <si>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</si>
  <si>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</si>
  <si>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</si>
  <si>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</si>
  <si>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</si>
  <si>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</si>
  <si>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</si>
  <si>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</si>
  <si>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</si>
  <si>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</si>
  <si>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</si>
  <si>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</si>
  <si>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</si>
  <si>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</si>
  <si>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</si>
  <si>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SPT</t>
  </si>
  <si>
    <t>NHBH-02</t>
  </si>
  <si>
    <t>UDS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</si>
</sst>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73">
    <xf numFmtId="0" fontId="0" fillId="0" borderId="0" xfId="0"/>
    <xf numFmtId="2" fontId="0" fillId="0" borderId="0" xfId="0" applyNumberFormat="1" applyAlignment="1">
      <alignment horizontal="center" vertical="center"/>
    </xf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Alignment="1">
      <alignment horizontal="center" vertical="center"/>
    </xf>
    <xf numFmtId="1" fontId="7" fillId="0" borderId="0" xfId="0" applyNumberFormat="1" applyFont="1" applyAlignment="1">
      <alignment vertical="center" wrapText="1"/>
    </xf>
    <xf numFmtId="165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0" borderId="1" xfId="0" applyNumberFormat="1" applyFont="1" applyBorder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GSD!$Q$5:$V$5</c:f>
              <c:numCache>
                <c:formatCode>0.00</c:formatCode>
                <c:ptCount val="6"/>
                <c:pt idx="0">
                  <c:v>66.680000000000007</c:v>
                </c:pt>
                <c:pt idx="1">
                  <c:v>46.51</c:v>
                </c:pt>
                <c:pt idx="2">
                  <c:v>26.979999999999986</c:v>
                </c:pt>
                <c:pt idx="3">
                  <c:v>23.489999999999995</c:v>
                </c:pt>
                <c:pt idx="4">
                  <c:v>22.959999999999994</c:v>
                </c:pt>
                <c:pt idx="5">
                  <c:v>20.47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GSD!$Q$6:$V$6</c:f>
              <c:numCache>
                <c:formatCode>0.00</c:formatCode>
                <c:ptCount val="6"/>
                <c:pt idx="0">
                  <c:v>87.664999999999992</c:v>
                </c:pt>
                <c:pt idx="1">
                  <c:v>78.974999999999994</c:v>
                </c:pt>
                <c:pt idx="2">
                  <c:v>73.125</c:v>
                </c:pt>
                <c:pt idx="3">
                  <c:v>71.069999999999993</c:v>
                </c:pt>
                <c:pt idx="4">
                  <c:v>70.7</c:v>
                </c:pt>
                <c:pt idx="5">
                  <c:v>69.715000000000003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GSD!$Q$7:$V$7</c:f>
              <c:numCache>
                <c:formatCode>0.00</c:formatCode>
                <c:ptCount val="6"/>
                <c:pt idx="0">
                  <c:v>60.77</c:v>
                </c:pt>
                <c:pt idx="1">
                  <c:v>48.940000000000005</c:v>
                </c:pt>
                <c:pt idx="2">
                  <c:v>40.520000000000003</c:v>
                </c:pt>
                <c:pt idx="3">
                  <c:v>35.56</c:v>
                </c:pt>
                <c:pt idx="4">
                  <c:v>34.909999999999997</c:v>
                </c:pt>
                <c:pt idx="5">
                  <c:v>32.06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5.00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GSD!$Q$8:$V$8</c:f>
              <c:numCache>
                <c:formatCode>0.00</c:formatCode>
                <c:ptCount val="6"/>
                <c:pt idx="0">
                  <c:v>88.58</c:v>
                </c:pt>
                <c:pt idx="1">
                  <c:v>70.17</c:v>
                </c:pt>
                <c:pt idx="2">
                  <c:v>36.64</c:v>
                </c:pt>
                <c:pt idx="3">
                  <c:v>20.75</c:v>
                </c:pt>
                <c:pt idx="4">
                  <c:v>19.290000000000006</c:v>
                </c:pt>
                <c:pt idx="5">
                  <c:v>16.88000000000001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GSD!$Q$9:$V$9</c:f>
              <c:numCache>
                <c:formatCode>0.00</c:formatCode>
                <c:ptCount val="6"/>
                <c:pt idx="0">
                  <c:v>63.89</c:v>
                </c:pt>
                <c:pt idx="1">
                  <c:v>54.86</c:v>
                </c:pt>
                <c:pt idx="2">
                  <c:v>45.61</c:v>
                </c:pt>
                <c:pt idx="3">
                  <c:v>38.15</c:v>
                </c:pt>
                <c:pt idx="4">
                  <c:v>36.6</c:v>
                </c:pt>
                <c:pt idx="5">
                  <c:v>31.97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93-469B-BA30-94941CE98209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GSD!$Q$10:$V$10</c:f>
              <c:numCache>
                <c:formatCode>0.00</c:formatCode>
                <c:ptCount val="6"/>
                <c:pt idx="0">
                  <c:v>19.64</c:v>
                </c:pt>
                <c:pt idx="1">
                  <c:v>15.920000000000002</c:v>
                </c:pt>
                <c:pt idx="2">
                  <c:v>13.61</c:v>
                </c:pt>
                <c:pt idx="3">
                  <c:v>11.799999999999997</c:v>
                </c:pt>
                <c:pt idx="4">
                  <c:v>11.429999999999993</c:v>
                </c:pt>
                <c:pt idx="5">
                  <c:v>10.299999999999997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93-469B-BA30-94941CE98209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8.00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GSD!$Q$11:$V$11</c:f>
              <c:numCache>
                <c:formatCode>0.00</c:formatCode>
                <c:ptCount val="6"/>
                <c:pt idx="0">
                  <c:v>17.61</c:v>
                </c:pt>
                <c:pt idx="1">
                  <c:v>14.010000000000005</c:v>
                </c:pt>
                <c:pt idx="2">
                  <c:v>10.5</c:v>
                </c:pt>
                <c:pt idx="3">
                  <c:v>7.9599999999999937</c:v>
                </c:pt>
                <c:pt idx="4">
                  <c:v>7.5</c:v>
                </c:pt>
                <c:pt idx="5">
                  <c:v>6.1500000000000057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93-469B-BA30-94941CE98209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10.00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GSD!$Q$3:$V$3</c:f>
              <c:numCache>
                <c:formatCode>0.00</c:formatCode>
                <c:ptCount val="6"/>
                <c:pt idx="0" formatCode="General">
                  <c:v>4.75</c:v>
                </c:pt>
                <c:pt idx="1">
                  <c:v>2</c:v>
                </c:pt>
                <c:pt idx="2" formatCode="0.000">
                  <c:v>0.42499999999999999</c:v>
                </c:pt>
                <c:pt idx="3" formatCode="0.000">
                  <c:v>0.21199999999999999</c:v>
                </c:pt>
                <c:pt idx="4" formatCode="0.000">
                  <c:v>0.15</c:v>
                </c:pt>
                <c:pt idx="5" formatCode="0.000">
                  <c:v>7.4999999999999997E-2</c:v>
                </c:pt>
              </c:numCache>
            </c:numRef>
          </c:xVal>
          <c:yVal>
            <c:numRef>
              <c:f>GSD!$Q$12:$V$12</c:f>
              <c:numCache>
                <c:formatCode>0.00</c:formatCode>
                <c:ptCount val="6"/>
                <c:pt idx="0">
                  <c:v>15.989999999999997</c:v>
                </c:pt>
                <c:pt idx="1">
                  <c:v>15.170000000000003</c:v>
                </c:pt>
                <c:pt idx="2">
                  <c:v>13.36</c:v>
                </c:pt>
                <c:pt idx="3">
                  <c:v>10.620000000000005</c:v>
                </c:pt>
                <c:pt idx="4">
                  <c:v>10.150000000000006</c:v>
                </c:pt>
                <c:pt idx="5">
                  <c:v>8.8800000000000097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793-469B-BA30-94941CE98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6.850340692525396E-2"/>
          <c:h val="0.553199548925309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8054208108062361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PLOT!$D$3:$I$3</c:f>
              <c:numCache>
                <c:formatCode>0.000</c:formatCode>
                <c:ptCount val="6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</c:numCache>
            </c:numRef>
          </c:xVal>
          <c:yVal>
            <c:numRef>
              <c:f>PLOT!$W$3:$AB$3</c:f>
              <c:numCache>
                <c:formatCode>0.00</c:formatCode>
                <c:ptCount val="6"/>
                <c:pt idx="0">
                  <c:v>66.680000000000007</c:v>
                </c:pt>
                <c:pt idx="1">
                  <c:v>46.51</c:v>
                </c:pt>
                <c:pt idx="2">
                  <c:v>26.979999999999986</c:v>
                </c:pt>
                <c:pt idx="3">
                  <c:v>23.489999999999995</c:v>
                </c:pt>
                <c:pt idx="4">
                  <c:v>22.959999999999994</c:v>
                </c:pt>
                <c:pt idx="5">
                  <c:v>20.47</c:v>
                </c:pt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PLOT!$D$4:$V$4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</c:numRef>
          </c:xVal>
          <c:yVal>
            <c:numRef>
              <c:f>PLOT!$W$4:$AO$4</c:f>
              <c:numCache>
                <c:formatCode>0.00</c:formatCode>
                <c:ptCount val="19"/>
                <c:pt idx="0">
                  <c:v>87.664999999999992</c:v>
                </c:pt>
                <c:pt idx="1">
                  <c:v>78.974999999999994</c:v>
                </c:pt>
                <c:pt idx="2">
                  <c:v>73.125</c:v>
                </c:pt>
                <c:pt idx="3">
                  <c:v>71.069999999999993</c:v>
                </c:pt>
                <c:pt idx="4">
                  <c:v>70.7</c:v>
                </c:pt>
                <c:pt idx="5">
                  <c:v>69.715000000000003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PLOT!$D$5:$V$5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PLOT!$W$5:$AO$5</c:f>
              <c:numCache>
                <c:formatCode>0.00</c:formatCode>
                <c:ptCount val="19"/>
                <c:pt idx="0">
                  <c:v>60.77</c:v>
                </c:pt>
                <c:pt idx="1">
                  <c:v>48.940000000000005</c:v>
                </c:pt>
                <c:pt idx="2">
                  <c:v>40.520000000000003</c:v>
                </c:pt>
                <c:pt idx="3">
                  <c:v>35.56</c:v>
                </c:pt>
                <c:pt idx="4">
                  <c:v>34.909999999999997</c:v>
                </c:pt>
                <c:pt idx="5">
                  <c:v>32.06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5.00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PLOT!$D$6:$V$6</c:f>
              <c:numCache>
                <c:formatCode>0.000</c:formatCode>
                <c:ptCount val="19"/>
                <c:pt idx="0">
                  <c:v>4.75</c:v>
                </c:pt>
                <c:pt idx="1">
                  <c:v>2</c:v>
                </c:pt>
                <c:pt idx="2">
                  <c:v>0.42499999999999999</c:v>
                </c:pt>
                <c:pt idx="3">
                  <c:v>0.21199999999999999</c:v>
                </c:pt>
                <c:pt idx="4">
                  <c:v>0.15</c:v>
                </c:pt>
                <c:pt idx="5">
                  <c:v>7.4999999999999997E-2</c:v>
                </c:pt>
                <c:pt idx="6" formatCode="0.00000">
                  <c:v>0</c:v>
                </c:pt>
                <c:pt idx="7" formatCode="0.00000">
                  <c:v>0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PLOT!$W$6:$AO$6</c:f>
              <c:numCache>
                <c:formatCode>0.00</c:formatCode>
                <c:ptCount val="19"/>
                <c:pt idx="0">
                  <c:v>88.58</c:v>
                </c:pt>
                <c:pt idx="1">
                  <c:v>70.17</c:v>
                </c:pt>
                <c:pt idx="2">
                  <c:v>36.64</c:v>
                </c:pt>
                <c:pt idx="3">
                  <c:v>20.75</c:v>
                </c:pt>
                <c:pt idx="4">
                  <c:v>19.290000000000006</c:v>
                </c:pt>
                <c:pt idx="5">
                  <c:v>16.88000000000001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PLOT!#REF!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PLOT!#REF!</c:f>
              <c:extLst xmlns:c15="http://schemas.microsoft.com/office/drawing/2012/chart"/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PLOT!#REF!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PLOT!#REF!</c:f>
              <c:extLst xmlns:c15="http://schemas.microsoft.com/office/drawing/2012/chart"/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PLOT!#REF!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PLOT!#REF!</c:f>
              <c:extLst xmlns:c15="http://schemas.microsoft.com/office/drawing/2012/chart"/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PLOT!#REF!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PLOT!#REF!</c:f>
              <c:extLst xmlns:c15="http://schemas.microsoft.com/office/drawing/2012/chart"/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PLOT!#REF!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PLOT!#REF!</c:f>
              <c:extLst xmlns:c15="http://schemas.microsoft.com/office/drawing/2012/chart"/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PLOT!#REF!</c:f>
              <c:extLst xmlns:c15="http://schemas.microsoft.com/office/drawing/2012/chart"/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PLOT!#REF!</c:f>
              <c:extLst xmlns:c15="http://schemas.microsoft.com/office/drawing/2012/chart"/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PLOT!#REF!</c:f>
              <c:extLst xmlns:c15="http://schemas.microsoft.com/office/drawing/2012/chart"/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  <c:extLst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N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9.5954803381559331E-2"/>
          <c:y val="8.4785380409508448E-2"/>
          <c:w val="0.210562553251287"/>
          <c:h val="0.330979868629920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424253</xdr:colOff>
      <xdr:row>3</xdr:row>
      <xdr:rowOff>224960</xdr:rowOff>
    </xdr:from>
    <xdr:to>
      <xdr:col>40</xdr:col>
      <xdr:colOff>501540</xdr:colOff>
      <xdr:row>12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174253</xdr:colOff>
      <xdr:row>0</xdr:row>
      <xdr:rowOff>173129</xdr:rowOff>
    </xdr:from>
    <xdr:to>
      <xdr:col>56</xdr:col>
      <xdr:colOff>342900</xdr:colOff>
      <xdr:row>11</xdr:row>
      <xdr:rowOff>149087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Y12"/>
  <sheetViews>
    <sheetView tabSelected="1" workbookViewId="0">
      <selection activeCell="W17" sqref="W17"/>
    </sheetView>
  </sheetViews>
  <sheetFormatPr defaultColWidth="9" defaultRowHeight="14.4" x14ac:dyDescent="0.3"/>
  <cols>
    <col min="1" max="1" width="6.5546875" style="2" customWidth="1"/>
    <col min="2" max="2" width="4.88671875" style="2" customWidth="1"/>
    <col min="3" max="4" width="5.5546875" style="2" customWidth="1"/>
    <col min="5" max="5" width="7.6640625" style="2" customWidth="1"/>
    <col min="6" max="6" width="7.6640625" style="12" customWidth="1"/>
    <col min="7" max="7" width="9.6640625" style="2" customWidth="1"/>
    <col min="8" max="8" width="11.33203125" style="2" customWidth="1"/>
    <col min="9" max="9" width="13" style="2" customWidth="1"/>
    <col min="10" max="16" width="7.6640625" style="2" customWidth="1"/>
    <col min="17" max="22" width="9" style="2" customWidth="1"/>
    <col min="23" max="16384" width="9" style="2"/>
  </cols>
  <sheetData>
    <row r="1" spans="1:25" ht="25.2" customHeight="1" x14ac:dyDescent="0.3">
      <c r="A1" s="46" t="s">
        <v>3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</row>
    <row r="2" spans="1:25" ht="24.6" customHeight="1" x14ac:dyDescent="0.3">
      <c r="A2" s="47" t="s">
        <v>4</v>
      </c>
      <c r="B2" s="50" t="s">
        <v>5</v>
      </c>
      <c r="C2" s="50" t="s">
        <v>6</v>
      </c>
      <c r="D2" s="50" t="s">
        <v>7</v>
      </c>
      <c r="E2" s="53" t="s">
        <v>8</v>
      </c>
      <c r="F2" s="53" t="s">
        <v>9</v>
      </c>
      <c r="G2" s="53" t="s">
        <v>10</v>
      </c>
      <c r="H2" s="53" t="s">
        <v>11</v>
      </c>
      <c r="I2" s="54" t="s">
        <v>12</v>
      </c>
      <c r="J2" s="42" t="s">
        <v>13</v>
      </c>
      <c r="K2" s="42"/>
      <c r="L2" s="42"/>
      <c r="M2" s="42"/>
      <c r="N2" s="42"/>
      <c r="O2" s="42"/>
      <c r="P2" s="42"/>
      <c r="Q2" s="42" t="s">
        <v>0</v>
      </c>
      <c r="R2" s="42"/>
      <c r="S2" s="42"/>
      <c r="T2" s="42"/>
      <c r="U2" s="42"/>
      <c r="V2" s="42"/>
      <c r="W2" s="56" t="s">
        <v>14</v>
      </c>
      <c r="X2" s="56" t="s">
        <v>15</v>
      </c>
      <c r="Y2" s="56" t="s">
        <v>16</v>
      </c>
    </row>
    <row r="3" spans="1:25" ht="40.5" customHeight="1" x14ac:dyDescent="0.3">
      <c r="A3" s="48"/>
      <c r="B3" s="51"/>
      <c r="C3" s="51"/>
      <c r="D3" s="51"/>
      <c r="E3" s="53"/>
      <c r="F3" s="53"/>
      <c r="G3" s="53"/>
      <c r="H3" s="53"/>
      <c r="I3" s="55"/>
      <c r="J3" s="3">
        <v>4.75</v>
      </c>
      <c r="K3" s="4">
        <v>2</v>
      </c>
      <c r="L3" s="5">
        <v>0.42499999999999999</v>
      </c>
      <c r="M3" s="5">
        <v>0.21199999999999999</v>
      </c>
      <c r="N3" s="5">
        <v>0.15</v>
      </c>
      <c r="O3" s="5">
        <v>7.4999999999999997E-2</v>
      </c>
      <c r="P3" s="3" t="s">
        <v>17</v>
      </c>
      <c r="Q3" s="6">
        <v>4.75</v>
      </c>
      <c r="R3" s="7">
        <v>2</v>
      </c>
      <c r="S3" s="8">
        <v>0.42499999999999999</v>
      </c>
      <c r="T3" s="8">
        <v>0.21199999999999999</v>
      </c>
      <c r="U3" s="8">
        <v>0.15</v>
      </c>
      <c r="V3" s="8">
        <v>7.4999999999999997E-2</v>
      </c>
      <c r="W3" s="56"/>
      <c r="X3" s="56"/>
      <c r="Y3" s="56"/>
    </row>
    <row r="4" spans="1:25" ht="21.6" customHeight="1" x14ac:dyDescent="0.3">
      <c r="A4" s="49"/>
      <c r="B4" s="52"/>
      <c r="C4" s="52"/>
      <c r="D4" s="52"/>
      <c r="E4" s="3" t="s">
        <v>18</v>
      </c>
      <c r="F4" s="9" t="s">
        <v>19</v>
      </c>
      <c r="G4" s="9" t="s">
        <v>18</v>
      </c>
      <c r="H4" s="9" t="s">
        <v>20</v>
      </c>
      <c r="I4" s="9" t="s">
        <v>20</v>
      </c>
      <c r="J4" s="42" t="s">
        <v>20</v>
      </c>
      <c r="K4" s="42"/>
      <c r="L4" s="42"/>
      <c r="M4" s="42"/>
      <c r="N4" s="42"/>
      <c r="O4" s="42"/>
      <c r="P4" s="42"/>
      <c r="Q4" s="42" t="s">
        <v>20</v>
      </c>
      <c r="R4" s="42"/>
      <c r="S4" s="42"/>
      <c r="T4" s="42"/>
      <c r="U4" s="42"/>
      <c r="V4" s="42"/>
      <c r="W4" s="57" t="s">
        <v>21</v>
      </c>
      <c r="X4" s="58"/>
      <c r="Y4" s="58"/>
    </row>
    <row r="5" spans="1:25" ht="30" customHeight="1" x14ac:dyDescent="0.3">
      <c r="A5" s="10">
        <v>1</v>
      </c>
      <c r="B5" s="43" t="s">
        <v>48</v>
      </c>
      <c r="C5" s="44"/>
      <c r="D5" s="45"/>
      <c r="E5" s="39" t="s">
        <v>47</v>
      </c>
      <c r="F5" s="25">
        <v>0.5</v>
      </c>
      <c r="G5" s="39"/>
      <c r="H5" s="39">
        <v>100</v>
      </c>
      <c r="I5" s="25">
        <f>SUM(J5:O5)</f>
        <v>79.53</v>
      </c>
      <c r="J5" s="25">
        <v>33.32</v>
      </c>
      <c r="K5" s="25">
        <v>20.170000000000002</v>
      </c>
      <c r="L5" s="25">
        <v>19.53</v>
      </c>
      <c r="M5" s="25">
        <v>3.49</v>
      </c>
      <c r="N5" s="25">
        <v>0.53</v>
      </c>
      <c r="O5" s="25">
        <v>2.4900000000000002</v>
      </c>
      <c r="P5" s="25"/>
      <c r="Q5" s="11">
        <f t="shared" ref="Q5:Q12" si="0">((H5-(SUM(J5)))/H5)*100</f>
        <v>66.680000000000007</v>
      </c>
      <c r="R5" s="11">
        <f t="shared" ref="R5:R12" si="1">((H5-(SUM(J5:K5)))/H5)*100</f>
        <v>46.51</v>
      </c>
      <c r="S5" s="11">
        <f t="shared" ref="S5:S12" si="2">((H5-(SUM(J5:L5)))/H5)*100</f>
        <v>26.979999999999986</v>
      </c>
      <c r="T5" s="11">
        <f t="shared" ref="T5:T12" si="3">((H5-(SUM(J5:M5)))/H5)*100</f>
        <v>23.489999999999995</v>
      </c>
      <c r="U5" s="11">
        <f t="shared" ref="U5:U12" si="4">((H5-(SUM(J5:N5)))/H5)*100</f>
        <v>22.959999999999994</v>
      </c>
      <c r="V5" s="11">
        <f t="shared" ref="V5:V12" si="5">((H5-(SUM(J5:O5)))/H5)*100</f>
        <v>20.47</v>
      </c>
      <c r="W5" s="11">
        <f>100-Q5</f>
        <v>33.319999999999993</v>
      </c>
      <c r="X5" s="11">
        <f>Q5-V5</f>
        <v>46.210000000000008</v>
      </c>
      <c r="Y5" s="11">
        <f>V5</f>
        <v>20.47</v>
      </c>
    </row>
    <row r="6" spans="1:25" ht="30" customHeight="1" x14ac:dyDescent="0.3">
      <c r="A6" s="10">
        <v>2</v>
      </c>
      <c r="B6" s="43"/>
      <c r="C6" s="44"/>
      <c r="D6" s="45"/>
      <c r="E6" s="39" t="s">
        <v>49</v>
      </c>
      <c r="F6" s="25">
        <v>1.5</v>
      </c>
      <c r="G6" s="39"/>
      <c r="H6" s="39">
        <v>200</v>
      </c>
      <c r="I6" s="25">
        <f t="shared" ref="I6:I12" si="6">SUM(J6:O6)</f>
        <v>60.57</v>
      </c>
      <c r="J6" s="25">
        <v>24.67</v>
      </c>
      <c r="K6" s="25">
        <v>17.38</v>
      </c>
      <c r="L6" s="25">
        <v>11.7</v>
      </c>
      <c r="M6" s="25">
        <v>4.1100000000000003</v>
      </c>
      <c r="N6" s="25">
        <v>0.74</v>
      </c>
      <c r="O6" s="25">
        <v>1.97</v>
      </c>
      <c r="P6" s="25"/>
      <c r="Q6" s="11">
        <f t="shared" si="0"/>
        <v>87.664999999999992</v>
      </c>
      <c r="R6" s="11">
        <f t="shared" si="1"/>
        <v>78.974999999999994</v>
      </c>
      <c r="S6" s="11">
        <f t="shared" si="2"/>
        <v>73.125</v>
      </c>
      <c r="T6" s="11">
        <f t="shared" si="3"/>
        <v>71.069999999999993</v>
      </c>
      <c r="U6" s="11">
        <f t="shared" si="4"/>
        <v>70.7</v>
      </c>
      <c r="V6" s="11">
        <f t="shared" si="5"/>
        <v>69.715000000000003</v>
      </c>
      <c r="W6" s="11">
        <f t="shared" ref="W6:W12" si="7">100-Q6</f>
        <v>12.335000000000008</v>
      </c>
      <c r="X6" s="11">
        <f t="shared" ref="X6:X12" si="8">Q6-V6</f>
        <v>17.949999999999989</v>
      </c>
      <c r="Y6" s="11">
        <f t="shared" ref="Y6:Y12" si="9">V6</f>
        <v>69.715000000000003</v>
      </c>
    </row>
    <row r="7" spans="1:25" ht="30" customHeight="1" x14ac:dyDescent="0.3">
      <c r="A7" s="10">
        <v>3</v>
      </c>
      <c r="B7" s="43"/>
      <c r="C7" s="44"/>
      <c r="D7" s="45"/>
      <c r="E7" s="39" t="s">
        <v>47</v>
      </c>
      <c r="F7" s="25">
        <v>3.5</v>
      </c>
      <c r="G7" s="39"/>
      <c r="H7" s="39">
        <v>100</v>
      </c>
      <c r="I7" s="25">
        <f t="shared" si="6"/>
        <v>67.94</v>
      </c>
      <c r="J7" s="25">
        <v>39.229999999999997</v>
      </c>
      <c r="K7" s="25">
        <v>11.83</v>
      </c>
      <c r="L7" s="25">
        <v>8.42</v>
      </c>
      <c r="M7" s="25">
        <v>4.96</v>
      </c>
      <c r="N7" s="25">
        <v>0.65</v>
      </c>
      <c r="O7" s="25">
        <v>2.85</v>
      </c>
      <c r="P7" s="25"/>
      <c r="Q7" s="11">
        <f t="shared" si="0"/>
        <v>60.77</v>
      </c>
      <c r="R7" s="11">
        <f t="shared" si="1"/>
        <v>48.940000000000005</v>
      </c>
      <c r="S7" s="11">
        <f t="shared" si="2"/>
        <v>40.520000000000003</v>
      </c>
      <c r="T7" s="11">
        <f t="shared" si="3"/>
        <v>35.56</v>
      </c>
      <c r="U7" s="11">
        <f t="shared" si="4"/>
        <v>34.909999999999997</v>
      </c>
      <c r="V7" s="11">
        <f t="shared" si="5"/>
        <v>32.06</v>
      </c>
      <c r="W7" s="11">
        <f t="shared" si="7"/>
        <v>39.229999999999997</v>
      </c>
      <c r="X7" s="11">
        <f t="shared" si="8"/>
        <v>28.71</v>
      </c>
      <c r="Y7" s="11">
        <f t="shared" si="9"/>
        <v>32.06</v>
      </c>
    </row>
    <row r="8" spans="1:25" ht="30" customHeight="1" x14ac:dyDescent="0.3">
      <c r="A8" s="10">
        <v>4</v>
      </c>
      <c r="B8" s="43"/>
      <c r="C8" s="44"/>
      <c r="D8" s="45"/>
      <c r="E8" s="39" t="s">
        <v>47</v>
      </c>
      <c r="F8" s="25">
        <v>5</v>
      </c>
      <c r="G8" s="39"/>
      <c r="H8" s="39">
        <v>100</v>
      </c>
      <c r="I8" s="25">
        <f t="shared" si="6"/>
        <v>83.11999999999999</v>
      </c>
      <c r="J8" s="25">
        <v>11.42</v>
      </c>
      <c r="K8" s="25">
        <v>18.41</v>
      </c>
      <c r="L8" s="25">
        <v>33.53</v>
      </c>
      <c r="M8" s="25">
        <v>15.89</v>
      </c>
      <c r="N8" s="25">
        <v>1.46</v>
      </c>
      <c r="O8" s="25">
        <v>2.41</v>
      </c>
      <c r="P8" s="25"/>
      <c r="Q8" s="11">
        <f t="shared" si="0"/>
        <v>88.58</v>
      </c>
      <c r="R8" s="11">
        <f t="shared" si="1"/>
        <v>70.17</v>
      </c>
      <c r="S8" s="11">
        <f t="shared" si="2"/>
        <v>36.64</v>
      </c>
      <c r="T8" s="11">
        <f t="shared" si="3"/>
        <v>20.75</v>
      </c>
      <c r="U8" s="11">
        <f t="shared" si="4"/>
        <v>19.290000000000006</v>
      </c>
      <c r="V8" s="11">
        <f t="shared" si="5"/>
        <v>16.88000000000001</v>
      </c>
      <c r="W8" s="11">
        <f t="shared" si="7"/>
        <v>11.420000000000002</v>
      </c>
      <c r="X8" s="11">
        <f t="shared" si="8"/>
        <v>71.699999999999989</v>
      </c>
      <c r="Y8" s="11">
        <f t="shared" si="9"/>
        <v>16.88000000000001</v>
      </c>
    </row>
    <row r="9" spans="1:25" ht="30" customHeight="1" x14ac:dyDescent="0.3">
      <c r="A9" s="10">
        <v>5</v>
      </c>
      <c r="B9" s="43"/>
      <c r="C9" s="44"/>
      <c r="D9" s="45"/>
      <c r="E9" s="39" t="s">
        <v>47</v>
      </c>
      <c r="F9" s="25">
        <v>6.5</v>
      </c>
      <c r="G9" s="39"/>
      <c r="H9" s="39">
        <v>100</v>
      </c>
      <c r="I9" s="25">
        <f t="shared" si="6"/>
        <v>68.03</v>
      </c>
      <c r="J9" s="25">
        <v>36.11</v>
      </c>
      <c r="K9" s="25">
        <v>9.0299999999999994</v>
      </c>
      <c r="L9" s="25">
        <v>9.25</v>
      </c>
      <c r="M9" s="25">
        <v>7.46</v>
      </c>
      <c r="N9" s="25">
        <v>1.55</v>
      </c>
      <c r="O9" s="25">
        <v>4.63</v>
      </c>
      <c r="P9" s="25"/>
      <c r="Q9" s="11">
        <f t="shared" si="0"/>
        <v>63.89</v>
      </c>
      <c r="R9" s="11">
        <f t="shared" si="1"/>
        <v>54.86</v>
      </c>
      <c r="S9" s="11">
        <f t="shared" si="2"/>
        <v>45.61</v>
      </c>
      <c r="T9" s="11">
        <f t="shared" si="3"/>
        <v>38.15</v>
      </c>
      <c r="U9" s="11">
        <f t="shared" si="4"/>
        <v>36.6</v>
      </c>
      <c r="V9" s="11">
        <f t="shared" si="5"/>
        <v>31.97</v>
      </c>
      <c r="W9" s="11">
        <f t="shared" si="7"/>
        <v>36.11</v>
      </c>
      <c r="X9" s="11">
        <f t="shared" si="8"/>
        <v>31.92</v>
      </c>
      <c r="Y9" s="11">
        <f t="shared" si="9"/>
        <v>31.97</v>
      </c>
    </row>
    <row r="10" spans="1:25" ht="30" customHeight="1" x14ac:dyDescent="0.3">
      <c r="A10" s="10">
        <v>6</v>
      </c>
      <c r="B10" s="43"/>
      <c r="C10" s="44"/>
      <c r="D10" s="45"/>
      <c r="E10" s="39" t="s">
        <v>49</v>
      </c>
      <c r="F10" s="25">
        <v>7.5</v>
      </c>
      <c r="G10" s="39"/>
      <c r="H10" s="39">
        <v>100</v>
      </c>
      <c r="I10" s="25">
        <f t="shared" si="6"/>
        <v>89.7</v>
      </c>
      <c r="J10" s="25">
        <v>80.36</v>
      </c>
      <c r="K10" s="25">
        <v>3.72</v>
      </c>
      <c r="L10" s="25">
        <v>2.31</v>
      </c>
      <c r="M10" s="25">
        <v>1.81</v>
      </c>
      <c r="N10" s="25">
        <v>0.37</v>
      </c>
      <c r="O10" s="25">
        <v>1.1299999999999999</v>
      </c>
      <c r="P10" s="25"/>
      <c r="Q10" s="11">
        <f t="shared" si="0"/>
        <v>19.64</v>
      </c>
      <c r="R10" s="11">
        <f t="shared" si="1"/>
        <v>15.920000000000002</v>
      </c>
      <c r="S10" s="11">
        <f t="shared" si="2"/>
        <v>13.61</v>
      </c>
      <c r="T10" s="11">
        <f t="shared" si="3"/>
        <v>11.799999999999997</v>
      </c>
      <c r="U10" s="11">
        <f t="shared" si="4"/>
        <v>11.429999999999993</v>
      </c>
      <c r="V10" s="11">
        <f t="shared" si="5"/>
        <v>10.299999999999997</v>
      </c>
      <c r="W10" s="11">
        <f t="shared" si="7"/>
        <v>80.36</v>
      </c>
      <c r="X10" s="11">
        <f t="shared" si="8"/>
        <v>9.3400000000000034</v>
      </c>
      <c r="Y10" s="11">
        <f t="shared" si="9"/>
        <v>10.299999999999997</v>
      </c>
    </row>
    <row r="11" spans="1:25" ht="30" customHeight="1" x14ac:dyDescent="0.3">
      <c r="A11" s="10">
        <v>7</v>
      </c>
      <c r="B11" s="43"/>
      <c r="C11" s="44"/>
      <c r="D11" s="45"/>
      <c r="E11" s="39" t="s">
        <v>47</v>
      </c>
      <c r="F11" s="25">
        <v>8</v>
      </c>
      <c r="G11" s="39"/>
      <c r="H11" s="39">
        <v>100</v>
      </c>
      <c r="I11" s="25">
        <f t="shared" si="6"/>
        <v>93.85</v>
      </c>
      <c r="J11" s="25">
        <v>82.39</v>
      </c>
      <c r="K11" s="25">
        <v>3.6</v>
      </c>
      <c r="L11" s="25">
        <v>3.51</v>
      </c>
      <c r="M11" s="25">
        <v>2.54</v>
      </c>
      <c r="N11" s="25">
        <v>0.46</v>
      </c>
      <c r="O11" s="25">
        <v>1.35</v>
      </c>
      <c r="P11" s="25"/>
      <c r="Q11" s="11">
        <f t="shared" si="0"/>
        <v>17.61</v>
      </c>
      <c r="R11" s="11">
        <f t="shared" si="1"/>
        <v>14.010000000000005</v>
      </c>
      <c r="S11" s="11">
        <f t="shared" si="2"/>
        <v>10.5</v>
      </c>
      <c r="T11" s="11">
        <f t="shared" si="3"/>
        <v>7.9599999999999937</v>
      </c>
      <c r="U11" s="11">
        <f t="shared" si="4"/>
        <v>7.5</v>
      </c>
      <c r="V11" s="11">
        <f t="shared" si="5"/>
        <v>6.1500000000000057</v>
      </c>
      <c r="W11" s="11">
        <f t="shared" si="7"/>
        <v>82.39</v>
      </c>
      <c r="X11" s="11">
        <f t="shared" si="8"/>
        <v>11.459999999999994</v>
      </c>
      <c r="Y11" s="11">
        <f t="shared" si="9"/>
        <v>6.1500000000000057</v>
      </c>
    </row>
    <row r="12" spans="1:25" ht="30" customHeight="1" x14ac:dyDescent="0.3">
      <c r="A12" s="10">
        <v>8</v>
      </c>
      <c r="B12" s="43"/>
      <c r="C12" s="44"/>
      <c r="D12" s="45"/>
      <c r="E12" s="39" t="s">
        <v>47</v>
      </c>
      <c r="F12" s="25">
        <v>10</v>
      </c>
      <c r="G12" s="39"/>
      <c r="H12" s="39">
        <v>100</v>
      </c>
      <c r="I12" s="25">
        <f t="shared" si="6"/>
        <v>91.11999999999999</v>
      </c>
      <c r="J12" s="25">
        <v>84.01</v>
      </c>
      <c r="K12" s="25">
        <v>0.82</v>
      </c>
      <c r="L12" s="25">
        <v>1.81</v>
      </c>
      <c r="M12" s="25">
        <v>2.74</v>
      </c>
      <c r="N12" s="25">
        <v>0.47</v>
      </c>
      <c r="O12" s="25">
        <v>1.27</v>
      </c>
      <c r="P12" s="25"/>
      <c r="Q12" s="11">
        <f t="shared" si="0"/>
        <v>15.989999999999997</v>
      </c>
      <c r="R12" s="11">
        <f t="shared" si="1"/>
        <v>15.170000000000003</v>
      </c>
      <c r="S12" s="11">
        <f t="shared" si="2"/>
        <v>13.36</v>
      </c>
      <c r="T12" s="11">
        <f t="shared" si="3"/>
        <v>10.620000000000005</v>
      </c>
      <c r="U12" s="11">
        <f t="shared" si="4"/>
        <v>10.150000000000006</v>
      </c>
      <c r="V12" s="11">
        <f t="shared" si="5"/>
        <v>8.8800000000000097</v>
      </c>
      <c r="W12" s="11">
        <f t="shared" si="7"/>
        <v>84.01</v>
      </c>
      <c r="X12" s="11">
        <f t="shared" si="8"/>
        <v>7.109999999999987</v>
      </c>
      <c r="Y12" s="11">
        <f t="shared" si="9"/>
        <v>8.8800000000000097</v>
      </c>
    </row>
  </sheetData>
  <mergeCells count="21">
    <mergeCell ref="A1:Y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W2:W3"/>
    <mergeCell ref="X2:X3"/>
    <mergeCell ref="Y2:Y3"/>
    <mergeCell ref="J4:P4"/>
    <mergeCell ref="Q4:V4"/>
    <mergeCell ref="W4:Y4"/>
    <mergeCell ref="J2:P2"/>
    <mergeCell ref="Q2:V2"/>
    <mergeCell ref="B5:B12"/>
    <mergeCell ref="C5:C12"/>
    <mergeCell ref="D5:D12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2"/>
  <sheetViews>
    <sheetView zoomScaleNormal="100" workbookViewId="0">
      <selection activeCell="C5" sqref="C5"/>
    </sheetView>
  </sheetViews>
  <sheetFormatPr defaultRowHeight="14.4" x14ac:dyDescent="0.3"/>
  <cols>
    <col min="5" max="12" width="9.6640625" customWidth="1"/>
    <col min="13" max="36" width="9.6640625" bestFit="1" customWidth="1"/>
    <col min="39" max="49" width="9.6640625" bestFit="1" customWidth="1"/>
    <col min="50" max="50" width="10.5546875" bestFit="1" customWidth="1"/>
  </cols>
  <sheetData>
    <row r="1" spans="1:53" x14ac:dyDescent="0.3">
      <c r="A1" s="67" t="s">
        <v>4</v>
      </c>
      <c r="B1" s="70" t="s">
        <v>5</v>
      </c>
      <c r="C1" s="70" t="s">
        <v>9</v>
      </c>
      <c r="D1" s="67" t="s">
        <v>8</v>
      </c>
      <c r="E1" s="67" t="s">
        <v>22</v>
      </c>
      <c r="F1" s="67" t="s">
        <v>39</v>
      </c>
      <c r="G1" s="67" t="s">
        <v>23</v>
      </c>
      <c r="H1" s="67" t="s">
        <v>24</v>
      </c>
      <c r="I1" s="63" t="s">
        <v>33</v>
      </c>
      <c r="J1" s="67" t="s">
        <v>34</v>
      </c>
      <c r="K1" s="67" t="s">
        <v>25</v>
      </c>
      <c r="L1" s="67" t="s">
        <v>26</v>
      </c>
      <c r="M1" s="65" t="s">
        <v>27</v>
      </c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5" t="s">
        <v>28</v>
      </c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 t="s">
        <v>29</v>
      </c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21"/>
      <c r="BA1" s="21"/>
    </row>
    <row r="2" spans="1:53" x14ac:dyDescent="0.3">
      <c r="A2" s="68"/>
      <c r="B2" s="71"/>
      <c r="C2" s="71"/>
      <c r="D2" s="68"/>
      <c r="E2" s="68"/>
      <c r="F2" s="68"/>
      <c r="G2" s="68"/>
      <c r="H2" s="68"/>
      <c r="I2" s="63"/>
      <c r="J2" s="68"/>
      <c r="K2" s="68"/>
      <c r="L2" s="68"/>
      <c r="M2" s="64">
        <v>0.5</v>
      </c>
      <c r="N2" s="59">
        <v>1</v>
      </c>
      <c r="O2" s="59">
        <v>2</v>
      </c>
      <c r="P2" s="59">
        <v>4</v>
      </c>
      <c r="Q2" s="59">
        <v>8</v>
      </c>
      <c r="R2" s="59">
        <v>15</v>
      </c>
      <c r="S2" s="59">
        <v>30</v>
      </c>
      <c r="T2" s="59">
        <v>60</v>
      </c>
      <c r="U2" s="59">
        <v>120</v>
      </c>
      <c r="V2" s="59">
        <v>240</v>
      </c>
      <c r="W2" s="59">
        <v>480</v>
      </c>
      <c r="X2" s="59">
        <v>960</v>
      </c>
      <c r="Y2" s="59">
        <v>1440</v>
      </c>
      <c r="Z2" s="64">
        <v>0.5</v>
      </c>
      <c r="AA2" s="59">
        <v>1</v>
      </c>
      <c r="AB2" s="59">
        <v>2</v>
      </c>
      <c r="AC2" s="59">
        <v>4</v>
      </c>
      <c r="AD2" s="59">
        <v>8</v>
      </c>
      <c r="AE2" s="59">
        <v>15</v>
      </c>
      <c r="AF2" s="59">
        <v>30</v>
      </c>
      <c r="AG2" s="59">
        <v>60</v>
      </c>
      <c r="AH2" s="59">
        <v>120</v>
      </c>
      <c r="AI2" s="59">
        <v>240</v>
      </c>
      <c r="AJ2" s="59">
        <v>480</v>
      </c>
      <c r="AK2" s="59">
        <v>960</v>
      </c>
      <c r="AL2" s="59">
        <v>1440</v>
      </c>
      <c r="AM2" s="64">
        <v>0.5</v>
      </c>
      <c r="AN2" s="59">
        <v>1</v>
      </c>
      <c r="AO2" s="59">
        <v>2</v>
      </c>
      <c r="AP2" s="59">
        <v>4</v>
      </c>
      <c r="AQ2" s="59">
        <v>8</v>
      </c>
      <c r="AR2" s="59">
        <v>15</v>
      </c>
      <c r="AS2" s="59">
        <v>30</v>
      </c>
      <c r="AT2" s="59">
        <v>60</v>
      </c>
      <c r="AU2" s="59">
        <v>120</v>
      </c>
      <c r="AV2" s="59">
        <v>240</v>
      </c>
      <c r="AW2" s="59">
        <v>480</v>
      </c>
      <c r="AX2" s="59">
        <v>960</v>
      </c>
      <c r="AY2" s="59">
        <v>1440</v>
      </c>
      <c r="AZ2" s="21"/>
      <c r="BA2" s="21"/>
    </row>
    <row r="3" spans="1:53" x14ac:dyDescent="0.3">
      <c r="A3" s="68"/>
      <c r="B3" s="71"/>
      <c r="C3" s="71"/>
      <c r="D3" s="69"/>
      <c r="E3" s="69"/>
      <c r="F3" s="69"/>
      <c r="G3" s="69"/>
      <c r="H3" s="69"/>
      <c r="I3" s="63"/>
      <c r="J3" s="69"/>
      <c r="K3" s="69"/>
      <c r="L3" s="69"/>
      <c r="M3" s="64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64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64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21"/>
      <c r="BA3" s="21"/>
    </row>
    <row r="4" spans="1:53" x14ac:dyDescent="0.3">
      <c r="A4" s="69"/>
      <c r="B4" s="72"/>
      <c r="C4" s="72"/>
      <c r="D4" s="13" t="s">
        <v>18</v>
      </c>
      <c r="E4" s="13" t="s">
        <v>30</v>
      </c>
      <c r="F4" s="13" t="s">
        <v>38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60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2"/>
      <c r="Z4" s="60" t="s">
        <v>31</v>
      </c>
      <c r="AA4" s="61"/>
      <c r="AB4" s="61"/>
      <c r="AC4" s="61"/>
      <c r="AD4" s="61"/>
      <c r="AE4" s="61"/>
      <c r="AF4" s="61"/>
      <c r="AG4" s="61"/>
      <c r="AH4" s="61"/>
      <c r="AI4" s="61"/>
      <c r="AJ4" s="61"/>
      <c r="AK4" s="61"/>
      <c r="AL4" s="62"/>
      <c r="AM4" s="63" t="s">
        <v>32</v>
      </c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20"/>
      <c r="BA4" s="20"/>
    </row>
    <row r="5" spans="1:53" x14ac:dyDescent="0.3">
      <c r="A5" s="31">
        <v>1</v>
      </c>
      <c r="B5" s="31" t="str">
        <f>GSD!B5</f>
        <v>NHBH-02</v>
      </c>
      <c r="C5" s="32">
        <f>GSD!F5</f>
        <v>0.5</v>
      </c>
      <c r="D5" s="31" t="str">
        <f>GSD!E5</f>
        <v>SPT</v>
      </c>
      <c r="E5" s="32">
        <v>27</v>
      </c>
      <c r="F5" s="33">
        <f>(0.000000002615*E5^4) - (0.00000030607*E5^3) + (0.000016427499*E5^2) - (0.000618546309*E5) + 0.017919182437</f>
        <v>8.5594212700000009E-3</v>
      </c>
      <c r="G5" s="34"/>
      <c r="H5" s="31">
        <v>5.0000000000000001E-4</v>
      </c>
      <c r="I5" s="31"/>
      <c r="J5" s="31"/>
      <c r="K5" s="32">
        <f>(E5-27)*0.25</f>
        <v>0</v>
      </c>
      <c r="L5" s="31">
        <v>0.3</v>
      </c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36"/>
      <c r="BA5" s="36"/>
    </row>
    <row r="6" spans="1:53" x14ac:dyDescent="0.3">
      <c r="A6" s="31">
        <v>2</v>
      </c>
      <c r="B6" s="31" t="str">
        <f>B5</f>
        <v>NHBH-02</v>
      </c>
      <c r="C6" s="32">
        <f>GSD!F6</f>
        <v>1.5</v>
      </c>
      <c r="D6" s="31" t="str">
        <f>GSD!E6</f>
        <v>UDS</v>
      </c>
      <c r="E6" s="32">
        <v>27</v>
      </c>
      <c r="F6" s="33">
        <f t="shared" ref="F6:F8" si="0">(0.000000002615*E6^4) - (0.00000030607*E6^3) + (0.000016427499*E6^2) - (0.000618546309*E6) + 0.017919182437</f>
        <v>8.5594212700000009E-3</v>
      </c>
      <c r="G6" s="34"/>
      <c r="H6" s="31">
        <v>5.0000000000000001E-4</v>
      </c>
      <c r="I6" s="31"/>
      <c r="J6" s="31"/>
      <c r="K6" s="32">
        <f t="shared" ref="K6:K8" si="1">(E6-27)*0.25</f>
        <v>0</v>
      </c>
      <c r="L6" s="31">
        <v>0.3</v>
      </c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36"/>
      <c r="BA6" s="36"/>
    </row>
    <row r="7" spans="1:53" x14ac:dyDescent="0.3">
      <c r="A7" s="31">
        <v>3</v>
      </c>
      <c r="B7" s="31" t="str">
        <f t="shared" ref="B7:B12" si="2">B6</f>
        <v>NHBH-02</v>
      </c>
      <c r="C7" s="32">
        <f>GSD!F7</f>
        <v>3.5</v>
      </c>
      <c r="D7" s="31" t="str">
        <f>GSD!E7</f>
        <v>SPT</v>
      </c>
      <c r="E7" s="32">
        <v>27</v>
      </c>
      <c r="F7" s="33">
        <f t="shared" si="0"/>
        <v>8.5594212700000009E-3</v>
      </c>
      <c r="G7" s="34"/>
      <c r="H7" s="31">
        <v>5.0000000000000001E-4</v>
      </c>
      <c r="I7" s="31"/>
      <c r="J7" s="31"/>
      <c r="K7" s="32">
        <f t="shared" si="1"/>
        <v>0</v>
      </c>
      <c r="L7" s="31">
        <v>0.3</v>
      </c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36"/>
      <c r="BA7" s="36"/>
    </row>
    <row r="8" spans="1:53" x14ac:dyDescent="0.3">
      <c r="A8" s="31">
        <v>4</v>
      </c>
      <c r="B8" s="31" t="str">
        <f t="shared" si="2"/>
        <v>NHBH-02</v>
      </c>
      <c r="C8" s="32">
        <f>GSD!F8</f>
        <v>5</v>
      </c>
      <c r="D8" s="31" t="str">
        <f>GSD!E8</f>
        <v>SPT</v>
      </c>
      <c r="E8" s="32">
        <v>27</v>
      </c>
      <c r="F8" s="33">
        <f t="shared" si="0"/>
        <v>8.5594212700000009E-3</v>
      </c>
      <c r="G8" s="34"/>
      <c r="H8" s="31">
        <v>5.0000000000000001E-4</v>
      </c>
      <c r="I8" s="31"/>
      <c r="J8" s="31"/>
      <c r="K8" s="32">
        <f t="shared" si="1"/>
        <v>0</v>
      </c>
      <c r="L8" s="31">
        <v>0.3</v>
      </c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36"/>
      <c r="BA8" s="36"/>
    </row>
    <row r="9" spans="1:53" x14ac:dyDescent="0.3">
      <c r="A9" s="31">
        <v>5</v>
      </c>
      <c r="B9" s="31" t="str">
        <f t="shared" si="2"/>
        <v>NHBH-02</v>
      </c>
      <c r="C9" s="32">
        <f>GSD!F9</f>
        <v>6.5</v>
      </c>
      <c r="D9" s="31" t="str">
        <f>GSD!E9</f>
        <v>SPT</v>
      </c>
      <c r="E9" s="32">
        <v>27</v>
      </c>
      <c r="F9" s="33">
        <f t="shared" ref="F9:F12" si="3">(0.000000002615*E9^4) - (0.00000030607*E9^3) + (0.000016427499*E9^2) - (0.000618546309*E9) + 0.017919182437</f>
        <v>8.5594212700000009E-3</v>
      </c>
      <c r="G9" s="34"/>
      <c r="H9" s="31">
        <v>5.0000000000000001E-4</v>
      </c>
      <c r="I9" s="31"/>
      <c r="J9" s="31"/>
      <c r="K9" s="32">
        <f t="shared" ref="K9:K12" si="4">(E9-27)*0.25</f>
        <v>0</v>
      </c>
      <c r="L9" s="31">
        <v>0.3</v>
      </c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</row>
    <row r="10" spans="1:53" x14ac:dyDescent="0.3">
      <c r="A10" s="31">
        <v>6</v>
      </c>
      <c r="B10" s="31" t="str">
        <f t="shared" si="2"/>
        <v>NHBH-02</v>
      </c>
      <c r="C10" s="32">
        <f>GSD!F10</f>
        <v>7.5</v>
      </c>
      <c r="D10" s="31" t="str">
        <f>GSD!E10</f>
        <v>UDS</v>
      </c>
      <c r="E10" s="32">
        <v>27</v>
      </c>
      <c r="F10" s="33">
        <f t="shared" si="3"/>
        <v>8.5594212700000009E-3</v>
      </c>
      <c r="G10" s="34"/>
      <c r="H10" s="31">
        <v>5.0000000000000001E-4</v>
      </c>
      <c r="I10" s="31"/>
      <c r="J10" s="31"/>
      <c r="K10" s="32">
        <f t="shared" si="4"/>
        <v>0</v>
      </c>
      <c r="L10" s="31">
        <v>0.3</v>
      </c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</row>
    <row r="11" spans="1:53" x14ac:dyDescent="0.3">
      <c r="A11" s="31">
        <v>7</v>
      </c>
      <c r="B11" s="31" t="str">
        <f t="shared" si="2"/>
        <v>NHBH-02</v>
      </c>
      <c r="C11" s="32">
        <f>GSD!F11</f>
        <v>8</v>
      </c>
      <c r="D11" s="31" t="str">
        <f>GSD!E11</f>
        <v>SPT</v>
      </c>
      <c r="E11" s="32">
        <v>27</v>
      </c>
      <c r="F11" s="33">
        <f t="shared" si="3"/>
        <v>8.5594212700000009E-3</v>
      </c>
      <c r="G11" s="34"/>
      <c r="H11" s="31">
        <v>5.0000000000000001E-4</v>
      </c>
      <c r="I11" s="31"/>
      <c r="J11" s="31"/>
      <c r="K11" s="32">
        <f t="shared" si="4"/>
        <v>0</v>
      </c>
      <c r="L11" s="31">
        <v>0.3</v>
      </c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</row>
    <row r="12" spans="1:53" x14ac:dyDescent="0.3">
      <c r="A12" s="31">
        <v>8</v>
      </c>
      <c r="B12" s="31" t="str">
        <f t="shared" si="2"/>
        <v>NHBH-02</v>
      </c>
      <c r="C12" s="32">
        <f>GSD!F12</f>
        <v>10</v>
      </c>
      <c r="D12" s="31" t="str">
        <f>GSD!E12</f>
        <v>SPT</v>
      </c>
      <c r="E12" s="32">
        <v>27</v>
      </c>
      <c r="F12" s="33">
        <f t="shared" si="3"/>
        <v>8.5594212700000009E-3</v>
      </c>
      <c r="G12" s="34"/>
      <c r="H12" s="31">
        <v>5.0000000000000001E-4</v>
      </c>
      <c r="I12" s="31"/>
      <c r="J12" s="31"/>
      <c r="K12" s="32">
        <f t="shared" si="4"/>
        <v>0</v>
      </c>
      <c r="L12" s="31">
        <v>0.3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workbookViewId="0"/>
  </sheetViews>
  <sheetFormatPr defaultRowHeight="14.4" x14ac:dyDescent="0.3"/>
  <sheetData>
    <row r="1" spans="1:6" ht="28.8" x14ac:dyDescent="0.3">
      <c r="A1" s="17" t="s">
        <v>35</v>
      </c>
      <c r="B1" s="17" t="s">
        <v>36</v>
      </c>
      <c r="C1" s="17" t="s">
        <v>37</v>
      </c>
    </row>
    <row r="2" spans="1:6" x14ac:dyDescent="0.3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3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3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3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3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3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3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3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3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3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3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3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3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3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3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3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3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3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3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3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3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3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3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3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3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3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3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3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3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3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3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3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3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3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3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3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3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3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3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3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S14"/>
  <sheetViews>
    <sheetView zoomScaleNormal="100" workbookViewId="0">
      <selection activeCell="C3" sqref="C3:AB3"/>
    </sheetView>
  </sheetViews>
  <sheetFormatPr defaultRowHeight="14.4" x14ac:dyDescent="0.3"/>
  <cols>
    <col min="4" max="27" width="9.109375" customWidth="1"/>
    <col min="28" max="28" width="9.109375" style="30"/>
  </cols>
  <sheetData>
    <row r="1" spans="1:45" x14ac:dyDescent="0.3">
      <c r="J1" s="24">
        <v>0.5</v>
      </c>
      <c r="K1" s="24">
        <v>1</v>
      </c>
      <c r="L1" s="24">
        <v>2</v>
      </c>
      <c r="M1" s="24">
        <v>4</v>
      </c>
      <c r="N1" s="24">
        <v>8</v>
      </c>
      <c r="O1" s="24">
        <v>15</v>
      </c>
      <c r="P1" s="24">
        <v>30</v>
      </c>
      <c r="Q1" s="24">
        <v>60</v>
      </c>
      <c r="R1" s="24">
        <v>120</v>
      </c>
      <c r="S1" s="24">
        <v>240</v>
      </c>
      <c r="T1" s="24">
        <v>480</v>
      </c>
      <c r="U1" s="24">
        <v>960</v>
      </c>
      <c r="V1" s="24">
        <v>1440</v>
      </c>
      <c r="W1" s="24">
        <v>4.75</v>
      </c>
      <c r="X1" s="37">
        <v>2</v>
      </c>
      <c r="Y1" s="27">
        <v>0.42499999999999999</v>
      </c>
      <c r="Z1" s="27">
        <v>0.21199999999999999</v>
      </c>
      <c r="AA1" s="27">
        <v>0.15</v>
      </c>
      <c r="AB1" s="24">
        <v>7.4999999999999997E-2</v>
      </c>
      <c r="AC1" s="24">
        <v>0.5</v>
      </c>
      <c r="AD1" s="24">
        <v>1</v>
      </c>
      <c r="AE1" s="24">
        <v>2</v>
      </c>
      <c r="AF1" s="24">
        <v>4</v>
      </c>
      <c r="AG1" s="24">
        <v>8</v>
      </c>
      <c r="AH1" s="24">
        <v>15</v>
      </c>
      <c r="AI1" s="24">
        <v>30</v>
      </c>
      <c r="AJ1" s="24">
        <v>60</v>
      </c>
      <c r="AK1" s="24">
        <v>120</v>
      </c>
      <c r="AL1" s="24">
        <v>240</v>
      </c>
      <c r="AM1" s="24">
        <v>480</v>
      </c>
      <c r="AN1" s="24">
        <v>960</v>
      </c>
      <c r="AO1" s="24">
        <v>1440</v>
      </c>
    </row>
    <row r="2" spans="1:45" x14ac:dyDescent="0.3">
      <c r="A2" s="28" t="s">
        <v>40</v>
      </c>
      <c r="B2" s="28" t="s">
        <v>5</v>
      </c>
      <c r="C2" s="28" t="s">
        <v>9</v>
      </c>
      <c r="D2" s="40" t="s">
        <v>41</v>
      </c>
      <c r="E2" s="40"/>
      <c r="F2" s="40"/>
      <c r="G2" s="40"/>
      <c r="H2" s="40"/>
      <c r="I2" s="40"/>
      <c r="J2" s="40" t="s">
        <v>42</v>
      </c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1" t="s">
        <v>43</v>
      </c>
      <c r="X2" s="41"/>
      <c r="Y2" s="41"/>
      <c r="Z2" s="41"/>
      <c r="AA2" s="41"/>
      <c r="AB2" s="41"/>
      <c r="AC2" s="40" t="s">
        <v>44</v>
      </c>
      <c r="AD2" s="40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28" t="s">
        <v>1</v>
      </c>
      <c r="AQ2" s="28" t="s">
        <v>45</v>
      </c>
      <c r="AR2" s="28" t="s">
        <v>46</v>
      </c>
      <c r="AS2" s="28" t="s">
        <v>2</v>
      </c>
    </row>
    <row r="3" spans="1:45" s="18" customFormat="1" x14ac:dyDescent="0.3">
      <c r="A3" s="18">
        <v>1</v>
      </c>
      <c r="B3" s="18" t="str">
        <f>GSD!B5</f>
        <v>NHBH-02</v>
      </c>
      <c r="C3" s="26">
        <f>GSD!F5</f>
        <v>0.5</v>
      </c>
      <c r="D3" s="22">
        <v>4.75</v>
      </c>
      <c r="E3" s="22">
        <v>2</v>
      </c>
      <c r="F3" s="22">
        <v>0.42499999999999999</v>
      </c>
      <c r="G3" s="22">
        <v>0.21199999999999999</v>
      </c>
      <c r="H3" s="22">
        <v>0.15</v>
      </c>
      <c r="I3" s="22">
        <v>7.4999999999999997E-2</v>
      </c>
      <c r="J3" s="23">
        <f>HYD!Z5</f>
        <v>0</v>
      </c>
      <c r="K3" s="23">
        <f>HYD!AA5</f>
        <v>0</v>
      </c>
      <c r="L3" s="23">
        <f>HYD!AB5</f>
        <v>0</v>
      </c>
      <c r="M3" s="23">
        <f>HYD!AC5</f>
        <v>0</v>
      </c>
      <c r="N3" s="23">
        <f>HYD!AD5</f>
        <v>0</v>
      </c>
      <c r="O3" s="23">
        <f>HYD!AE5</f>
        <v>0</v>
      </c>
      <c r="P3" s="23">
        <f>HYD!AF5</f>
        <v>0</v>
      </c>
      <c r="Q3" s="23">
        <f>HYD!AG5</f>
        <v>0</v>
      </c>
      <c r="R3" s="23">
        <f>HYD!AH5</f>
        <v>0</v>
      </c>
      <c r="S3" s="23">
        <f>HYD!AI5</f>
        <v>0</v>
      </c>
      <c r="T3" s="23">
        <f>HYD!AJ5</f>
        <v>0</v>
      </c>
      <c r="U3" s="23">
        <f>HYD!AK5</f>
        <v>0</v>
      </c>
      <c r="V3" s="23">
        <f>HYD!AL5</f>
        <v>0</v>
      </c>
      <c r="W3" s="1">
        <f>GSD!Q5</f>
        <v>66.680000000000007</v>
      </c>
      <c r="X3" s="1">
        <f>GSD!R5</f>
        <v>46.51</v>
      </c>
      <c r="Y3" s="1">
        <f>GSD!S5</f>
        <v>26.979999999999986</v>
      </c>
      <c r="Z3" s="1">
        <f>GSD!T5</f>
        <v>23.489999999999995</v>
      </c>
      <c r="AA3" s="1">
        <f>GSD!U5</f>
        <v>22.959999999999994</v>
      </c>
      <c r="AB3" s="38">
        <f>GSD!V5</f>
        <v>20.47</v>
      </c>
      <c r="AC3" s="38">
        <f>HYD!AM5</f>
        <v>0</v>
      </c>
      <c r="AD3" s="1">
        <f>HYD!AN5</f>
        <v>0</v>
      </c>
      <c r="AE3" s="1">
        <f>HYD!AO5</f>
        <v>0</v>
      </c>
      <c r="AF3" s="1">
        <f>HYD!AP5</f>
        <v>0</v>
      </c>
      <c r="AG3" s="1">
        <f>HYD!AQ5</f>
        <v>0</v>
      </c>
      <c r="AH3" s="1">
        <f>HYD!AR5</f>
        <v>0</v>
      </c>
      <c r="AI3" s="1">
        <f>HYD!AS5</f>
        <v>0</v>
      </c>
      <c r="AJ3" s="1">
        <f>HYD!AT5</f>
        <v>0</v>
      </c>
      <c r="AK3" s="1">
        <f>HYD!AU5</f>
        <v>0</v>
      </c>
      <c r="AL3" s="1">
        <f>HYD!AV5</f>
        <v>0</v>
      </c>
      <c r="AM3" s="1">
        <f>HYD!AW5</f>
        <v>0</v>
      </c>
      <c r="AN3" s="1">
        <f>HYD!AX5</f>
        <v>0</v>
      </c>
      <c r="AO3" s="1">
        <f>HYD!AY5</f>
        <v>0</v>
      </c>
      <c r="AP3" s="1"/>
      <c r="AQ3" s="1"/>
      <c r="AR3" s="1"/>
      <c r="AS3" s="1"/>
    </row>
    <row r="4" spans="1:45" x14ac:dyDescent="0.3">
      <c r="A4" s="18">
        <v>2</v>
      </c>
      <c r="B4" s="18" t="str">
        <f>B3</f>
        <v>NHBH-02</v>
      </c>
      <c r="C4" s="26">
        <f>GSD!F6</f>
        <v>1.5</v>
      </c>
      <c r="D4" s="22">
        <v>4.75</v>
      </c>
      <c r="E4" s="22">
        <v>2</v>
      </c>
      <c r="F4" s="22">
        <v>0.42499999999999999</v>
      </c>
      <c r="G4" s="22">
        <v>0.21199999999999999</v>
      </c>
      <c r="H4" s="22">
        <v>0.15</v>
      </c>
      <c r="I4" s="22">
        <v>7.4999999999999997E-2</v>
      </c>
      <c r="J4" s="23">
        <f>HYD!Z6</f>
        <v>0</v>
      </c>
      <c r="K4" s="23">
        <f>HYD!AA6</f>
        <v>0</v>
      </c>
      <c r="L4" s="23">
        <f>HYD!AB6</f>
        <v>0</v>
      </c>
      <c r="M4" s="23">
        <f>HYD!AC6</f>
        <v>0</v>
      </c>
      <c r="N4" s="23">
        <f>HYD!AD6</f>
        <v>0</v>
      </c>
      <c r="O4" s="23">
        <f>HYD!AE6</f>
        <v>0</v>
      </c>
      <c r="P4" s="23">
        <f>HYD!AF6</f>
        <v>0</v>
      </c>
      <c r="Q4" s="23">
        <f>HYD!AG6</f>
        <v>0</v>
      </c>
      <c r="R4" s="23">
        <f>HYD!AH6</f>
        <v>0</v>
      </c>
      <c r="S4" s="23">
        <f>HYD!AI6</f>
        <v>0</v>
      </c>
      <c r="T4" s="23">
        <f>HYD!AJ6</f>
        <v>0</v>
      </c>
      <c r="U4" s="23">
        <f>HYD!AK6</f>
        <v>0</v>
      </c>
      <c r="V4" s="23">
        <f>HYD!AL6</f>
        <v>0</v>
      </c>
      <c r="W4" s="1">
        <f>GSD!Q6</f>
        <v>87.664999999999992</v>
      </c>
      <c r="X4" s="1">
        <f>GSD!R6</f>
        <v>78.974999999999994</v>
      </c>
      <c r="Y4" s="1">
        <f>GSD!S6</f>
        <v>73.125</v>
      </c>
      <c r="Z4" s="1">
        <f>GSD!T6</f>
        <v>71.069999999999993</v>
      </c>
      <c r="AA4" s="1">
        <f>GSD!U6</f>
        <v>70.7</v>
      </c>
      <c r="AB4" s="38">
        <f>GSD!V6</f>
        <v>69.715000000000003</v>
      </c>
      <c r="AC4" s="38">
        <f>HYD!AM6</f>
        <v>0</v>
      </c>
      <c r="AD4" s="1">
        <f>HYD!AN6</f>
        <v>0</v>
      </c>
      <c r="AE4" s="1">
        <f>HYD!AO6</f>
        <v>0</v>
      </c>
      <c r="AF4" s="1">
        <f>HYD!AP6</f>
        <v>0</v>
      </c>
      <c r="AG4" s="1">
        <f>HYD!AQ6</f>
        <v>0</v>
      </c>
      <c r="AH4" s="1">
        <f>HYD!AR6</f>
        <v>0</v>
      </c>
      <c r="AI4" s="1">
        <f>HYD!AS6</f>
        <v>0</v>
      </c>
      <c r="AJ4" s="1">
        <f>HYD!AT6</f>
        <v>0</v>
      </c>
      <c r="AK4" s="1">
        <f>HYD!AU6</f>
        <v>0</v>
      </c>
      <c r="AL4" s="1">
        <f>HYD!AV6</f>
        <v>0</v>
      </c>
      <c r="AM4" s="1">
        <f>HYD!AW6</f>
        <v>0</v>
      </c>
      <c r="AN4" s="1">
        <f>HYD!AX6</f>
        <v>0</v>
      </c>
      <c r="AO4" s="1">
        <f>HYD!AY6</f>
        <v>0</v>
      </c>
      <c r="AP4" s="1"/>
      <c r="AQ4" s="1"/>
      <c r="AR4" s="1"/>
      <c r="AS4" s="1"/>
    </row>
    <row r="5" spans="1:45" x14ac:dyDescent="0.3">
      <c r="A5" s="18">
        <v>3</v>
      </c>
      <c r="B5" s="18" t="str">
        <f t="shared" ref="B5:B10" si="0">B4</f>
        <v>NHBH-02</v>
      </c>
      <c r="C5" s="26">
        <f>GSD!F7</f>
        <v>3.5</v>
      </c>
      <c r="D5" s="22">
        <v>4.75</v>
      </c>
      <c r="E5" s="22">
        <v>2</v>
      </c>
      <c r="F5" s="22">
        <v>0.42499999999999999</v>
      </c>
      <c r="G5" s="22">
        <v>0.21199999999999999</v>
      </c>
      <c r="H5" s="22">
        <v>0.15</v>
      </c>
      <c r="I5" s="22">
        <v>7.4999999999999997E-2</v>
      </c>
      <c r="J5" s="23">
        <f>HYD!Z7</f>
        <v>0</v>
      </c>
      <c r="K5" s="23">
        <f>HYD!AA7</f>
        <v>0</v>
      </c>
      <c r="L5" s="23">
        <f>HYD!AB7</f>
        <v>0</v>
      </c>
      <c r="M5" s="23">
        <f>HYD!AC7</f>
        <v>0</v>
      </c>
      <c r="N5" s="23">
        <f>HYD!AD7</f>
        <v>0</v>
      </c>
      <c r="O5" s="23">
        <f>HYD!AE7</f>
        <v>0</v>
      </c>
      <c r="P5" s="23">
        <f>HYD!AF7</f>
        <v>0</v>
      </c>
      <c r="Q5" s="23">
        <f>HYD!AG7</f>
        <v>0</v>
      </c>
      <c r="R5" s="23">
        <f>HYD!AH7</f>
        <v>0</v>
      </c>
      <c r="S5" s="23">
        <f>HYD!AI7</f>
        <v>0</v>
      </c>
      <c r="T5" s="23">
        <f>HYD!AJ7</f>
        <v>0</v>
      </c>
      <c r="U5" s="23">
        <f>HYD!AK7</f>
        <v>0</v>
      </c>
      <c r="V5" s="23">
        <f>HYD!AL7</f>
        <v>0</v>
      </c>
      <c r="W5" s="1">
        <f>GSD!Q7</f>
        <v>60.77</v>
      </c>
      <c r="X5" s="1">
        <f>GSD!R7</f>
        <v>48.940000000000005</v>
      </c>
      <c r="Y5" s="1">
        <f>GSD!S7</f>
        <v>40.520000000000003</v>
      </c>
      <c r="Z5" s="1">
        <f>GSD!T7</f>
        <v>35.56</v>
      </c>
      <c r="AA5" s="1">
        <f>GSD!U7</f>
        <v>34.909999999999997</v>
      </c>
      <c r="AB5" s="38">
        <f>GSD!V7</f>
        <v>32.06</v>
      </c>
      <c r="AC5" s="38">
        <f>HYD!AM7</f>
        <v>0</v>
      </c>
      <c r="AD5" s="1">
        <f>HYD!AN7</f>
        <v>0</v>
      </c>
      <c r="AE5" s="1">
        <f>HYD!AO7</f>
        <v>0</v>
      </c>
      <c r="AF5" s="1">
        <f>HYD!AP7</f>
        <v>0</v>
      </c>
      <c r="AG5" s="1">
        <f>HYD!AQ7</f>
        <v>0</v>
      </c>
      <c r="AH5" s="1">
        <f>HYD!AR7</f>
        <v>0</v>
      </c>
      <c r="AI5" s="1">
        <f>HYD!AS7</f>
        <v>0</v>
      </c>
      <c r="AJ5" s="1">
        <f>HYD!AT7</f>
        <v>0</v>
      </c>
      <c r="AK5" s="1">
        <f>HYD!AU7</f>
        <v>0</v>
      </c>
      <c r="AL5" s="1">
        <f>HYD!AV7</f>
        <v>0</v>
      </c>
      <c r="AM5" s="1">
        <f>HYD!AW7</f>
        <v>0</v>
      </c>
      <c r="AN5" s="1">
        <f>HYD!AX7</f>
        <v>0</v>
      </c>
      <c r="AO5" s="1">
        <f>HYD!AY7</f>
        <v>0</v>
      </c>
      <c r="AP5" s="1"/>
      <c r="AQ5" s="1"/>
      <c r="AR5" s="1"/>
      <c r="AS5" s="1"/>
    </row>
    <row r="6" spans="1:45" x14ac:dyDescent="0.3">
      <c r="A6" s="18">
        <v>4</v>
      </c>
      <c r="B6" s="18" t="str">
        <f t="shared" si="0"/>
        <v>NHBH-02</v>
      </c>
      <c r="C6" s="26">
        <f>GSD!F8</f>
        <v>5</v>
      </c>
      <c r="D6" s="22">
        <v>4.75</v>
      </c>
      <c r="E6" s="22">
        <v>2</v>
      </c>
      <c r="F6" s="22">
        <v>0.42499999999999999</v>
      </c>
      <c r="G6" s="22">
        <v>0.21199999999999999</v>
      </c>
      <c r="H6" s="22">
        <v>0.15</v>
      </c>
      <c r="I6" s="22">
        <v>7.4999999999999997E-2</v>
      </c>
      <c r="J6" s="23">
        <f>HYD!Z8</f>
        <v>0</v>
      </c>
      <c r="K6" s="23">
        <f>HYD!AA8</f>
        <v>0</v>
      </c>
      <c r="L6" s="23">
        <f>HYD!AB8</f>
        <v>0</v>
      </c>
      <c r="M6" s="23">
        <f>HYD!AC8</f>
        <v>0</v>
      </c>
      <c r="N6" s="23">
        <f>HYD!AD8</f>
        <v>0</v>
      </c>
      <c r="O6" s="23">
        <f>HYD!AE8</f>
        <v>0</v>
      </c>
      <c r="P6" s="23">
        <f>HYD!AF8</f>
        <v>0</v>
      </c>
      <c r="Q6" s="23">
        <f>HYD!AG8</f>
        <v>0</v>
      </c>
      <c r="R6" s="23">
        <f>HYD!AH8</f>
        <v>0</v>
      </c>
      <c r="S6" s="23">
        <f>HYD!AI8</f>
        <v>0</v>
      </c>
      <c r="T6" s="23">
        <f>HYD!AJ8</f>
        <v>0</v>
      </c>
      <c r="U6" s="23">
        <f>HYD!AK8</f>
        <v>0</v>
      </c>
      <c r="V6" s="23">
        <f>HYD!AL8</f>
        <v>0</v>
      </c>
      <c r="W6" s="1">
        <f>GSD!Q8</f>
        <v>88.58</v>
      </c>
      <c r="X6" s="1">
        <f>GSD!R8</f>
        <v>70.17</v>
      </c>
      <c r="Y6" s="1">
        <f>GSD!S8</f>
        <v>36.64</v>
      </c>
      <c r="Z6" s="1">
        <f>GSD!T8</f>
        <v>20.75</v>
      </c>
      <c r="AA6" s="1">
        <f>GSD!U8</f>
        <v>19.290000000000006</v>
      </c>
      <c r="AB6" s="38">
        <f>GSD!V8</f>
        <v>16.88000000000001</v>
      </c>
      <c r="AC6" s="38">
        <f>HYD!AM8</f>
        <v>0</v>
      </c>
      <c r="AD6" s="1">
        <f>HYD!AN8</f>
        <v>0</v>
      </c>
      <c r="AE6" s="1">
        <f>HYD!AO8</f>
        <v>0</v>
      </c>
      <c r="AF6" s="1">
        <f>HYD!AP8</f>
        <v>0</v>
      </c>
      <c r="AG6" s="1">
        <f>HYD!AQ8</f>
        <v>0</v>
      </c>
      <c r="AH6" s="1">
        <f>HYD!AR8</f>
        <v>0</v>
      </c>
      <c r="AI6" s="1">
        <f>HYD!AS8</f>
        <v>0</v>
      </c>
      <c r="AJ6" s="1">
        <f>HYD!AT8</f>
        <v>0</v>
      </c>
      <c r="AK6" s="1">
        <f>HYD!AU8</f>
        <v>0</v>
      </c>
      <c r="AL6" s="1">
        <f>HYD!AV8</f>
        <v>0</v>
      </c>
      <c r="AM6" s="1">
        <f>HYD!AW8</f>
        <v>0</v>
      </c>
      <c r="AN6" s="1">
        <f>HYD!AX8</f>
        <v>0</v>
      </c>
      <c r="AO6" s="1">
        <f>HYD!AY8</f>
        <v>0</v>
      </c>
      <c r="AP6" s="1"/>
      <c r="AQ6" s="1"/>
      <c r="AR6" s="1"/>
      <c r="AS6" s="1"/>
    </row>
    <row r="7" spans="1:45" x14ac:dyDescent="0.3">
      <c r="A7" s="18">
        <v>5</v>
      </c>
      <c r="B7" s="18" t="str">
        <f t="shared" si="0"/>
        <v>NHBH-02</v>
      </c>
      <c r="C7" s="26">
        <f>GSD!F9</f>
        <v>6.5</v>
      </c>
      <c r="D7" s="22">
        <v>4.75</v>
      </c>
      <c r="E7" s="22">
        <v>2</v>
      </c>
      <c r="F7" s="22">
        <v>0.42499999999999999</v>
      </c>
      <c r="G7" s="22">
        <v>0.21199999999999999</v>
      </c>
      <c r="H7" s="22">
        <v>0.15</v>
      </c>
      <c r="I7" s="22">
        <v>7.4999999999999997E-2</v>
      </c>
      <c r="J7" s="23">
        <f>HYD!Z9</f>
        <v>0</v>
      </c>
      <c r="K7" s="23">
        <f>HYD!AA9</f>
        <v>0</v>
      </c>
      <c r="L7" s="23">
        <f>HYD!AB9</f>
        <v>0</v>
      </c>
      <c r="M7" s="23">
        <f>HYD!AC9</f>
        <v>0</v>
      </c>
      <c r="N7" s="23">
        <f>HYD!AD9</f>
        <v>0</v>
      </c>
      <c r="O7" s="23">
        <f>HYD!AE9</f>
        <v>0</v>
      </c>
      <c r="P7" s="23">
        <f>HYD!AF9</f>
        <v>0</v>
      </c>
      <c r="Q7" s="23">
        <f>HYD!AG9</f>
        <v>0</v>
      </c>
      <c r="R7" s="23">
        <f>HYD!AH9</f>
        <v>0</v>
      </c>
      <c r="S7" s="23">
        <f>HYD!AI9</f>
        <v>0</v>
      </c>
      <c r="T7" s="23">
        <f>HYD!AJ9</f>
        <v>0</v>
      </c>
      <c r="U7" s="23">
        <f>HYD!AK9</f>
        <v>0</v>
      </c>
      <c r="V7" s="23">
        <f>HYD!AL9</f>
        <v>0</v>
      </c>
      <c r="W7" s="1">
        <f>GSD!Q9</f>
        <v>63.89</v>
      </c>
      <c r="X7" s="1">
        <f>GSD!R9</f>
        <v>54.86</v>
      </c>
      <c r="Y7" s="1">
        <f>GSD!S9</f>
        <v>45.61</v>
      </c>
      <c r="Z7" s="1">
        <f>GSD!T9</f>
        <v>38.15</v>
      </c>
      <c r="AA7" s="1">
        <f>GSD!U9</f>
        <v>36.6</v>
      </c>
      <c r="AB7" s="38">
        <f>GSD!V9</f>
        <v>31.97</v>
      </c>
      <c r="AC7" s="38">
        <f>HYD!AM9</f>
        <v>0</v>
      </c>
      <c r="AD7" s="1">
        <f>HYD!AN9</f>
        <v>0</v>
      </c>
      <c r="AE7" s="1">
        <f>HYD!AO9</f>
        <v>0</v>
      </c>
      <c r="AF7" s="1">
        <f>HYD!AP9</f>
        <v>0</v>
      </c>
      <c r="AG7" s="1">
        <f>HYD!AQ9</f>
        <v>0</v>
      </c>
      <c r="AH7" s="1">
        <f>HYD!AR9</f>
        <v>0</v>
      </c>
      <c r="AI7" s="1">
        <f>HYD!AS9</f>
        <v>0</v>
      </c>
      <c r="AJ7" s="1">
        <f>HYD!AT9</f>
        <v>0</v>
      </c>
      <c r="AK7" s="1">
        <f>HYD!AU9</f>
        <v>0</v>
      </c>
      <c r="AL7" s="1">
        <f>HYD!AV9</f>
        <v>0</v>
      </c>
      <c r="AM7" s="1">
        <f>HYD!AW9</f>
        <v>0</v>
      </c>
      <c r="AN7" s="1">
        <f>HYD!AX9</f>
        <v>0</v>
      </c>
      <c r="AO7" s="1">
        <f>HYD!AY9</f>
        <v>0</v>
      </c>
    </row>
    <row r="8" spans="1:45" x14ac:dyDescent="0.3">
      <c r="A8" s="18">
        <v>6</v>
      </c>
      <c r="B8" s="18" t="str">
        <f t="shared" si="0"/>
        <v>NHBH-02</v>
      </c>
      <c r="C8" s="26">
        <f>GSD!F10</f>
        <v>7.5</v>
      </c>
      <c r="D8" s="22">
        <v>4.75</v>
      </c>
      <c r="E8" s="22">
        <v>2</v>
      </c>
      <c r="F8" s="22">
        <v>0.42499999999999999</v>
      </c>
      <c r="G8" s="22">
        <v>0.21199999999999999</v>
      </c>
      <c r="H8" s="22">
        <v>0.15</v>
      </c>
      <c r="I8" s="22">
        <v>7.4999999999999997E-2</v>
      </c>
      <c r="J8" s="23">
        <f>HYD!Z10</f>
        <v>0</v>
      </c>
      <c r="K8" s="23">
        <f>HYD!AA10</f>
        <v>0</v>
      </c>
      <c r="L8" s="23">
        <f>HYD!AB10</f>
        <v>0</v>
      </c>
      <c r="M8" s="23">
        <f>HYD!AC10</f>
        <v>0</v>
      </c>
      <c r="N8" s="23">
        <f>HYD!AD10</f>
        <v>0</v>
      </c>
      <c r="O8" s="23">
        <f>HYD!AE10</f>
        <v>0</v>
      </c>
      <c r="P8" s="23">
        <f>HYD!AF10</f>
        <v>0</v>
      </c>
      <c r="Q8" s="23">
        <f>HYD!AG10</f>
        <v>0</v>
      </c>
      <c r="R8" s="23">
        <f>HYD!AH10</f>
        <v>0</v>
      </c>
      <c r="S8" s="23">
        <f>HYD!AI10</f>
        <v>0</v>
      </c>
      <c r="T8" s="23">
        <f>HYD!AJ10</f>
        <v>0</v>
      </c>
      <c r="U8" s="23">
        <f>HYD!AK10</f>
        <v>0</v>
      </c>
      <c r="V8" s="23">
        <f>HYD!AL10</f>
        <v>0</v>
      </c>
      <c r="W8" s="1">
        <f>GSD!Q10</f>
        <v>19.64</v>
      </c>
      <c r="X8" s="1">
        <f>GSD!R10</f>
        <v>15.920000000000002</v>
      </c>
      <c r="Y8" s="1">
        <f>GSD!S10</f>
        <v>13.61</v>
      </c>
      <c r="Z8" s="1">
        <f>GSD!T10</f>
        <v>11.799999999999997</v>
      </c>
      <c r="AA8" s="1">
        <f>GSD!U10</f>
        <v>11.429999999999993</v>
      </c>
      <c r="AB8" s="38">
        <f>GSD!V10</f>
        <v>10.299999999999997</v>
      </c>
      <c r="AC8" s="38">
        <f>HYD!AM10</f>
        <v>0</v>
      </c>
      <c r="AD8" s="1">
        <f>HYD!AN10</f>
        <v>0</v>
      </c>
      <c r="AE8" s="1">
        <f>HYD!AO10</f>
        <v>0</v>
      </c>
      <c r="AF8" s="1">
        <f>HYD!AP10</f>
        <v>0</v>
      </c>
      <c r="AG8" s="1">
        <f>HYD!AQ10</f>
        <v>0</v>
      </c>
      <c r="AH8" s="1">
        <f>HYD!AR10</f>
        <v>0</v>
      </c>
      <c r="AI8" s="1">
        <f>HYD!AS10</f>
        <v>0</v>
      </c>
      <c r="AJ8" s="1">
        <f>HYD!AT10</f>
        <v>0</v>
      </c>
      <c r="AK8" s="1">
        <f>HYD!AU10</f>
        <v>0</v>
      </c>
      <c r="AL8" s="1">
        <f>HYD!AV10</f>
        <v>0</v>
      </c>
      <c r="AM8" s="1">
        <f>HYD!AW10</f>
        <v>0</v>
      </c>
      <c r="AN8" s="1">
        <f>HYD!AX10</f>
        <v>0</v>
      </c>
      <c r="AO8" s="1">
        <f>HYD!AY10</f>
        <v>0</v>
      </c>
    </row>
    <row r="9" spans="1:45" x14ac:dyDescent="0.3">
      <c r="A9" s="18">
        <v>7</v>
      </c>
      <c r="B9" s="18" t="str">
        <f t="shared" si="0"/>
        <v>NHBH-02</v>
      </c>
      <c r="C9" s="26">
        <f>GSD!F11</f>
        <v>8</v>
      </c>
      <c r="D9" s="22">
        <v>4.75</v>
      </c>
      <c r="E9" s="22">
        <v>2</v>
      </c>
      <c r="F9" s="22">
        <v>0.42499999999999999</v>
      </c>
      <c r="G9" s="22">
        <v>0.21199999999999999</v>
      </c>
      <c r="H9" s="22">
        <v>0.15</v>
      </c>
      <c r="I9" s="22">
        <v>7.4999999999999997E-2</v>
      </c>
      <c r="J9" s="23">
        <f>HYD!Z11</f>
        <v>0</v>
      </c>
      <c r="K9" s="23">
        <f>HYD!AA11</f>
        <v>0</v>
      </c>
      <c r="L9" s="23">
        <f>HYD!AB11</f>
        <v>0</v>
      </c>
      <c r="M9" s="23">
        <f>HYD!AC11</f>
        <v>0</v>
      </c>
      <c r="N9" s="23">
        <f>HYD!AD11</f>
        <v>0</v>
      </c>
      <c r="O9" s="23">
        <f>HYD!AE11</f>
        <v>0</v>
      </c>
      <c r="P9" s="23">
        <f>HYD!AF11</f>
        <v>0</v>
      </c>
      <c r="Q9" s="23">
        <f>HYD!AG11</f>
        <v>0</v>
      </c>
      <c r="R9" s="23">
        <f>HYD!AH11</f>
        <v>0</v>
      </c>
      <c r="S9" s="23">
        <f>HYD!AI11</f>
        <v>0</v>
      </c>
      <c r="T9" s="23">
        <f>HYD!AJ11</f>
        <v>0</v>
      </c>
      <c r="U9" s="23">
        <f>HYD!AK11</f>
        <v>0</v>
      </c>
      <c r="V9" s="23">
        <f>HYD!AL11</f>
        <v>0</v>
      </c>
      <c r="W9" s="1">
        <f>GSD!Q11</f>
        <v>17.61</v>
      </c>
      <c r="X9" s="1">
        <f>GSD!R11</f>
        <v>14.010000000000005</v>
      </c>
      <c r="Y9" s="1">
        <f>GSD!S11</f>
        <v>10.5</v>
      </c>
      <c r="Z9" s="1">
        <f>GSD!T11</f>
        <v>7.9599999999999937</v>
      </c>
      <c r="AA9" s="1">
        <f>GSD!U11</f>
        <v>7.5</v>
      </c>
      <c r="AB9" s="38">
        <f>GSD!V11</f>
        <v>6.1500000000000057</v>
      </c>
      <c r="AC9" s="38">
        <f>HYD!AM11</f>
        <v>0</v>
      </c>
      <c r="AD9" s="1">
        <f>HYD!AN11</f>
        <v>0</v>
      </c>
      <c r="AE9" s="1">
        <f>HYD!AO11</f>
        <v>0</v>
      </c>
      <c r="AF9" s="1">
        <f>HYD!AP11</f>
        <v>0</v>
      </c>
      <c r="AG9" s="1">
        <f>HYD!AQ11</f>
        <v>0</v>
      </c>
      <c r="AH9" s="1">
        <f>HYD!AR11</f>
        <v>0</v>
      </c>
      <c r="AI9" s="1">
        <f>HYD!AS11</f>
        <v>0</v>
      </c>
      <c r="AJ9" s="1">
        <f>HYD!AT11</f>
        <v>0</v>
      </c>
      <c r="AK9" s="1">
        <f>HYD!AU11</f>
        <v>0</v>
      </c>
      <c r="AL9" s="1">
        <f>HYD!AV11</f>
        <v>0</v>
      </c>
      <c r="AM9" s="1">
        <f>HYD!AW11</f>
        <v>0</v>
      </c>
      <c r="AN9" s="1">
        <f>HYD!AX11</f>
        <v>0</v>
      </c>
      <c r="AO9" s="1">
        <f>HYD!AY11</f>
        <v>0</v>
      </c>
    </row>
    <row r="10" spans="1:45" x14ac:dyDescent="0.3">
      <c r="A10" s="18">
        <v>8</v>
      </c>
      <c r="B10" s="18" t="str">
        <f t="shared" si="0"/>
        <v>NHBH-02</v>
      </c>
      <c r="C10" s="26">
        <f>GSD!F12</f>
        <v>10</v>
      </c>
      <c r="D10" s="22">
        <v>4.75</v>
      </c>
      <c r="E10" s="22">
        <v>2</v>
      </c>
      <c r="F10" s="22">
        <v>0.42499999999999999</v>
      </c>
      <c r="G10" s="22">
        <v>0.21199999999999999</v>
      </c>
      <c r="H10" s="22">
        <v>0.15</v>
      </c>
      <c r="I10" s="22">
        <v>7.4999999999999997E-2</v>
      </c>
      <c r="J10" s="23">
        <f>HYD!Z12</f>
        <v>0</v>
      </c>
      <c r="K10" s="23">
        <f>HYD!AA12</f>
        <v>0</v>
      </c>
      <c r="L10" s="23">
        <f>HYD!AB12</f>
        <v>0</v>
      </c>
      <c r="M10" s="23">
        <f>HYD!AC12</f>
        <v>0</v>
      </c>
      <c r="N10" s="23">
        <f>HYD!AD12</f>
        <v>0</v>
      </c>
      <c r="O10" s="23">
        <f>HYD!AE12</f>
        <v>0</v>
      </c>
      <c r="P10" s="23">
        <f>HYD!AF12</f>
        <v>0</v>
      </c>
      <c r="Q10" s="23">
        <f>HYD!AG12</f>
        <v>0</v>
      </c>
      <c r="R10" s="23">
        <f>HYD!AH12</f>
        <v>0</v>
      </c>
      <c r="S10" s="23">
        <f>HYD!AI12</f>
        <v>0</v>
      </c>
      <c r="T10" s="23">
        <f>HYD!AJ12</f>
        <v>0</v>
      </c>
      <c r="U10" s="23">
        <f>HYD!AK12</f>
        <v>0</v>
      </c>
      <c r="V10" s="23">
        <f>HYD!AL12</f>
        <v>0</v>
      </c>
      <c r="W10" s="1">
        <f>GSD!Q12</f>
        <v>15.989999999999997</v>
      </c>
      <c r="X10" s="1">
        <f>GSD!R12</f>
        <v>15.170000000000003</v>
      </c>
      <c r="Y10" s="1">
        <f>GSD!S12</f>
        <v>13.36</v>
      </c>
      <c r="Z10" s="1">
        <f>GSD!T12</f>
        <v>10.620000000000005</v>
      </c>
      <c r="AA10" s="1">
        <f>GSD!U12</f>
        <v>10.150000000000006</v>
      </c>
      <c r="AB10" s="38">
        <f>GSD!V12</f>
        <v>8.8800000000000097</v>
      </c>
      <c r="AC10" s="38">
        <f>HYD!AM12</f>
        <v>0</v>
      </c>
      <c r="AD10" s="1">
        <f>HYD!AN12</f>
        <v>0</v>
      </c>
      <c r="AE10" s="1">
        <f>HYD!AO12</f>
        <v>0</v>
      </c>
      <c r="AF10" s="1">
        <f>HYD!AP12</f>
        <v>0</v>
      </c>
      <c r="AG10" s="1">
        <f>HYD!AQ12</f>
        <v>0</v>
      </c>
      <c r="AH10" s="1">
        <f>HYD!AR12</f>
        <v>0</v>
      </c>
      <c r="AI10" s="1">
        <f>HYD!AS12</f>
        <v>0</v>
      </c>
      <c r="AJ10" s="1">
        <f>HYD!AT12</f>
        <v>0</v>
      </c>
      <c r="AK10" s="1">
        <f>HYD!AU12</f>
        <v>0</v>
      </c>
      <c r="AL10" s="1">
        <f>HYD!AV12</f>
        <v>0</v>
      </c>
      <c r="AM10" s="1">
        <f>HYD!AW12</f>
        <v>0</v>
      </c>
      <c r="AN10" s="1">
        <f>HYD!AX12</f>
        <v>0</v>
      </c>
      <c r="AO10" s="1">
        <f>HYD!AY12</f>
        <v>0</v>
      </c>
    </row>
    <row r="11" spans="1:45" x14ac:dyDescent="0.3">
      <c r="AB11" s="1"/>
      <c r="AC11" s="29"/>
    </row>
    <row r="12" spans="1:45" x14ac:dyDescent="0.3">
      <c r="AB12" s="1"/>
      <c r="AC12" s="29"/>
    </row>
    <row r="13" spans="1:45" x14ac:dyDescent="0.3">
      <c r="AB13" s="1"/>
      <c r="AC13" s="29"/>
    </row>
    <row r="14" spans="1:45" x14ac:dyDescent="0.3">
      <c r="AB14" s="1"/>
      <c r="AC14" s="29"/>
    </row>
  </sheetData>
  <mergeCells count="4">
    <mergeCell ref="D2:I2"/>
    <mergeCell ref="J2:V2"/>
    <mergeCell ref="W2:AB2"/>
    <mergeCell ref="AC2:AO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shyam marsonia</cp:lastModifiedBy>
  <dcterms:created xsi:type="dcterms:W3CDTF">2026-06-15T06:47:07Z</dcterms:created>
  <dcterms:modified xsi:type="dcterms:W3CDTF">2026-09-26T10:44:01Z</dcterms:modified>
</cp:coreProperties>
</file>