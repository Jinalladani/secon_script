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002_WORKING DOCUMENTS\GUJARAT SECTION\02_TEST RESULTS\LOT-03\19.Western Railway Main Line _CH_ 379.975 km (RLBH-9 &amp; RLBH-10)\"/>
    </mc:Choice>
  </mc:AlternateContent>
  <xr:revisionPtr revIDLastSave="0" documentId="13_ncr:1_{598E6B34-F866-440A-BDEB-EE5769D2BBF5}" xr6:coauthVersionLast="47" xr6:coauthVersionMax="47" xr10:uidLastSave="{00000000-0000-0000-0000-000000000000}"/>
  <bookViews>
    <workbookView xWindow="-108" yWindow="-108" windowWidth="23256" windowHeight="12576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12" i="7"/>
  <c r="I13" i="7"/>
  <c r="I5" i="7"/>
  <c r="AK11" i="6" l="1"/>
  <c r="C4" i="6" l="1"/>
  <c r="C5" i="6"/>
  <c r="C6" i="6"/>
  <c r="C7" i="6"/>
  <c r="C8" i="6"/>
  <c r="C9" i="6"/>
  <c r="C10" i="6"/>
  <c r="C11" i="6"/>
  <c r="C3" i="6"/>
  <c r="B3" i="6"/>
  <c r="B4" i="6" s="1"/>
  <c r="B5" i="6" s="1"/>
  <c r="B6" i="6" s="1"/>
  <c r="B7" i="6" s="1"/>
  <c r="B8" i="6" s="1"/>
  <c r="B9" i="6" s="1"/>
  <c r="B10" i="6" s="1"/>
  <c r="B11" i="6" s="1"/>
  <c r="D6" i="8"/>
  <c r="D7" i="8"/>
  <c r="D8" i="8"/>
  <c r="D9" i="8"/>
  <c r="D10" i="8"/>
  <c r="D11" i="8"/>
  <c r="D12" i="8"/>
  <c r="D13" i="8"/>
  <c r="C6" i="8"/>
  <c r="C7" i="8"/>
  <c r="C8" i="8"/>
  <c r="C9" i="8"/>
  <c r="C10" i="8"/>
  <c r="C11" i="8"/>
  <c r="C12" i="8"/>
  <c r="C13" i="8"/>
  <c r="D5" i="8"/>
  <c r="C5" i="8"/>
  <c r="B5" i="8"/>
  <c r="B6" i="8" s="1"/>
  <c r="B7" i="8" s="1"/>
  <c r="B8" i="8" s="1"/>
  <c r="B9" i="8" s="1"/>
  <c r="B10" i="8" s="1"/>
  <c r="B11" i="8" s="1"/>
  <c r="B12" i="8" s="1"/>
  <c r="B13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10" i="6"/>
  <c r="AH10" i="6"/>
  <c r="AI10" i="6"/>
  <c r="AJ10" i="6"/>
  <c r="AK10" i="6"/>
  <c r="AL10" i="6"/>
  <c r="AM10" i="6"/>
  <c r="AN10" i="6"/>
  <c r="AO10" i="6"/>
  <c r="AP10" i="6"/>
  <c r="AQ10" i="6"/>
  <c r="AR10" i="6"/>
  <c r="AS10" i="6"/>
  <c r="AG11" i="6"/>
  <c r="AH11" i="6"/>
  <c r="AI11" i="6"/>
  <c r="AJ11" i="6"/>
  <c r="AL11" i="6"/>
  <c r="AM11" i="6"/>
  <c r="AN11" i="6"/>
  <c r="AO11" i="6"/>
  <c r="AP11" i="6"/>
  <c r="AQ11" i="6"/>
  <c r="AR11" i="6"/>
  <c r="AS11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3" i="8" l="1"/>
  <c r="F13" i="8"/>
  <c r="K12" i="8"/>
  <c r="F12" i="8"/>
  <c r="K11" i="8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Z12" i="7"/>
  <c r="AC12" i="7" s="1"/>
  <c r="V7" i="7"/>
  <c r="AB5" i="6" s="1"/>
  <c r="X8" i="7"/>
  <c r="AD6" i="6" s="1"/>
  <c r="U12" i="7"/>
  <c r="AA10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Y12" i="7"/>
  <c r="AE10" i="6" s="1"/>
  <c r="U13" i="7"/>
  <c r="AA11" i="6" s="1"/>
  <c r="W13" i="7"/>
  <c r="AC11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V12" i="7"/>
  <c r="AB10" i="6" s="1"/>
  <c r="U6" i="7"/>
  <c r="AA4" i="6" s="1"/>
  <c r="W9" i="7"/>
  <c r="AC7" i="6" s="1"/>
  <c r="V10" i="7"/>
  <c r="AB8" i="6" s="1"/>
  <c r="U10" i="7"/>
  <c r="AA8" i="6" s="1"/>
  <c r="W6" i="7"/>
  <c r="AC4" i="6" s="1"/>
  <c r="T13" i="7"/>
  <c r="Z11" i="6" s="1"/>
  <c r="X5" i="7"/>
  <c r="AD3" i="6" s="1"/>
  <c r="Y13" i="7"/>
  <c r="AE11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Z13" i="7"/>
  <c r="AF11" i="6" s="1"/>
  <c r="X12" i="7"/>
  <c r="AD10" i="6" s="1"/>
  <c r="X13" i="7"/>
  <c r="AD11" i="6" s="1"/>
  <c r="W12" i="7"/>
  <c r="AC10" i="6" s="1"/>
  <c r="S13" i="7"/>
  <c r="Y11" i="6" s="1"/>
  <c r="V13" i="7"/>
  <c r="AB11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S12" i="7"/>
  <c r="Y10" i="6" s="1"/>
  <c r="T12" i="7"/>
  <c r="Z10" i="6" s="1"/>
  <c r="AB7" i="7" l="1"/>
  <c r="AF4" i="6"/>
  <c r="AF7" i="6"/>
  <c r="AB6" i="7"/>
  <c r="AA9" i="7"/>
  <c r="AB10" i="7"/>
  <c r="AC13" i="7"/>
  <c r="AB9" i="7"/>
  <c r="AB13" i="7"/>
  <c r="AF10" i="6"/>
  <c r="AF6" i="6"/>
  <c r="Y6" i="6"/>
  <c r="AA10" i="7"/>
  <c r="AF9" i="6"/>
  <c r="AF5" i="6"/>
  <c r="AB11" i="7"/>
  <c r="AA13" i="7"/>
  <c r="AF3" i="6"/>
  <c r="AC10" i="7"/>
  <c r="Y5" i="6"/>
  <c r="Y4" i="6"/>
  <c r="AB5" i="7"/>
  <c r="AA11" i="7"/>
  <c r="AA7" i="7"/>
  <c r="AA6" i="7"/>
  <c r="Y3" i="6"/>
  <c r="AA12" i="7"/>
  <c r="AB12" i="7"/>
  <c r="AB8" i="7"/>
</calcChain>
</file>

<file path=xl/sharedStrings.xml><?xml version="1.0" encoding="utf-8"?>
<sst xmlns="http://schemas.openxmlformats.org/spreadsheetml/2006/main" count="82" uniqueCount="59">
  <si>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</si>
  <si>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</si>
  <si>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</si>
  <si>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</si>
  <si>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</si>
  <si>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</si>
  <si>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</si>
  <si>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</si>
  <si>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</si>
  <si>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</si>
  <si>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</si>
  <si>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</si>
  <si>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</si>
  <si>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</si>
  <si>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</si>
  <si>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</si>
  <si>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</si>
  <si>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</si>
  <si>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</si>
  <si>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</si>
  <si>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</si>
  <si>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</si>
  <si>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</si>
  <si>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</si>
  <si>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</si>
  <si>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</si>
  <si>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</si>
  <si>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</si>
  <si>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</si>
  <si>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</si>
  <si>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</si>
  <si>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</si>
  <si>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</si>
  <si>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</si>
  <si>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</si>
  <si>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</si>
  <si>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</si>
  <si>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</si>
  <si>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</si>
  <si>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</si>
  <si>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</si>
  <si>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</si>
  <si>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</si>
  <si>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</si>
  <si>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</si>
  <si>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</si>
  <si>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</si>
  <si>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</si>
  <si>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</si>
  <si>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RLBH-09</t>
  </si>
  <si>
    <t>A113</t>
  </si>
  <si>
    <t>A147</t>
  </si>
  <si>
    <t>A099</t>
  </si>
  <si>
    <t>A144</t>
  </si>
  <si>
    <t>A103</t>
  </si>
  <si>
    <t>A153</t>
  </si>
  <si>
    <t>A132</t>
  </si>
  <si>
    <t>A116</t>
  </si>
  <si>
    <t>A095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</si>
</sst>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GSD!$S$5:$Z$5</c:f>
              <c:numCache>
                <c:formatCode>0.00</c:formatCode>
                <c:ptCount val="8"/>
                <c:pt idx="0">
                  <c:v>99.82</c:v>
                </c:pt>
                <c:pt idx="1">
                  <c:v>99.71</c:v>
                </c:pt>
                <c:pt idx="2">
                  <c:v>99.67</c:v>
                </c:pt>
                <c:pt idx="3">
                  <c:v>98.63</c:v>
                </c:pt>
                <c:pt idx="4">
                  <c:v>86.31</c:v>
                </c:pt>
                <c:pt idx="5">
                  <c:v>72.22999999999999</c:v>
                </c:pt>
                <c:pt idx="6">
                  <c:v>43.129999999999995</c:v>
                </c:pt>
                <c:pt idx="7">
                  <c:v>31.419999999999987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GSD!$S$6:$Z$6</c:f>
              <c:numCache>
                <c:formatCode>0.00</c:formatCode>
                <c:ptCount val="8"/>
                <c:pt idx="0">
                  <c:v>98.42</c:v>
                </c:pt>
                <c:pt idx="1">
                  <c:v>97.7</c:v>
                </c:pt>
                <c:pt idx="2">
                  <c:v>97.6</c:v>
                </c:pt>
                <c:pt idx="3">
                  <c:v>96.635000000000005</c:v>
                </c:pt>
                <c:pt idx="4">
                  <c:v>82.064999999999998</c:v>
                </c:pt>
                <c:pt idx="5">
                  <c:v>73.325000000000003</c:v>
                </c:pt>
                <c:pt idx="6">
                  <c:v>49.14</c:v>
                </c:pt>
                <c:pt idx="7">
                  <c:v>41.72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GSD!$S$7:$Z$7</c:f>
              <c:numCache>
                <c:formatCode>0.00</c:formatCode>
                <c:ptCount val="8"/>
                <c:pt idx="0">
                  <c:v>93.14</c:v>
                </c:pt>
                <c:pt idx="1">
                  <c:v>90.11</c:v>
                </c:pt>
                <c:pt idx="2">
                  <c:v>89.5</c:v>
                </c:pt>
                <c:pt idx="3">
                  <c:v>86.74</c:v>
                </c:pt>
                <c:pt idx="4">
                  <c:v>75.17</c:v>
                </c:pt>
                <c:pt idx="5">
                  <c:v>68.61</c:v>
                </c:pt>
                <c:pt idx="6">
                  <c:v>39.120000000000005</c:v>
                </c:pt>
                <c:pt idx="7">
                  <c:v>29.230000000000008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GSD!$S$8:$Z$8</c:f>
              <c:numCache>
                <c:formatCode>0.00</c:formatCode>
                <c:ptCount val="8"/>
                <c:pt idx="0">
                  <c:v>100</c:v>
                </c:pt>
                <c:pt idx="1">
                  <c:v>98.984999999999999</c:v>
                </c:pt>
                <c:pt idx="2">
                  <c:v>98.83</c:v>
                </c:pt>
                <c:pt idx="3">
                  <c:v>97.87</c:v>
                </c:pt>
                <c:pt idx="4">
                  <c:v>87.43</c:v>
                </c:pt>
                <c:pt idx="5">
                  <c:v>73.710000000000008</c:v>
                </c:pt>
                <c:pt idx="6">
                  <c:v>42.625</c:v>
                </c:pt>
                <c:pt idx="7">
                  <c:v>30.620000000000005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GSD!$S$9:$Z$9</c:f>
              <c:numCache>
                <c:formatCode>0.00</c:formatCode>
                <c:ptCount val="8"/>
                <c:pt idx="0">
                  <c:v>87.789999999999992</c:v>
                </c:pt>
                <c:pt idx="1">
                  <c:v>85.6</c:v>
                </c:pt>
                <c:pt idx="2">
                  <c:v>85.11</c:v>
                </c:pt>
                <c:pt idx="3">
                  <c:v>84.24</c:v>
                </c:pt>
                <c:pt idx="4">
                  <c:v>75.289999999999992</c:v>
                </c:pt>
                <c:pt idx="5">
                  <c:v>66.11</c:v>
                </c:pt>
                <c:pt idx="6">
                  <c:v>44.89</c:v>
                </c:pt>
                <c:pt idx="7">
                  <c:v>33.980000000000004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GSD!$S$10:$Z$10</c:f>
              <c:numCache>
                <c:formatCode>0.00</c:formatCode>
                <c:ptCount val="8"/>
                <c:pt idx="0">
                  <c:v>98.36</c:v>
                </c:pt>
                <c:pt idx="1">
                  <c:v>96.35</c:v>
                </c:pt>
                <c:pt idx="2">
                  <c:v>95.805000000000007</c:v>
                </c:pt>
                <c:pt idx="3">
                  <c:v>93.284999999999997</c:v>
                </c:pt>
                <c:pt idx="4">
                  <c:v>81.490000000000009</c:v>
                </c:pt>
                <c:pt idx="5">
                  <c:v>74.674999999999997</c:v>
                </c:pt>
                <c:pt idx="6">
                  <c:v>51.715000000000003</c:v>
                </c:pt>
                <c:pt idx="7">
                  <c:v>46.765000000000001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GSD!$S$11:$Z$11</c:f>
              <c:numCache>
                <c:formatCode>0.00</c:formatCode>
                <c:ptCount val="8"/>
                <c:pt idx="0">
                  <c:v>99.81</c:v>
                </c:pt>
                <c:pt idx="1">
                  <c:v>98.63</c:v>
                </c:pt>
                <c:pt idx="2">
                  <c:v>98.25</c:v>
                </c:pt>
                <c:pt idx="3">
                  <c:v>96.96</c:v>
                </c:pt>
                <c:pt idx="4">
                  <c:v>84.144999999999996</c:v>
                </c:pt>
                <c:pt idx="5">
                  <c:v>69.454999999999998</c:v>
                </c:pt>
                <c:pt idx="6">
                  <c:v>36.784999999999997</c:v>
                </c:pt>
                <c:pt idx="7">
                  <c:v>27.844999999999999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GSD!$F$12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GSD!$S$12:$Z$12</c:f>
              <c:numCache>
                <c:formatCode>0.00</c:formatCode>
                <c:ptCount val="8"/>
                <c:pt idx="0">
                  <c:v>100</c:v>
                </c:pt>
                <c:pt idx="1">
                  <c:v>97.8</c:v>
                </c:pt>
                <c:pt idx="2">
                  <c:v>97.38</c:v>
                </c:pt>
                <c:pt idx="3">
                  <c:v>96.31</c:v>
                </c:pt>
                <c:pt idx="4">
                  <c:v>90.06</c:v>
                </c:pt>
                <c:pt idx="5">
                  <c:v>79.16</c:v>
                </c:pt>
                <c:pt idx="6">
                  <c:v>52.349999999999994</c:v>
                </c:pt>
                <c:pt idx="7">
                  <c:v>38.19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GSD!$F$13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GSD!$S$13:$Z$13</c:f>
              <c:numCache>
                <c:formatCode>0.00</c:formatCode>
                <c:ptCount val="8"/>
                <c:pt idx="0">
                  <c:v>99.35</c:v>
                </c:pt>
                <c:pt idx="1">
                  <c:v>97.93</c:v>
                </c:pt>
                <c:pt idx="2">
                  <c:v>97.7</c:v>
                </c:pt>
                <c:pt idx="3">
                  <c:v>96.65</c:v>
                </c:pt>
                <c:pt idx="4">
                  <c:v>90.539999999999992</c:v>
                </c:pt>
                <c:pt idx="5">
                  <c:v>81.84</c:v>
                </c:pt>
                <c:pt idx="6">
                  <c:v>46.510000000000005</c:v>
                </c:pt>
                <c:pt idx="7">
                  <c:v>34.89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  <c:numCache>
                <c:formatCode>0.00</c:formatCode>
                <c:ptCount val="8"/>
                <c:pt idx="0" formatCode="General">
                  <c:v>4.75</c:v>
                </c:pt>
                <c:pt idx="1">
                  <c:v>2</c:v>
                </c:pt>
                <c:pt idx="2">
                  <c:v>1.18</c:v>
                </c:pt>
                <c:pt idx="3" formatCode="0.000">
                  <c:v>0.6</c:v>
                </c:pt>
                <c:pt idx="4" formatCode="General">
                  <c:v>0.42499999999999999</c:v>
                </c:pt>
                <c:pt idx="5" formatCode="0.000">
                  <c:v>0.3</c:v>
                </c:pt>
                <c:pt idx="6" formatCode="0.000">
                  <c:v>0.15</c:v>
                </c:pt>
                <c:pt idx="7" formatCode="0.000">
                  <c:v>7.4999999999999997E-2</c:v>
                </c:pt>
              </c:numCache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99.82</c:v>
                </c:pt>
                <c:pt idx="1">
                  <c:v>99.71</c:v>
                </c:pt>
                <c:pt idx="2">
                  <c:v>99.67</c:v>
                </c:pt>
                <c:pt idx="3">
                  <c:v>98.63</c:v>
                </c:pt>
                <c:pt idx="4">
                  <c:v>86.31</c:v>
                </c:pt>
                <c:pt idx="5">
                  <c:v>72.22999999999999</c:v>
                </c:pt>
                <c:pt idx="6">
                  <c:v>43.129999999999995</c:v>
                </c:pt>
                <c:pt idx="7">
                  <c:v>31.419999999999987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1.50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98.42</c:v>
                </c:pt>
                <c:pt idx="1">
                  <c:v>97.7</c:v>
                </c:pt>
                <c:pt idx="2">
                  <c:v>97.6</c:v>
                </c:pt>
                <c:pt idx="3">
                  <c:v>96.635000000000005</c:v>
                </c:pt>
                <c:pt idx="4">
                  <c:v>82.064999999999998</c:v>
                </c:pt>
                <c:pt idx="5">
                  <c:v>73.325000000000003</c:v>
                </c:pt>
                <c:pt idx="6">
                  <c:v>49.14</c:v>
                </c:pt>
                <c:pt idx="7">
                  <c:v>41.72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93.14</c:v>
                </c:pt>
                <c:pt idx="1">
                  <c:v>90.11</c:v>
                </c:pt>
                <c:pt idx="2">
                  <c:v>89.5</c:v>
                </c:pt>
                <c:pt idx="3">
                  <c:v>86.74</c:v>
                </c:pt>
                <c:pt idx="4">
                  <c:v>75.17</c:v>
                </c:pt>
                <c:pt idx="5">
                  <c:v>68.61</c:v>
                </c:pt>
                <c:pt idx="6">
                  <c:v>39.120000000000005</c:v>
                </c:pt>
                <c:pt idx="7">
                  <c:v>29.230000000000008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100</c:v>
                </c:pt>
                <c:pt idx="1">
                  <c:v>98.984999999999999</c:v>
                </c:pt>
                <c:pt idx="2">
                  <c:v>98.83</c:v>
                </c:pt>
                <c:pt idx="3">
                  <c:v>97.87</c:v>
                </c:pt>
                <c:pt idx="4">
                  <c:v>87.43</c:v>
                </c:pt>
                <c:pt idx="5">
                  <c:v>73.710000000000008</c:v>
                </c:pt>
                <c:pt idx="6">
                  <c:v>42.625</c:v>
                </c:pt>
                <c:pt idx="7">
                  <c:v>30.620000000000005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87.789999999999992</c:v>
                </c:pt>
                <c:pt idx="1">
                  <c:v>85.6</c:v>
                </c:pt>
                <c:pt idx="2">
                  <c:v>85.11</c:v>
                </c:pt>
                <c:pt idx="3">
                  <c:v>84.24</c:v>
                </c:pt>
                <c:pt idx="4">
                  <c:v>75.289999999999992</c:v>
                </c:pt>
                <c:pt idx="5">
                  <c:v>66.11</c:v>
                </c:pt>
                <c:pt idx="6">
                  <c:v>44.89</c:v>
                </c:pt>
                <c:pt idx="7">
                  <c:v>33.980000000000004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98.36</c:v>
                </c:pt>
                <c:pt idx="1">
                  <c:v>96.35</c:v>
                </c:pt>
                <c:pt idx="2">
                  <c:v>95.805000000000007</c:v>
                </c:pt>
                <c:pt idx="3">
                  <c:v>93.284999999999997</c:v>
                </c:pt>
                <c:pt idx="4">
                  <c:v>81.490000000000009</c:v>
                </c:pt>
                <c:pt idx="5">
                  <c:v>74.674999999999997</c:v>
                </c:pt>
                <c:pt idx="6">
                  <c:v>51.715000000000003</c:v>
                </c:pt>
                <c:pt idx="7">
                  <c:v>46.765000000000001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99.81</c:v>
                </c:pt>
                <c:pt idx="1">
                  <c:v>98.63</c:v>
                </c:pt>
                <c:pt idx="2">
                  <c:v>98.25</c:v>
                </c:pt>
                <c:pt idx="3">
                  <c:v>96.96</c:v>
                </c:pt>
                <c:pt idx="4">
                  <c:v>84.144999999999996</c:v>
                </c:pt>
                <c:pt idx="5">
                  <c:v>69.454999999999998</c:v>
                </c:pt>
                <c:pt idx="6">
                  <c:v>36.784999999999997</c:v>
                </c:pt>
                <c:pt idx="7">
                  <c:v>27.844999999999999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  <c:pt idx="0">
                  <c:v>13.50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  <c:pt idx="0">
                  <c:v>100</c:v>
                </c:pt>
                <c:pt idx="1">
                  <c:v>97.8</c:v>
                </c:pt>
                <c:pt idx="2">
                  <c:v>97.38</c:v>
                </c:pt>
                <c:pt idx="3">
                  <c:v>96.31</c:v>
                </c:pt>
                <c:pt idx="4">
                  <c:v>90.06</c:v>
                </c:pt>
                <c:pt idx="5">
                  <c:v>79.16</c:v>
                </c:pt>
                <c:pt idx="6">
                  <c:v>52.349999999999994</c:v>
                </c:pt>
                <c:pt idx="7">
                  <c:v>38.19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  <c:pt idx="0">
                  <c:v>15.00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  <c:pt idx="0">
                  <c:v>99.35</c:v>
                </c:pt>
                <c:pt idx="1">
                  <c:v>97.93</c:v>
                </c:pt>
                <c:pt idx="2">
                  <c:v>97.7</c:v>
                </c:pt>
                <c:pt idx="3">
                  <c:v>96.65</c:v>
                </c:pt>
                <c:pt idx="4">
                  <c:v>90.539999999999992</c:v>
                </c:pt>
                <c:pt idx="5">
                  <c:v>81.84</c:v>
                </c:pt>
                <c:pt idx="6">
                  <c:v>46.510000000000005</c:v>
                </c:pt>
                <c:pt idx="7">
                  <c:v>34.89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3"/>
  <sheetViews>
    <sheetView tabSelected="1" view="pageBreakPreview" topLeftCell="N1" zoomScale="130" zoomScaleNormal="85" zoomScaleSheetLayoutView="130" zoomScalePageLayoutView="85" workbookViewId="0">
      <selection activeCell="R7" sqref="R7"/>
    </sheetView>
  </sheetViews>
  <sheetFormatPr defaultColWidth="9" defaultRowHeight="14.4" x14ac:dyDescent="0.3"/>
  <cols>
    <col min="1" max="1" width="6.5546875" style="1" customWidth="1"/>
    <col min="2" max="2" width="4.88671875" style="1" customWidth="1"/>
    <col min="3" max="4" width="5.5546875" style="1" customWidth="1"/>
    <col min="5" max="5" width="7.6640625" style="1" customWidth="1"/>
    <col min="6" max="6" width="7.6640625" style="12" customWidth="1"/>
    <col min="7" max="7" width="9.6640625" style="1" customWidth="1"/>
    <col min="8" max="8" width="11.33203125" style="1" customWidth="1"/>
    <col min="9" max="9" width="13" style="1" customWidth="1"/>
    <col min="10" max="18" width="7.6640625" style="1" customWidth="1"/>
    <col min="19" max="16384" width="9" style="1"/>
  </cols>
  <sheetData>
    <row r="1" spans="1:29" ht="25.2" customHeight="1" x14ac:dyDescent="0.3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3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3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3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3">
      <c r="A5" s="9">
        <v>1</v>
      </c>
      <c r="B5" s="57" t="s">
        <v>49</v>
      </c>
      <c r="C5" s="57"/>
      <c r="D5" s="58"/>
      <c r="E5" s="47" t="s">
        <v>22</v>
      </c>
      <c r="F5" s="24">
        <v>0.5</v>
      </c>
      <c r="G5" s="47" t="s">
        <v>50</v>
      </c>
      <c r="H5" s="33">
        <v>100</v>
      </c>
      <c r="I5" s="24">
        <f>H5-SUM(J5:Q5)</f>
        <v>31.419999999999987</v>
      </c>
      <c r="J5" s="24">
        <v>0.18</v>
      </c>
      <c r="K5" s="24">
        <v>0.11</v>
      </c>
      <c r="L5" s="24">
        <v>0.04</v>
      </c>
      <c r="M5" s="24">
        <v>1.04</v>
      </c>
      <c r="N5" s="24">
        <v>12.32</v>
      </c>
      <c r="O5" s="24">
        <v>14.08</v>
      </c>
      <c r="P5" s="24">
        <v>29.1</v>
      </c>
      <c r="Q5" s="24">
        <v>11.71</v>
      </c>
      <c r="R5" s="10"/>
      <c r="S5" s="11">
        <f t="shared" ref="S5:S13" si="0">((H5-(SUM(J5)))/H5)*100</f>
        <v>99.82</v>
      </c>
      <c r="T5" s="11">
        <f t="shared" ref="T5:T13" si="1">((H5-(SUM(J5:K5)))/H5)*100</f>
        <v>99.71</v>
      </c>
      <c r="U5" s="11">
        <f t="shared" ref="U5:U13" si="2">((H5-(SUM(J5:L5)))/H5)*100</f>
        <v>99.67</v>
      </c>
      <c r="V5" s="11">
        <f t="shared" ref="V5:V13" si="3">((H5-(SUM(J5:M5)))/H5)*100</f>
        <v>98.63</v>
      </c>
      <c r="W5" s="11">
        <f t="shared" ref="W5:W13" si="4">((H5-(SUM(J5:N5)))/H5)*100</f>
        <v>86.31</v>
      </c>
      <c r="X5" s="11">
        <f t="shared" ref="X5:X13" si="5">((H5-(SUM(J5:O5)))/H5)*100</f>
        <v>72.22999999999999</v>
      </c>
      <c r="Y5" s="11">
        <f t="shared" ref="Y5:Y13" si="6">((H5-(SUM(J5:P5)))/H5)*100</f>
        <v>43.129999999999995</v>
      </c>
      <c r="Z5" s="11">
        <f t="shared" ref="Z5:Z13" si="7">((H5-(SUM(J5:Q5)))/H5)*100</f>
        <v>31.419999999999987</v>
      </c>
      <c r="AA5" s="11">
        <f t="shared" ref="AA5:AA13" si="8">100-S5</f>
        <v>0.18000000000000682</v>
      </c>
      <c r="AB5" s="11">
        <f t="shared" ref="AB5:AB13" si="9">S5-Z5</f>
        <v>68.400000000000006</v>
      </c>
      <c r="AC5" s="11">
        <f t="shared" ref="AC5:AC13" si="10">Z5</f>
        <v>31.419999999999987</v>
      </c>
    </row>
    <row r="6" spans="1:29" ht="30" customHeight="1" x14ac:dyDescent="0.3">
      <c r="A6" s="9">
        <v>2</v>
      </c>
      <c r="B6" s="57"/>
      <c r="C6" s="57"/>
      <c r="D6" s="58"/>
      <c r="E6" s="47" t="s">
        <v>48</v>
      </c>
      <c r="F6" s="24">
        <v>1.5</v>
      </c>
      <c r="G6" s="47" t="s">
        <v>51</v>
      </c>
      <c r="H6" s="33">
        <v>200</v>
      </c>
      <c r="I6" s="24">
        <f t="shared" ref="I6:I13" si="11">H6-SUM(J6:Q6)</f>
        <v>83.44</v>
      </c>
      <c r="J6" s="24">
        <v>3.16</v>
      </c>
      <c r="K6" s="24">
        <v>1.44</v>
      </c>
      <c r="L6" s="24">
        <v>0.2</v>
      </c>
      <c r="M6" s="24">
        <v>1.93</v>
      </c>
      <c r="N6" s="24">
        <v>29.14</v>
      </c>
      <c r="O6" s="24">
        <v>17.48</v>
      </c>
      <c r="P6" s="24">
        <v>48.37</v>
      </c>
      <c r="Q6" s="24">
        <v>14.84</v>
      </c>
      <c r="R6" s="10"/>
      <c r="S6" s="11">
        <f t="shared" si="0"/>
        <v>98.42</v>
      </c>
      <c r="T6" s="11">
        <f t="shared" si="1"/>
        <v>97.7</v>
      </c>
      <c r="U6" s="11">
        <f t="shared" si="2"/>
        <v>97.6</v>
      </c>
      <c r="V6" s="11">
        <f t="shared" si="3"/>
        <v>96.635000000000005</v>
      </c>
      <c r="W6" s="11">
        <f t="shared" si="4"/>
        <v>82.064999999999998</v>
      </c>
      <c r="X6" s="11">
        <f t="shared" si="5"/>
        <v>73.325000000000003</v>
      </c>
      <c r="Y6" s="11">
        <f t="shared" si="6"/>
        <v>49.14</v>
      </c>
      <c r="Z6" s="11">
        <f t="shared" si="7"/>
        <v>41.72</v>
      </c>
      <c r="AA6" s="11">
        <f t="shared" si="8"/>
        <v>1.5799999999999983</v>
      </c>
      <c r="AB6" s="11">
        <f t="shared" si="9"/>
        <v>56.7</v>
      </c>
      <c r="AC6" s="11">
        <f t="shared" si="10"/>
        <v>41.72</v>
      </c>
    </row>
    <row r="7" spans="1:29" ht="30" customHeight="1" x14ac:dyDescent="0.3">
      <c r="A7" s="9">
        <v>3</v>
      </c>
      <c r="B7" s="57"/>
      <c r="C7" s="57"/>
      <c r="D7" s="58"/>
      <c r="E7" s="47" t="s">
        <v>22</v>
      </c>
      <c r="F7" s="24">
        <v>3.5</v>
      </c>
      <c r="G7" s="47" t="s">
        <v>52</v>
      </c>
      <c r="H7" s="33">
        <v>100</v>
      </c>
      <c r="I7" s="24">
        <f t="shared" si="11"/>
        <v>29.230000000000004</v>
      </c>
      <c r="J7" s="24">
        <v>6.86</v>
      </c>
      <c r="K7" s="24">
        <v>3.03</v>
      </c>
      <c r="L7" s="24">
        <v>0.61</v>
      </c>
      <c r="M7" s="24">
        <v>2.76</v>
      </c>
      <c r="N7" s="24">
        <v>11.57</v>
      </c>
      <c r="O7" s="24">
        <v>6.56</v>
      </c>
      <c r="P7" s="24">
        <v>29.49</v>
      </c>
      <c r="Q7" s="24">
        <v>9.89</v>
      </c>
      <c r="R7" s="10"/>
      <c r="S7" s="11">
        <f t="shared" si="0"/>
        <v>93.14</v>
      </c>
      <c r="T7" s="11">
        <f t="shared" si="1"/>
        <v>90.11</v>
      </c>
      <c r="U7" s="11">
        <f t="shared" si="2"/>
        <v>89.5</v>
      </c>
      <c r="V7" s="11">
        <f t="shared" si="3"/>
        <v>86.74</v>
      </c>
      <c r="W7" s="11">
        <f t="shared" si="4"/>
        <v>75.17</v>
      </c>
      <c r="X7" s="11">
        <f t="shared" si="5"/>
        <v>68.61</v>
      </c>
      <c r="Y7" s="11">
        <f t="shared" si="6"/>
        <v>39.120000000000005</v>
      </c>
      <c r="Z7" s="11">
        <f t="shared" si="7"/>
        <v>29.230000000000008</v>
      </c>
      <c r="AA7" s="11">
        <f t="shared" si="8"/>
        <v>6.8599999999999994</v>
      </c>
      <c r="AB7" s="11">
        <f t="shared" si="9"/>
        <v>63.91</v>
      </c>
      <c r="AC7" s="11">
        <f t="shared" si="10"/>
        <v>29.230000000000008</v>
      </c>
    </row>
    <row r="8" spans="1:29" ht="30" customHeight="1" x14ac:dyDescent="0.3">
      <c r="A8" s="9">
        <v>4</v>
      </c>
      <c r="B8" s="57"/>
      <c r="C8" s="57"/>
      <c r="D8" s="58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61.240000000000009</v>
      </c>
      <c r="J8" s="24">
        <v>0</v>
      </c>
      <c r="K8" s="24">
        <v>2.0299999999999998</v>
      </c>
      <c r="L8" s="24">
        <v>0.31</v>
      </c>
      <c r="M8" s="24">
        <v>1.92</v>
      </c>
      <c r="N8" s="24">
        <v>20.88</v>
      </c>
      <c r="O8" s="24">
        <v>27.44</v>
      </c>
      <c r="P8" s="24">
        <v>62.17</v>
      </c>
      <c r="Q8" s="24">
        <v>24.01</v>
      </c>
      <c r="R8" s="10"/>
      <c r="S8" s="11">
        <f t="shared" si="0"/>
        <v>100</v>
      </c>
      <c r="T8" s="11">
        <f t="shared" si="1"/>
        <v>98.984999999999999</v>
      </c>
      <c r="U8" s="11">
        <f t="shared" si="2"/>
        <v>98.83</v>
      </c>
      <c r="V8" s="11">
        <f t="shared" si="3"/>
        <v>97.87</v>
      </c>
      <c r="W8" s="11">
        <f t="shared" si="4"/>
        <v>87.43</v>
      </c>
      <c r="X8" s="11">
        <f t="shared" si="5"/>
        <v>73.710000000000008</v>
      </c>
      <c r="Y8" s="11">
        <f t="shared" si="6"/>
        <v>42.625</v>
      </c>
      <c r="Z8" s="11">
        <f t="shared" si="7"/>
        <v>30.620000000000005</v>
      </c>
      <c r="AA8" s="11">
        <f t="shared" si="8"/>
        <v>0</v>
      </c>
      <c r="AB8" s="11">
        <f t="shared" si="9"/>
        <v>69.38</v>
      </c>
      <c r="AC8" s="11">
        <f t="shared" si="10"/>
        <v>30.620000000000005</v>
      </c>
    </row>
    <row r="9" spans="1:29" ht="30" customHeight="1" x14ac:dyDescent="0.3">
      <c r="A9" s="9">
        <v>5</v>
      </c>
      <c r="B9" s="57"/>
      <c r="C9" s="57"/>
      <c r="D9" s="58"/>
      <c r="E9" s="47" t="s">
        <v>22</v>
      </c>
      <c r="F9" s="24">
        <v>6.5</v>
      </c>
      <c r="G9" s="47" t="s">
        <v>54</v>
      </c>
      <c r="H9" s="33">
        <v>100</v>
      </c>
      <c r="I9" s="24">
        <f t="shared" si="11"/>
        <v>33.980000000000004</v>
      </c>
      <c r="J9" s="24">
        <v>12.21</v>
      </c>
      <c r="K9" s="24">
        <v>2.19</v>
      </c>
      <c r="L9" s="24">
        <v>0.49</v>
      </c>
      <c r="M9" s="24">
        <v>0.87</v>
      </c>
      <c r="N9" s="24">
        <v>8.9499999999999993</v>
      </c>
      <c r="O9" s="24">
        <v>9.18</v>
      </c>
      <c r="P9" s="24">
        <v>21.22</v>
      </c>
      <c r="Q9" s="24">
        <v>10.91</v>
      </c>
      <c r="R9" s="10"/>
      <c r="S9" s="11">
        <f t="shared" si="0"/>
        <v>87.789999999999992</v>
      </c>
      <c r="T9" s="11">
        <f t="shared" si="1"/>
        <v>85.6</v>
      </c>
      <c r="U9" s="11">
        <f t="shared" si="2"/>
        <v>85.11</v>
      </c>
      <c r="V9" s="11">
        <f t="shared" si="3"/>
        <v>84.24</v>
      </c>
      <c r="W9" s="11">
        <f t="shared" si="4"/>
        <v>75.289999999999992</v>
      </c>
      <c r="X9" s="11">
        <f>((H9-(SUM(J9:O9)))/H9)*100</f>
        <v>66.11</v>
      </c>
      <c r="Y9" s="11">
        <f t="shared" si="6"/>
        <v>44.89</v>
      </c>
      <c r="Z9" s="11">
        <f t="shared" si="7"/>
        <v>33.980000000000004</v>
      </c>
      <c r="AA9" s="11">
        <f t="shared" si="8"/>
        <v>12.210000000000008</v>
      </c>
      <c r="AB9" s="11">
        <f t="shared" si="9"/>
        <v>53.809999999999988</v>
      </c>
      <c r="AC9" s="11">
        <f t="shared" si="10"/>
        <v>33.980000000000004</v>
      </c>
    </row>
    <row r="10" spans="1:29" s="34" customFormat="1" ht="30" customHeight="1" x14ac:dyDescent="0.3">
      <c r="A10" s="43"/>
      <c r="B10" s="57"/>
      <c r="C10" s="57"/>
      <c r="D10" s="58"/>
      <c r="E10" s="48" t="s">
        <v>48</v>
      </c>
      <c r="F10" s="44">
        <v>7.5</v>
      </c>
      <c r="G10" s="48" t="s">
        <v>55</v>
      </c>
      <c r="H10" s="42">
        <v>200</v>
      </c>
      <c r="I10" s="24">
        <f t="shared" si="11"/>
        <v>93.53</v>
      </c>
      <c r="J10" s="44">
        <v>3.28</v>
      </c>
      <c r="K10" s="44">
        <v>4.0199999999999996</v>
      </c>
      <c r="L10" s="44">
        <v>1.0900000000000001</v>
      </c>
      <c r="M10" s="44">
        <v>5.04</v>
      </c>
      <c r="N10" s="44">
        <v>23.59</v>
      </c>
      <c r="O10" s="44">
        <v>13.63</v>
      </c>
      <c r="P10" s="44">
        <v>45.92</v>
      </c>
      <c r="Q10" s="44">
        <v>9.9</v>
      </c>
      <c r="R10" s="45"/>
      <c r="S10" s="46">
        <f t="shared" si="0"/>
        <v>98.36</v>
      </c>
      <c r="T10" s="46">
        <f t="shared" si="1"/>
        <v>96.35</v>
      </c>
      <c r="U10" s="46">
        <f t="shared" si="2"/>
        <v>95.805000000000007</v>
      </c>
      <c r="V10" s="46">
        <f t="shared" si="3"/>
        <v>93.284999999999997</v>
      </c>
      <c r="W10" s="46">
        <f t="shared" si="4"/>
        <v>81.490000000000009</v>
      </c>
      <c r="X10" s="46">
        <f t="shared" si="5"/>
        <v>74.674999999999997</v>
      </c>
      <c r="Y10" s="46">
        <f t="shared" si="6"/>
        <v>51.715000000000003</v>
      </c>
      <c r="Z10" s="46">
        <f t="shared" si="7"/>
        <v>46.765000000000001</v>
      </c>
      <c r="AA10" s="46">
        <f t="shared" si="8"/>
        <v>1.6400000000000006</v>
      </c>
      <c r="AB10" s="46">
        <f t="shared" si="9"/>
        <v>51.594999999999999</v>
      </c>
      <c r="AC10" s="46">
        <f t="shared" si="10"/>
        <v>46.765000000000001</v>
      </c>
    </row>
    <row r="11" spans="1:29" ht="30" customHeight="1" x14ac:dyDescent="0.3">
      <c r="A11" s="9">
        <v>7</v>
      </c>
      <c r="B11" s="57"/>
      <c r="C11" s="57"/>
      <c r="D11" s="58"/>
      <c r="E11" s="47" t="s">
        <v>48</v>
      </c>
      <c r="F11" s="24">
        <v>10.5</v>
      </c>
      <c r="G11" s="47" t="s">
        <v>56</v>
      </c>
      <c r="H11" s="33">
        <v>200</v>
      </c>
      <c r="I11" s="24">
        <f t="shared" si="11"/>
        <v>55.69</v>
      </c>
      <c r="J11" s="24">
        <v>0.38</v>
      </c>
      <c r="K11" s="24">
        <v>2.36</v>
      </c>
      <c r="L11" s="24">
        <v>0.76</v>
      </c>
      <c r="M11" s="24">
        <v>2.58</v>
      </c>
      <c r="N11" s="24">
        <v>25.63</v>
      </c>
      <c r="O11" s="24">
        <v>29.38</v>
      </c>
      <c r="P11" s="24">
        <v>65.34</v>
      </c>
      <c r="Q11" s="24">
        <v>17.88</v>
      </c>
      <c r="R11" s="10"/>
      <c r="S11" s="11">
        <f t="shared" si="0"/>
        <v>99.81</v>
      </c>
      <c r="T11" s="11">
        <f t="shared" si="1"/>
        <v>98.63</v>
      </c>
      <c r="U11" s="11">
        <f t="shared" si="2"/>
        <v>98.25</v>
      </c>
      <c r="V11" s="11">
        <f t="shared" si="3"/>
        <v>96.96</v>
      </c>
      <c r="W11" s="11">
        <f t="shared" si="4"/>
        <v>84.144999999999996</v>
      </c>
      <c r="X11" s="11">
        <f t="shared" si="5"/>
        <v>69.454999999999998</v>
      </c>
      <c r="Y11" s="11">
        <f t="shared" si="6"/>
        <v>36.784999999999997</v>
      </c>
      <c r="Z11" s="11">
        <f t="shared" si="7"/>
        <v>27.844999999999999</v>
      </c>
      <c r="AA11" s="11">
        <f t="shared" si="8"/>
        <v>0.18999999999999773</v>
      </c>
      <c r="AB11" s="11">
        <f t="shared" si="9"/>
        <v>71.965000000000003</v>
      </c>
      <c r="AC11" s="11">
        <f t="shared" si="10"/>
        <v>27.844999999999999</v>
      </c>
    </row>
    <row r="12" spans="1:29" ht="30" customHeight="1" x14ac:dyDescent="0.3">
      <c r="A12" s="9">
        <v>8</v>
      </c>
      <c r="B12" s="57"/>
      <c r="C12" s="57"/>
      <c r="D12" s="58"/>
      <c r="E12" s="47" t="s">
        <v>22</v>
      </c>
      <c r="F12" s="24">
        <v>13.5</v>
      </c>
      <c r="G12" s="47" t="s">
        <v>57</v>
      </c>
      <c r="H12" s="33">
        <v>100</v>
      </c>
      <c r="I12" s="24">
        <f t="shared" si="11"/>
        <v>38.19</v>
      </c>
      <c r="J12" s="24">
        <v>0</v>
      </c>
      <c r="K12" s="24">
        <v>2.2000000000000002</v>
      </c>
      <c r="L12" s="24">
        <v>0.42</v>
      </c>
      <c r="M12" s="24">
        <v>1.07</v>
      </c>
      <c r="N12" s="24">
        <v>6.25</v>
      </c>
      <c r="O12" s="24">
        <v>10.9</v>
      </c>
      <c r="P12" s="24">
        <v>26.81</v>
      </c>
      <c r="Q12" s="24">
        <v>14.16</v>
      </c>
      <c r="R12" s="10"/>
      <c r="S12" s="11">
        <f t="shared" si="0"/>
        <v>100</v>
      </c>
      <c r="T12" s="11">
        <f t="shared" si="1"/>
        <v>97.8</v>
      </c>
      <c r="U12" s="11">
        <f t="shared" si="2"/>
        <v>97.38</v>
      </c>
      <c r="V12" s="11">
        <f t="shared" si="3"/>
        <v>96.31</v>
      </c>
      <c r="W12" s="11">
        <f t="shared" si="4"/>
        <v>90.06</v>
      </c>
      <c r="X12" s="11">
        <f t="shared" si="5"/>
        <v>79.16</v>
      </c>
      <c r="Y12" s="11">
        <f t="shared" si="6"/>
        <v>52.349999999999994</v>
      </c>
      <c r="Z12" s="11">
        <f t="shared" si="7"/>
        <v>38.19</v>
      </c>
      <c r="AA12" s="11">
        <f t="shared" si="8"/>
        <v>0</v>
      </c>
      <c r="AB12" s="11">
        <f t="shared" si="9"/>
        <v>61.81</v>
      </c>
      <c r="AC12" s="11">
        <f t="shared" si="10"/>
        <v>38.19</v>
      </c>
    </row>
    <row r="13" spans="1:29" ht="30" customHeight="1" x14ac:dyDescent="0.3">
      <c r="A13" s="9">
        <v>9</v>
      </c>
      <c r="B13" s="57"/>
      <c r="C13" s="57"/>
      <c r="D13" s="58"/>
      <c r="E13" s="47" t="s">
        <v>22</v>
      </c>
      <c r="F13" s="24">
        <v>15</v>
      </c>
      <c r="G13" s="47" t="s">
        <v>58</v>
      </c>
      <c r="H13" s="33">
        <v>100</v>
      </c>
      <c r="I13" s="24">
        <f t="shared" si="11"/>
        <v>34.89</v>
      </c>
      <c r="J13" s="24">
        <v>0.65</v>
      </c>
      <c r="K13" s="24">
        <v>1.42</v>
      </c>
      <c r="L13" s="24">
        <v>0.23</v>
      </c>
      <c r="M13" s="24">
        <v>1.05</v>
      </c>
      <c r="N13" s="24">
        <v>6.11</v>
      </c>
      <c r="O13" s="24">
        <v>8.6999999999999993</v>
      </c>
      <c r="P13" s="24">
        <v>35.33</v>
      </c>
      <c r="Q13" s="24">
        <v>11.62</v>
      </c>
      <c r="R13" s="10"/>
      <c r="S13" s="11">
        <f t="shared" si="0"/>
        <v>99.35</v>
      </c>
      <c r="T13" s="11">
        <f t="shared" si="1"/>
        <v>97.93</v>
      </c>
      <c r="U13" s="11">
        <f t="shared" si="2"/>
        <v>97.7</v>
      </c>
      <c r="V13" s="11">
        <f t="shared" si="3"/>
        <v>96.65</v>
      </c>
      <c r="W13" s="11">
        <f t="shared" si="4"/>
        <v>90.539999999999992</v>
      </c>
      <c r="X13" s="11">
        <f t="shared" si="5"/>
        <v>81.84</v>
      </c>
      <c r="Y13" s="11">
        <f t="shared" si="6"/>
        <v>46.510000000000005</v>
      </c>
      <c r="Z13" s="11">
        <f t="shared" si="7"/>
        <v>34.89</v>
      </c>
      <c r="AA13" s="11">
        <f t="shared" si="8"/>
        <v>0.65000000000000568</v>
      </c>
      <c r="AB13" s="11">
        <f t="shared" si="9"/>
        <v>64.459999999999994</v>
      </c>
      <c r="AC13" s="11">
        <f t="shared" si="10"/>
        <v>34.89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3"/>
    <mergeCell ref="C5:C13"/>
    <mergeCell ref="D5:D13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topLeftCell="AI1" zoomScale="145" zoomScaleNormal="145" zoomScaleSheetLayoutView="145" workbookViewId="0">
      <selection activeCell="D21" sqref="D21"/>
    </sheetView>
  </sheetViews>
  <sheetFormatPr defaultRowHeight="14.4" x14ac:dyDescent="0.3"/>
  <cols>
    <col min="5" max="12" width="9.6640625" customWidth="1"/>
    <col min="13" max="36" width="9.6640625" bestFit="1" customWidth="1"/>
    <col min="39" max="49" width="9.6640625" bestFit="1" customWidth="1"/>
    <col min="50" max="50" width="10.5546875" bestFit="1" customWidth="1"/>
  </cols>
  <sheetData>
    <row r="1" spans="1:53" x14ac:dyDescent="0.3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3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3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3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3">
      <c r="A5" s="27">
        <v>1</v>
      </c>
      <c r="B5" s="27" t="str">
        <f>GSD!B5</f>
        <v>RLBH-09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3">
      <c r="A6" s="27">
        <v>2</v>
      </c>
      <c r="B6" s="27" t="str">
        <f>B5</f>
        <v>RLBH-09</v>
      </c>
      <c r="C6" s="32">
        <f>GSD!F6</f>
        <v>1.5</v>
      </c>
      <c r="D6" s="27" t="str">
        <f>GSD!E6</f>
        <v>UDS</v>
      </c>
      <c r="E6" s="28">
        <v>27</v>
      </c>
      <c r="F6" s="29">
        <f t="shared" ref="F6:F13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3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3">
      <c r="A7" s="27">
        <v>3</v>
      </c>
      <c r="B7" s="27" t="str">
        <f t="shared" ref="B7:B13" si="2">B6</f>
        <v>RLBH-09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3">
      <c r="A8" s="27">
        <v>4</v>
      </c>
      <c r="B8" s="27" t="str">
        <f t="shared" si="2"/>
        <v>RLBH-09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3">
      <c r="A9" s="27">
        <v>5</v>
      </c>
      <c r="B9" s="27" t="str">
        <f t="shared" si="2"/>
        <v>RLBH-09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3">
      <c r="A10" s="27">
        <v>6</v>
      </c>
      <c r="B10" s="27" t="str">
        <f t="shared" si="2"/>
        <v>RLBH-09</v>
      </c>
      <c r="C10" s="36">
        <f>GSD!F10</f>
        <v>7.5</v>
      </c>
      <c r="D10" s="35" t="str">
        <f>GSD!E10</f>
        <v>UDS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3">
      <c r="A11" s="27">
        <v>7</v>
      </c>
      <c r="B11" s="27" t="str">
        <f t="shared" si="2"/>
        <v>RLBH-09</v>
      </c>
      <c r="C11" s="36">
        <f>GSD!F11</f>
        <v>10.5</v>
      </c>
      <c r="D11" s="35" t="str">
        <f>GSD!E11</f>
        <v>UDS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3">
      <c r="A12" s="27">
        <v>8</v>
      </c>
      <c r="B12" s="27" t="str">
        <f t="shared" si="2"/>
        <v>RLBH-09</v>
      </c>
      <c r="C12" s="36">
        <f>GSD!F12</f>
        <v>13.5</v>
      </c>
      <c r="D12" s="35" t="str">
        <f>GSD!E12</f>
        <v>SPT</v>
      </c>
      <c r="E12" s="36">
        <v>27</v>
      </c>
      <c r="F12" s="37">
        <f t="shared" si="0"/>
        <v>8.5594212700000009E-3</v>
      </c>
      <c r="G12" s="38"/>
      <c r="H12" s="35">
        <v>5.0000000000000001E-4</v>
      </c>
      <c r="I12" s="35">
        <v>1</v>
      </c>
      <c r="J12" s="35">
        <v>2</v>
      </c>
      <c r="K12" s="36">
        <f t="shared" si="1"/>
        <v>0</v>
      </c>
      <c r="L12" s="35">
        <v>0.3</v>
      </c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3">
      <c r="A13" s="27">
        <v>9</v>
      </c>
      <c r="B13" s="27" t="str">
        <f t="shared" si="2"/>
        <v>RLBH-09</v>
      </c>
      <c r="C13" s="36">
        <f>GSD!F13</f>
        <v>15</v>
      </c>
      <c r="D13" s="35" t="str">
        <f>GSD!E13</f>
        <v>SPT</v>
      </c>
      <c r="E13" s="36">
        <v>27</v>
      </c>
      <c r="F13" s="37">
        <f t="shared" si="0"/>
        <v>8.5594212700000009E-3</v>
      </c>
      <c r="G13" s="38"/>
      <c r="H13" s="35">
        <v>5.0000000000000001E-4</v>
      </c>
      <c r="I13" s="35">
        <v>1</v>
      </c>
      <c r="J13" s="35">
        <v>2</v>
      </c>
      <c r="K13" s="36">
        <f t="shared" si="1"/>
        <v>0</v>
      </c>
      <c r="L13" s="35">
        <v>0.3</v>
      </c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4.4" x14ac:dyDescent="0.3"/>
  <sheetData>
    <row r="1" spans="1:6" ht="28.8" x14ac:dyDescent="0.3">
      <c r="A1" s="17" t="s">
        <v>36</v>
      </c>
      <c r="B1" s="17" t="s">
        <v>37</v>
      </c>
      <c r="C1" s="17" t="s">
        <v>38</v>
      </c>
    </row>
    <row r="2" spans="1:6" x14ac:dyDescent="0.3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3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3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3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3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3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3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3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3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3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3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3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3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3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3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3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3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3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3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3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3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3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3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3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3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3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3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3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3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3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3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3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3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3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3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3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3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3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3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3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Y4" zoomScale="130" zoomScaleNormal="130" workbookViewId="0">
      <selection activeCell="AH20" sqref="AH20"/>
    </sheetView>
  </sheetViews>
  <sheetFormatPr defaultRowHeight="14.4" x14ac:dyDescent="0.3"/>
  <sheetData>
    <row r="1" spans="1:49" x14ac:dyDescent="0.3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3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3">
      <c r="A3" s="49">
        <v>1</v>
      </c>
      <c r="B3" s="49" t="str">
        <f>GSD!B5</f>
        <v>RLBH-09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99.82</v>
      </c>
      <c r="Z3" s="53">
        <f>GSD!T5</f>
        <v>99.71</v>
      </c>
      <c r="AA3" s="53">
        <f>GSD!U5</f>
        <v>99.67</v>
      </c>
      <c r="AB3" s="53">
        <f>GSD!V5</f>
        <v>98.63</v>
      </c>
      <c r="AC3" s="53">
        <f>GSD!W5</f>
        <v>86.31</v>
      </c>
      <c r="AD3" s="53">
        <f>GSD!X5</f>
        <v>72.22999999999999</v>
      </c>
      <c r="AE3" s="53">
        <f>GSD!Y5</f>
        <v>43.129999999999995</v>
      </c>
      <c r="AF3" s="53">
        <f>GSD!Z5</f>
        <v>31.419999999999987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/>
      <c r="AU3" s="53"/>
      <c r="AV3" s="53"/>
      <c r="AW3" s="53"/>
    </row>
    <row r="4" spans="1:49" s="41" customFormat="1" x14ac:dyDescent="0.3">
      <c r="A4" s="49">
        <v>2</v>
      </c>
      <c r="B4" s="49" t="str">
        <f>B3</f>
        <v>RLBH-09</v>
      </c>
      <c r="C4" s="50">
        <f>GSD!F6</f>
        <v>1.5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98.42</v>
      </c>
      <c r="Z4" s="53">
        <f>GSD!T6</f>
        <v>97.7</v>
      </c>
      <c r="AA4" s="53">
        <f>GSD!U6</f>
        <v>97.6</v>
      </c>
      <c r="AB4" s="53">
        <f>GSD!V6</f>
        <v>96.635000000000005</v>
      </c>
      <c r="AC4" s="53">
        <f>GSD!W6</f>
        <v>82.064999999999998</v>
      </c>
      <c r="AD4" s="53">
        <f>GSD!X6</f>
        <v>73.325000000000003</v>
      </c>
      <c r="AE4" s="53">
        <f>GSD!Y6</f>
        <v>49.14</v>
      </c>
      <c r="AF4" s="53">
        <f>GSD!Z6</f>
        <v>41.72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/>
      <c r="AU4" s="53"/>
      <c r="AV4" s="53"/>
      <c r="AW4" s="53"/>
    </row>
    <row r="5" spans="1:49" s="41" customFormat="1" x14ac:dyDescent="0.3">
      <c r="A5" s="49">
        <v>3</v>
      </c>
      <c r="B5" s="49" t="str">
        <f t="shared" ref="B5:B11" si="0">B4</f>
        <v>RLBH-09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93.14</v>
      </c>
      <c r="Z5" s="53">
        <f>GSD!T7</f>
        <v>90.11</v>
      </c>
      <c r="AA5" s="53">
        <f>GSD!U7</f>
        <v>89.5</v>
      </c>
      <c r="AB5" s="53">
        <f>GSD!V7</f>
        <v>86.74</v>
      </c>
      <c r="AC5" s="53">
        <f>GSD!W7</f>
        <v>75.17</v>
      </c>
      <c r="AD5" s="53">
        <f>GSD!X7</f>
        <v>68.61</v>
      </c>
      <c r="AE5" s="53">
        <f>GSD!Y7</f>
        <v>39.120000000000005</v>
      </c>
      <c r="AF5" s="53">
        <f>GSD!Z7</f>
        <v>29.230000000000008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/>
      <c r="AU5" s="53"/>
      <c r="AV5" s="53"/>
      <c r="AW5" s="53"/>
    </row>
    <row r="6" spans="1:49" s="41" customFormat="1" x14ac:dyDescent="0.3">
      <c r="A6" s="49">
        <v>4</v>
      </c>
      <c r="B6" s="49" t="str">
        <f t="shared" si="0"/>
        <v>RLBH-09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0</v>
      </c>
      <c r="M6" s="52">
        <f>HYD!AA8</f>
        <v>0</v>
      </c>
      <c r="N6" s="52">
        <f>HYD!AB8</f>
        <v>0</v>
      </c>
      <c r="O6" s="52">
        <f>HYD!AC8</f>
        <v>0</v>
      </c>
      <c r="P6" s="52">
        <f>HYD!AD8</f>
        <v>0</v>
      </c>
      <c r="Q6" s="52">
        <f>HYD!AE8</f>
        <v>0</v>
      </c>
      <c r="R6" s="52">
        <f>HYD!AF8</f>
        <v>0</v>
      </c>
      <c r="S6" s="52">
        <f>HYD!AG8</f>
        <v>0</v>
      </c>
      <c r="T6" s="52">
        <f>HYD!AH8</f>
        <v>0</v>
      </c>
      <c r="U6" s="52">
        <f>HYD!AI8</f>
        <v>0</v>
      </c>
      <c r="V6" s="52">
        <f>HYD!AJ8</f>
        <v>0</v>
      </c>
      <c r="W6" s="52">
        <f>HYD!AK8</f>
        <v>0</v>
      </c>
      <c r="X6" s="52">
        <f>HYD!AL8</f>
        <v>0</v>
      </c>
      <c r="Y6" s="53">
        <f>GSD!S8</f>
        <v>100</v>
      </c>
      <c r="Z6" s="53">
        <f>GSD!T8</f>
        <v>98.984999999999999</v>
      </c>
      <c r="AA6" s="53">
        <f>GSD!U8</f>
        <v>98.83</v>
      </c>
      <c r="AB6" s="53">
        <f>GSD!V8</f>
        <v>97.87</v>
      </c>
      <c r="AC6" s="53">
        <f>GSD!W8</f>
        <v>87.43</v>
      </c>
      <c r="AD6" s="53">
        <f>GSD!X8</f>
        <v>73.710000000000008</v>
      </c>
      <c r="AE6" s="53">
        <f>GSD!Y8</f>
        <v>42.625</v>
      </c>
      <c r="AF6" s="53">
        <f>GSD!Z8</f>
        <v>30.620000000000005</v>
      </c>
      <c r="AG6" s="53">
        <f>HYD!AM8</f>
        <v>0</v>
      </c>
      <c r="AH6" s="53">
        <f>HYD!AN8</f>
        <v>0</v>
      </c>
      <c r="AI6" s="53">
        <f>HYD!AO8</f>
        <v>0</v>
      </c>
      <c r="AJ6" s="53">
        <f>HYD!AP8</f>
        <v>0</v>
      </c>
      <c r="AK6" s="53">
        <f>HYD!AQ8</f>
        <v>0</v>
      </c>
      <c r="AL6" s="53">
        <f>HYD!AR8</f>
        <v>0</v>
      </c>
      <c r="AM6" s="53">
        <f>HYD!AS8</f>
        <v>0</v>
      </c>
      <c r="AN6" s="53">
        <f>HYD!AT8</f>
        <v>0</v>
      </c>
      <c r="AO6" s="53">
        <f>HYD!AU8</f>
        <v>0</v>
      </c>
      <c r="AP6" s="53">
        <f>HYD!AV8</f>
        <v>0</v>
      </c>
      <c r="AQ6" s="53">
        <f>HYD!AW8</f>
        <v>0</v>
      </c>
      <c r="AR6" s="53">
        <f>HYD!AX8</f>
        <v>0</v>
      </c>
      <c r="AS6" s="53">
        <f>HYD!AY8</f>
        <v>0</v>
      </c>
      <c r="AT6" s="53"/>
      <c r="AU6" s="53"/>
      <c r="AV6" s="53"/>
      <c r="AW6" s="53"/>
    </row>
    <row r="7" spans="1:49" s="41" customFormat="1" x14ac:dyDescent="0.3">
      <c r="A7" s="49">
        <v>5</v>
      </c>
      <c r="B7" s="49" t="str">
        <f t="shared" si="0"/>
        <v>RLBH-09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87.789999999999992</v>
      </c>
      <c r="Z7" s="53">
        <f>GSD!T9</f>
        <v>85.6</v>
      </c>
      <c r="AA7" s="53">
        <f>GSD!U9</f>
        <v>85.11</v>
      </c>
      <c r="AB7" s="53">
        <f>GSD!V9</f>
        <v>84.24</v>
      </c>
      <c r="AC7" s="53">
        <f>GSD!W9</f>
        <v>75.289999999999992</v>
      </c>
      <c r="AD7" s="53">
        <f>GSD!X9</f>
        <v>66.11</v>
      </c>
      <c r="AE7" s="53">
        <f>GSD!Y9</f>
        <v>44.89</v>
      </c>
      <c r="AF7" s="53">
        <f>GSD!Z9</f>
        <v>33.980000000000004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/>
      <c r="AU7" s="53"/>
      <c r="AV7" s="53"/>
      <c r="AW7" s="53"/>
    </row>
    <row r="8" spans="1:49" s="41" customFormat="1" x14ac:dyDescent="0.3">
      <c r="A8" s="49">
        <v>6</v>
      </c>
      <c r="B8" s="49" t="str">
        <f t="shared" si="0"/>
        <v>RLBH-09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0</v>
      </c>
      <c r="M8" s="52">
        <f>HYD!AA10</f>
        <v>0</v>
      </c>
      <c r="N8" s="52">
        <f>HYD!AB10</f>
        <v>0</v>
      </c>
      <c r="O8" s="52">
        <f>HYD!AC10</f>
        <v>0</v>
      </c>
      <c r="P8" s="52">
        <f>HYD!AD10</f>
        <v>0</v>
      </c>
      <c r="Q8" s="52">
        <f>HYD!AE10</f>
        <v>0</v>
      </c>
      <c r="R8" s="52">
        <f>HYD!AF10</f>
        <v>0</v>
      </c>
      <c r="S8" s="52">
        <f>HYD!AG10</f>
        <v>0</v>
      </c>
      <c r="T8" s="52">
        <f>HYD!AH10</f>
        <v>0</v>
      </c>
      <c r="U8" s="52">
        <f>HYD!AI10</f>
        <v>0</v>
      </c>
      <c r="V8" s="52">
        <f>HYD!AJ10</f>
        <v>0</v>
      </c>
      <c r="W8" s="52">
        <f>HYD!AK10</f>
        <v>0</v>
      </c>
      <c r="X8" s="52">
        <f>HYD!AL10</f>
        <v>0</v>
      </c>
      <c r="Y8" s="53">
        <f>GSD!S10</f>
        <v>98.36</v>
      </c>
      <c r="Z8" s="53">
        <f>GSD!T10</f>
        <v>96.35</v>
      </c>
      <c r="AA8" s="53">
        <f>GSD!U10</f>
        <v>95.805000000000007</v>
      </c>
      <c r="AB8" s="53">
        <f>GSD!V10</f>
        <v>93.284999999999997</v>
      </c>
      <c r="AC8" s="53">
        <f>GSD!W10</f>
        <v>81.490000000000009</v>
      </c>
      <c r="AD8" s="53">
        <f>GSD!X10</f>
        <v>74.674999999999997</v>
      </c>
      <c r="AE8" s="53">
        <f>GSD!Y10</f>
        <v>51.715000000000003</v>
      </c>
      <c r="AF8" s="53">
        <f>GSD!Z10</f>
        <v>46.765000000000001</v>
      </c>
      <c r="AG8" s="53">
        <f>HYD!AM10</f>
        <v>0</v>
      </c>
      <c r="AH8" s="53">
        <f>HYD!AN10</f>
        <v>0</v>
      </c>
      <c r="AI8" s="53">
        <f>HYD!AO10</f>
        <v>0</v>
      </c>
      <c r="AJ8" s="53">
        <f>HYD!AP10</f>
        <v>0</v>
      </c>
      <c r="AK8" s="53">
        <f>HYD!AQ10</f>
        <v>0</v>
      </c>
      <c r="AL8" s="53">
        <f>HYD!AR10</f>
        <v>0</v>
      </c>
      <c r="AM8" s="53">
        <f>HYD!AS10</f>
        <v>0</v>
      </c>
      <c r="AN8" s="53">
        <f>HYD!AT10</f>
        <v>0</v>
      </c>
      <c r="AO8" s="53">
        <f>HYD!AU10</f>
        <v>0</v>
      </c>
      <c r="AP8" s="53">
        <f>HYD!AV10</f>
        <v>0</v>
      </c>
      <c r="AQ8" s="53">
        <f>HYD!AW10</f>
        <v>0</v>
      </c>
      <c r="AR8" s="53">
        <f>HYD!AX10</f>
        <v>0</v>
      </c>
      <c r="AS8" s="53">
        <f>HYD!AY10</f>
        <v>0</v>
      </c>
      <c r="AT8" s="53"/>
      <c r="AU8" s="53"/>
      <c r="AV8" s="53"/>
      <c r="AW8" s="53"/>
    </row>
    <row r="9" spans="1:49" s="41" customFormat="1" x14ac:dyDescent="0.3">
      <c r="A9" s="49">
        <v>7</v>
      </c>
      <c r="B9" s="49" t="str">
        <f t="shared" si="0"/>
        <v>RLBH-09</v>
      </c>
      <c r="C9" s="50">
        <f>GSD!F11</f>
        <v>10.5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0</v>
      </c>
      <c r="M9" s="52">
        <f>HYD!AA11</f>
        <v>0</v>
      </c>
      <c r="N9" s="52">
        <f>HYD!AB11</f>
        <v>0</v>
      </c>
      <c r="O9" s="52">
        <f>HYD!AC11</f>
        <v>0</v>
      </c>
      <c r="P9" s="52">
        <f>HYD!AD11</f>
        <v>0</v>
      </c>
      <c r="Q9" s="52">
        <f>HYD!AE11</f>
        <v>0</v>
      </c>
      <c r="R9" s="52">
        <f>HYD!AF11</f>
        <v>0</v>
      </c>
      <c r="S9" s="52">
        <f>HYD!AG11</f>
        <v>0</v>
      </c>
      <c r="T9" s="52">
        <f>HYD!AH11</f>
        <v>0</v>
      </c>
      <c r="U9" s="52">
        <f>HYD!AI11</f>
        <v>0</v>
      </c>
      <c r="V9" s="52">
        <f>HYD!AJ11</f>
        <v>0</v>
      </c>
      <c r="W9" s="52">
        <f>HYD!AK11</f>
        <v>0</v>
      </c>
      <c r="X9" s="52">
        <f>HYD!AL11</f>
        <v>0</v>
      </c>
      <c r="Y9" s="53">
        <f>GSD!S11</f>
        <v>99.81</v>
      </c>
      <c r="Z9" s="53">
        <f>GSD!T11</f>
        <v>98.63</v>
      </c>
      <c r="AA9" s="53">
        <f>GSD!U11</f>
        <v>98.25</v>
      </c>
      <c r="AB9" s="53">
        <f>GSD!V11</f>
        <v>96.96</v>
      </c>
      <c r="AC9" s="53">
        <f>GSD!W11</f>
        <v>84.144999999999996</v>
      </c>
      <c r="AD9" s="53">
        <f>GSD!X11</f>
        <v>69.454999999999998</v>
      </c>
      <c r="AE9" s="53">
        <f>GSD!Y11</f>
        <v>36.784999999999997</v>
      </c>
      <c r="AF9" s="53">
        <f>GSD!Z11</f>
        <v>27.844999999999999</v>
      </c>
      <c r="AG9" s="53">
        <f>HYD!AM11</f>
        <v>0</v>
      </c>
      <c r="AH9" s="53">
        <f>HYD!AN11</f>
        <v>0</v>
      </c>
      <c r="AI9" s="53">
        <f>HYD!AO11</f>
        <v>0</v>
      </c>
      <c r="AJ9" s="53">
        <f>HYD!AP11</f>
        <v>0</v>
      </c>
      <c r="AK9" s="53">
        <f>HYD!AQ11</f>
        <v>0</v>
      </c>
      <c r="AL9" s="53">
        <f>HYD!AR11</f>
        <v>0</v>
      </c>
      <c r="AM9" s="53">
        <f>HYD!AS11</f>
        <v>0</v>
      </c>
      <c r="AN9" s="53">
        <f>HYD!AT11</f>
        <v>0</v>
      </c>
      <c r="AO9" s="53">
        <f>HYD!AU11</f>
        <v>0</v>
      </c>
      <c r="AP9" s="53">
        <f>HYD!AV11</f>
        <v>0</v>
      </c>
      <c r="AQ9" s="53">
        <f>HYD!AW11</f>
        <v>0</v>
      </c>
      <c r="AR9" s="53">
        <f>HYD!AX11</f>
        <v>0</v>
      </c>
      <c r="AS9" s="53">
        <f>HYD!AY11</f>
        <v>0</v>
      </c>
      <c r="AT9" s="55"/>
      <c r="AU9" s="55"/>
      <c r="AV9" s="55"/>
      <c r="AW9" s="55"/>
    </row>
    <row r="10" spans="1:49" s="41" customFormat="1" x14ac:dyDescent="0.3">
      <c r="A10" s="49">
        <v>8</v>
      </c>
      <c r="B10" s="49" t="str">
        <f t="shared" si="0"/>
        <v>RLBH-09</v>
      </c>
      <c r="C10" s="50">
        <f>GSD!F12</f>
        <v>13.5</v>
      </c>
      <c r="D10" s="51">
        <v>4.75</v>
      </c>
      <c r="E10" s="51">
        <v>2</v>
      </c>
      <c r="F10" s="51">
        <v>1.18</v>
      </c>
      <c r="G10" s="51">
        <v>0.6</v>
      </c>
      <c r="H10" s="51">
        <v>0.42499999999999999</v>
      </c>
      <c r="I10" s="51">
        <v>0.3</v>
      </c>
      <c r="J10" s="51">
        <v>0.15</v>
      </c>
      <c r="K10" s="51">
        <v>7.4999999999999997E-2</v>
      </c>
      <c r="L10" s="52">
        <f>HYD!Z12</f>
        <v>0</v>
      </c>
      <c r="M10" s="52">
        <f>HYD!AA12</f>
        <v>0</v>
      </c>
      <c r="N10" s="52">
        <f>HYD!AB12</f>
        <v>0</v>
      </c>
      <c r="O10" s="52">
        <f>HYD!AC12</f>
        <v>0</v>
      </c>
      <c r="P10" s="52">
        <f>HYD!AD12</f>
        <v>0</v>
      </c>
      <c r="Q10" s="52">
        <f>HYD!AE12</f>
        <v>0</v>
      </c>
      <c r="R10" s="52">
        <f>HYD!AF12</f>
        <v>0</v>
      </c>
      <c r="S10" s="52">
        <f>HYD!AG12</f>
        <v>0</v>
      </c>
      <c r="T10" s="52">
        <f>HYD!AH12</f>
        <v>0</v>
      </c>
      <c r="U10" s="52">
        <f>HYD!AI12</f>
        <v>0</v>
      </c>
      <c r="V10" s="52">
        <f>HYD!AJ12</f>
        <v>0</v>
      </c>
      <c r="W10" s="52">
        <f>HYD!AK12</f>
        <v>0</v>
      </c>
      <c r="X10" s="52">
        <f>HYD!AL12</f>
        <v>0</v>
      </c>
      <c r="Y10" s="53">
        <f>GSD!S12</f>
        <v>100</v>
      </c>
      <c r="Z10" s="53">
        <f>GSD!T12</f>
        <v>97.8</v>
      </c>
      <c r="AA10" s="53">
        <f>GSD!U12</f>
        <v>97.38</v>
      </c>
      <c r="AB10" s="53">
        <f>GSD!V12</f>
        <v>96.31</v>
      </c>
      <c r="AC10" s="53">
        <f>GSD!W12</f>
        <v>90.06</v>
      </c>
      <c r="AD10" s="53">
        <f>GSD!X12</f>
        <v>79.16</v>
      </c>
      <c r="AE10" s="53">
        <f>GSD!Y12</f>
        <v>52.349999999999994</v>
      </c>
      <c r="AF10" s="53">
        <f>GSD!Z12</f>
        <v>38.19</v>
      </c>
      <c r="AG10" s="53">
        <f>HYD!AM12</f>
        <v>0</v>
      </c>
      <c r="AH10" s="53">
        <f>HYD!AN12</f>
        <v>0</v>
      </c>
      <c r="AI10" s="53">
        <f>HYD!AO12</f>
        <v>0</v>
      </c>
      <c r="AJ10" s="53">
        <f>HYD!AP12</f>
        <v>0</v>
      </c>
      <c r="AK10" s="53">
        <f>HYD!AQ12</f>
        <v>0</v>
      </c>
      <c r="AL10" s="53">
        <f>HYD!AR12</f>
        <v>0</v>
      </c>
      <c r="AM10" s="53">
        <f>HYD!AS12</f>
        <v>0</v>
      </c>
      <c r="AN10" s="53">
        <f>HYD!AT12</f>
        <v>0</v>
      </c>
      <c r="AO10" s="53">
        <f>HYD!AU12</f>
        <v>0</v>
      </c>
      <c r="AP10" s="53">
        <f>HYD!AV12</f>
        <v>0</v>
      </c>
      <c r="AQ10" s="53">
        <f>HYD!AW12</f>
        <v>0</v>
      </c>
      <c r="AR10" s="53">
        <f>HYD!AX12</f>
        <v>0</v>
      </c>
      <c r="AS10" s="53">
        <f>HYD!AY12</f>
        <v>0</v>
      </c>
      <c r="AT10" s="55"/>
      <c r="AU10" s="55"/>
      <c r="AV10" s="55"/>
      <c r="AW10" s="55"/>
    </row>
    <row r="11" spans="1:49" s="41" customFormat="1" x14ac:dyDescent="0.3">
      <c r="A11" s="49">
        <v>9</v>
      </c>
      <c r="B11" s="49" t="str">
        <f t="shared" si="0"/>
        <v>RLBH-09</v>
      </c>
      <c r="C11" s="50">
        <f>GSD!F13</f>
        <v>15</v>
      </c>
      <c r="D11" s="51">
        <v>4.75</v>
      </c>
      <c r="E11" s="51">
        <v>2</v>
      </c>
      <c r="F11" s="51">
        <v>1.18</v>
      </c>
      <c r="G11" s="51">
        <v>0.6</v>
      </c>
      <c r="H11" s="51">
        <v>0.42499999999999999</v>
      </c>
      <c r="I11" s="51">
        <v>0.3</v>
      </c>
      <c r="J11" s="51">
        <v>0.15</v>
      </c>
      <c r="K11" s="51">
        <v>7.4999999999999997E-2</v>
      </c>
      <c r="L11" s="52">
        <f>HYD!Z13</f>
        <v>0</v>
      </c>
      <c r="M11" s="52">
        <f>HYD!AA13</f>
        <v>0</v>
      </c>
      <c r="N11" s="52">
        <f>HYD!AB13</f>
        <v>0</v>
      </c>
      <c r="O11" s="52">
        <f>HYD!AC13</f>
        <v>0</v>
      </c>
      <c r="P11" s="52">
        <f>HYD!AD13</f>
        <v>0</v>
      </c>
      <c r="Q11" s="52">
        <f>HYD!AE13</f>
        <v>0</v>
      </c>
      <c r="R11" s="52">
        <f>HYD!AF13</f>
        <v>0</v>
      </c>
      <c r="S11" s="52">
        <f>HYD!AG13</f>
        <v>0</v>
      </c>
      <c r="T11" s="52">
        <f>HYD!AH13</f>
        <v>0</v>
      </c>
      <c r="U11" s="52">
        <f>HYD!AI13</f>
        <v>0</v>
      </c>
      <c r="V11" s="52">
        <f>HYD!AJ13</f>
        <v>0</v>
      </c>
      <c r="W11" s="52">
        <f>HYD!AK13</f>
        <v>0</v>
      </c>
      <c r="X11" s="52">
        <f>HYD!AL13</f>
        <v>0</v>
      </c>
      <c r="Y11" s="53">
        <f>GSD!S13</f>
        <v>99.35</v>
      </c>
      <c r="Z11" s="53">
        <f>GSD!T13</f>
        <v>97.93</v>
      </c>
      <c r="AA11" s="53">
        <f>GSD!U13</f>
        <v>97.7</v>
      </c>
      <c r="AB11" s="53">
        <f>GSD!V13</f>
        <v>96.65</v>
      </c>
      <c r="AC11" s="53">
        <f>GSD!W13</f>
        <v>90.539999999999992</v>
      </c>
      <c r="AD11" s="53">
        <f>GSD!X13</f>
        <v>81.84</v>
      </c>
      <c r="AE11" s="53">
        <f>GSD!Y13</f>
        <v>46.510000000000005</v>
      </c>
      <c r="AF11" s="53">
        <f>GSD!Z13</f>
        <v>34.89</v>
      </c>
      <c r="AG11" s="53">
        <f>HYD!AM13</f>
        <v>0</v>
      </c>
      <c r="AH11" s="53">
        <f>HYD!AN13</f>
        <v>0</v>
      </c>
      <c r="AI11" s="53">
        <f>HYD!AO13</f>
        <v>0</v>
      </c>
      <c r="AJ11" s="53">
        <f>HYD!AP13</f>
        <v>0</v>
      </c>
      <c r="AK11" s="53">
        <f>HYD!AQ13</f>
        <v>0</v>
      </c>
      <c r="AL11" s="53">
        <f>HYD!AR13</f>
        <v>0</v>
      </c>
      <c r="AM11" s="53">
        <f>HYD!AS13</f>
        <v>0</v>
      </c>
      <c r="AN11" s="53">
        <f>HYD!AT13</f>
        <v>0</v>
      </c>
      <c r="AO11" s="53">
        <f>HYD!AU13</f>
        <v>0</v>
      </c>
      <c r="AP11" s="53">
        <f>HYD!AV13</f>
        <v>0</v>
      </c>
      <c r="AQ11" s="53">
        <f>HYD!AW13</f>
        <v>0</v>
      </c>
      <c r="AR11" s="53">
        <f>HYD!AX13</f>
        <v>0</v>
      </c>
      <c r="AS11" s="53">
        <f>HYD!AY13</f>
        <v>0</v>
      </c>
      <c r="AT11" s="55"/>
      <c r="AU11" s="55"/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2026-09-08T07:36:48Z</dcterms:modified>
</cp:coreProperties>
</file>