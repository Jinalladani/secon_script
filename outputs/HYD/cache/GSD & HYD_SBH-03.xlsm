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2\18. SH-781_214.52km (SBH-03 &amp; SBH-04)\GSD &amp; HYD_TEST\GSD &amp; HYD_SBH-03\"/>
    </mc:Choice>
  </mc:AlternateContent>
  <xr:revisionPtr revIDLastSave="0" documentId="13_ncr:1_{EB304015-BC7B-4C99-A939-F5C42DB556AE}" xr6:coauthVersionLast="47" xr6:coauthVersionMax="47" xr10:uidLastSave="{00000000-0000-0000-0000-000000000000}"/>
  <bookViews>
    <workbookView xWindow="28680" yWindow="-120" windowWidth="20730" windowHeight="11040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0" i="7" l="1"/>
  <c r="Y10" i="7" s="1"/>
  <c r="U10" i="7"/>
  <c r="T10" i="7"/>
  <c r="S10" i="7"/>
  <c r="R10" i="7"/>
  <c r="Q10" i="7"/>
  <c r="X10" i="7" s="1"/>
  <c r="I10" i="7"/>
  <c r="V9" i="7"/>
  <c r="Y9" i="7" s="1"/>
  <c r="U9" i="7"/>
  <c r="T9" i="7"/>
  <c r="S9" i="7"/>
  <c r="R9" i="7"/>
  <c r="Q9" i="7"/>
  <c r="W9" i="7" s="1"/>
  <c r="I9" i="7"/>
  <c r="V12" i="7"/>
  <c r="Y12" i="7" s="1"/>
  <c r="U12" i="7"/>
  <c r="T12" i="7"/>
  <c r="S12" i="7"/>
  <c r="R12" i="7"/>
  <c r="Q12" i="7"/>
  <c r="W12" i="7" s="1"/>
  <c r="I12" i="7"/>
  <c r="V11" i="7"/>
  <c r="Y11" i="7" s="1"/>
  <c r="U11" i="7"/>
  <c r="T11" i="7"/>
  <c r="S11" i="7"/>
  <c r="R11" i="7"/>
  <c r="Q11" i="7"/>
  <c r="I11" i="7"/>
  <c r="C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C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C25" i="8"/>
  <c r="D25" i="8"/>
  <c r="F25" i="8"/>
  <c r="K25" i="8"/>
  <c r="C24" i="8"/>
  <c r="D24" i="8"/>
  <c r="F24" i="8"/>
  <c r="K24" i="8"/>
  <c r="W22" i="6"/>
  <c r="X22" i="6"/>
  <c r="Y22" i="6"/>
  <c r="Z22" i="6"/>
  <c r="AA22" i="6"/>
  <c r="X23" i="6"/>
  <c r="Y23" i="6"/>
  <c r="Z23" i="6"/>
  <c r="AA23" i="6"/>
  <c r="AB23" i="6"/>
  <c r="I8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K23" i="8"/>
  <c r="F23" i="8"/>
  <c r="D23" i="8"/>
  <c r="C23" i="8"/>
  <c r="K22" i="8"/>
  <c r="F22" i="8"/>
  <c r="D22" i="8"/>
  <c r="C22" i="8"/>
  <c r="K21" i="8"/>
  <c r="F21" i="8"/>
  <c r="D21" i="8"/>
  <c r="C21" i="8"/>
  <c r="K20" i="8"/>
  <c r="F20" i="8"/>
  <c r="D20" i="8"/>
  <c r="C20" i="8"/>
  <c r="K19" i="8"/>
  <c r="F19" i="8"/>
  <c r="D19" i="8"/>
  <c r="C19" i="8"/>
  <c r="K18" i="8"/>
  <c r="F18" i="8"/>
  <c r="D18" i="8"/>
  <c r="C18" i="8"/>
  <c r="K17" i="8"/>
  <c r="F17" i="8"/>
  <c r="D17" i="8"/>
  <c r="C17" i="8"/>
  <c r="AA21" i="6"/>
  <c r="Z21" i="6"/>
  <c r="Y21" i="6"/>
  <c r="X21" i="6"/>
  <c r="AA20" i="6"/>
  <c r="Z20" i="6"/>
  <c r="Y20" i="6"/>
  <c r="X20" i="6"/>
  <c r="AA19" i="6"/>
  <c r="Z19" i="6"/>
  <c r="Y19" i="6"/>
  <c r="X19" i="6"/>
  <c r="AA18" i="6"/>
  <c r="Z18" i="6"/>
  <c r="Y18" i="6"/>
  <c r="X18" i="6"/>
  <c r="W18" i="6"/>
  <c r="AB17" i="6"/>
  <c r="AA17" i="6"/>
  <c r="Z17" i="6"/>
  <c r="Y17" i="6"/>
  <c r="X17" i="6"/>
  <c r="AA16" i="6"/>
  <c r="Z16" i="6"/>
  <c r="Y16" i="6"/>
  <c r="X16" i="6"/>
  <c r="AA15" i="6"/>
  <c r="Z15" i="6"/>
  <c r="Y15" i="6"/>
  <c r="X15" i="6"/>
  <c r="W15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W10" i="7" l="1"/>
  <c r="X9" i="7"/>
  <c r="X11" i="7"/>
  <c r="X12" i="7"/>
  <c r="W11" i="7"/>
  <c r="AB22" i="6"/>
  <c r="AB15" i="6"/>
  <c r="AB16" i="6"/>
  <c r="W16" i="6"/>
  <c r="W20" i="6"/>
  <c r="AB19" i="6"/>
  <c r="W17" i="6"/>
  <c r="W19" i="6"/>
  <c r="AB21" i="6"/>
  <c r="W21" i="6"/>
  <c r="AB18" i="6"/>
  <c r="AB20" i="6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AA14" i="6" l="1"/>
  <c r="Z14" i="6"/>
  <c r="Y14" i="6"/>
  <c r="X14" i="6"/>
  <c r="AA13" i="6"/>
  <c r="Z13" i="6"/>
  <c r="Y13" i="6"/>
  <c r="X13" i="6"/>
  <c r="AA12" i="6"/>
  <c r="Z12" i="6"/>
  <c r="Y12" i="6"/>
  <c r="X12" i="6"/>
  <c r="AA11" i="6"/>
  <c r="Z11" i="6"/>
  <c r="Y11" i="6"/>
  <c r="X11" i="6"/>
  <c r="AA10" i="6"/>
  <c r="Z10" i="6"/>
  <c r="Y10" i="6"/>
  <c r="X10" i="6"/>
  <c r="AA9" i="6"/>
  <c r="Z9" i="6"/>
  <c r="Y9" i="6"/>
  <c r="X9" i="6"/>
  <c r="AA8" i="6"/>
  <c r="Z8" i="6"/>
  <c r="Y8" i="6"/>
  <c r="X8" i="6"/>
  <c r="AA7" i="6"/>
  <c r="Z7" i="6"/>
  <c r="Y7" i="6"/>
  <c r="X7" i="6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W8" i="6"/>
  <c r="W9" i="6"/>
  <c r="W11" i="6"/>
  <c r="W14" i="6"/>
  <c r="W10" i="6"/>
  <c r="W4" i="6"/>
  <c r="W6" i="7"/>
  <c r="X6" i="7"/>
  <c r="W12" i="6"/>
  <c r="W5" i="6"/>
  <c r="X7" i="7"/>
  <c r="W7" i="7"/>
  <c r="W13" i="6"/>
  <c r="Y6" i="7"/>
  <c r="AB4" i="6"/>
  <c r="AB5" i="6"/>
  <c r="Y7" i="7"/>
  <c r="Y8" i="7"/>
  <c r="AB6" i="6"/>
  <c r="AB7" i="6"/>
  <c r="AB8" i="6"/>
  <c r="AB9" i="6"/>
  <c r="AB10" i="6"/>
  <c r="AB11" i="6"/>
  <c r="AB12" i="6"/>
  <c r="AB13" i="6"/>
  <c r="AB14" i="6"/>
</calcChain>
</file>

<file path=xl/sharedStrings.xml><?xml version="1.0" encoding="utf-8"?>
<sst xmlns="http://schemas.openxmlformats.org/spreadsheetml/2006/main" count="72" uniqueCount="49">
  <si>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</si>
  <si>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</si>
  <si>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</si>
  <si>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</si>
  <si>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</si>
  <si>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</si>
  <si>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</si>
  <si>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</si>
  <si>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</si>
  <si>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</si>
  <si>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</si>
  <si>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</si>
  <si>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</si>
  <si>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</si>
  <si>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</si>
  <si>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</si>
  <si>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</si>
  <si>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</si>
  <si>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</si>
  <si>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</si>
  <si>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</si>
  <si>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</si>
  <si>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</si>
  <si>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</si>
  <si>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</si>
  <si>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</si>
  <si>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</si>
  <si>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</si>
  <si>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</si>
  <si>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</si>
  <si>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</si>
  <si>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</si>
  <si>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</si>
  <si>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</si>
  <si>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</si>
  <si>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</si>
  <si>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</si>
  <si>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</si>
  <si>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</si>
  <si>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</si>
  <si>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</si>
  <si>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</si>
  <si>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</si>
  <si>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</si>
  <si>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</si>
  <si>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</si>
  <si>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</si>
  <si>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</si>
  <si>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SBH-03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</si>
</sst>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98.99</c:v>
                </c:pt>
                <c:pt idx="1">
                  <c:v>92.37</c:v>
                </c:pt>
                <c:pt idx="2">
                  <c:v>70.92</c:v>
                </c:pt>
                <c:pt idx="3">
                  <c:v>48.39</c:v>
                </c:pt>
                <c:pt idx="4">
                  <c:v>45.94</c:v>
                </c:pt>
                <c:pt idx="5">
                  <c:v>40.18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92.59</c:v>
                </c:pt>
                <c:pt idx="1">
                  <c:v>89.89</c:v>
                </c:pt>
                <c:pt idx="2">
                  <c:v>81.430000000000007</c:v>
                </c:pt>
                <c:pt idx="3">
                  <c:v>65.39</c:v>
                </c:pt>
                <c:pt idx="4">
                  <c:v>63.41</c:v>
                </c:pt>
                <c:pt idx="5">
                  <c:v>59.190000000000012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99.72</c:v>
                </c:pt>
                <c:pt idx="1">
                  <c:v>98.18</c:v>
                </c:pt>
                <c:pt idx="2">
                  <c:v>87.65</c:v>
                </c:pt>
                <c:pt idx="3">
                  <c:v>69.72999999999999</c:v>
                </c:pt>
                <c:pt idx="4">
                  <c:v>67.289999999999992</c:v>
                </c:pt>
                <c:pt idx="5">
                  <c:v>62.69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98.56</c:v>
                </c:pt>
                <c:pt idx="1">
                  <c:v>93.960000000000008</c:v>
                </c:pt>
                <c:pt idx="2">
                  <c:v>72.48</c:v>
                </c:pt>
                <c:pt idx="3">
                  <c:v>48.09</c:v>
                </c:pt>
                <c:pt idx="4">
                  <c:v>45.870000000000005</c:v>
                </c:pt>
                <c:pt idx="5">
                  <c:v>40.06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98.99</c:v>
                </c:pt>
                <c:pt idx="1">
                  <c:v>92.37</c:v>
                </c:pt>
                <c:pt idx="2">
                  <c:v>70.92</c:v>
                </c:pt>
                <c:pt idx="3">
                  <c:v>48.39</c:v>
                </c:pt>
                <c:pt idx="4">
                  <c:v>45.94</c:v>
                </c:pt>
                <c:pt idx="5">
                  <c:v>40.18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92.59</c:v>
                </c:pt>
                <c:pt idx="1">
                  <c:v>89.89</c:v>
                </c:pt>
                <c:pt idx="2">
                  <c:v>81.430000000000007</c:v>
                </c:pt>
                <c:pt idx="3">
                  <c:v>65.39</c:v>
                </c:pt>
                <c:pt idx="4">
                  <c:v>63.41</c:v>
                </c:pt>
                <c:pt idx="5">
                  <c:v>59.190000000000012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2.00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99.72</c:v>
                </c:pt>
                <c:pt idx="1">
                  <c:v>98.18</c:v>
                </c:pt>
                <c:pt idx="2">
                  <c:v>87.65</c:v>
                </c:pt>
                <c:pt idx="3">
                  <c:v>69.72999999999999</c:v>
                </c:pt>
                <c:pt idx="4">
                  <c:v>67.289999999999992</c:v>
                </c:pt>
                <c:pt idx="5">
                  <c:v>62.69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98.56</c:v>
                </c:pt>
                <c:pt idx="1">
                  <c:v>93.960000000000008</c:v>
                </c:pt>
                <c:pt idx="2">
                  <c:v>72.48</c:v>
                </c:pt>
                <c:pt idx="3">
                  <c:v>48.09</c:v>
                </c:pt>
                <c:pt idx="4">
                  <c:v>45.870000000000005</c:v>
                </c:pt>
                <c:pt idx="5">
                  <c:v>40.06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32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2"/>
  <sheetViews>
    <sheetView tabSelected="1" topLeftCell="A4" workbookViewId="0">
      <selection activeCell="L10" sqref="L10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22" width="9" style="2" customWidth="1"/>
    <col min="23" max="16384" width="9" style="2"/>
  </cols>
  <sheetData>
    <row r="1" spans="1:25" ht="25.15" customHeight="1" x14ac:dyDescent="0.25">
      <c r="A1" s="44" t="s">
        <v>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</row>
    <row r="2" spans="1:25" ht="24.6" customHeight="1" x14ac:dyDescent="0.25">
      <c r="A2" s="45" t="s">
        <v>4</v>
      </c>
      <c r="B2" s="48" t="s">
        <v>5</v>
      </c>
      <c r="C2" s="48" t="s">
        <v>6</v>
      </c>
      <c r="D2" s="48" t="s">
        <v>7</v>
      </c>
      <c r="E2" s="51" t="s">
        <v>8</v>
      </c>
      <c r="F2" s="51" t="s">
        <v>9</v>
      </c>
      <c r="G2" s="51" t="s">
        <v>10</v>
      </c>
      <c r="H2" s="51" t="s">
        <v>11</v>
      </c>
      <c r="I2" s="52" t="s">
        <v>12</v>
      </c>
      <c r="J2" s="40" t="s">
        <v>13</v>
      </c>
      <c r="K2" s="40"/>
      <c r="L2" s="40"/>
      <c r="M2" s="40"/>
      <c r="N2" s="40"/>
      <c r="O2" s="40"/>
      <c r="P2" s="40"/>
      <c r="Q2" s="40" t="s">
        <v>0</v>
      </c>
      <c r="R2" s="40"/>
      <c r="S2" s="40"/>
      <c r="T2" s="40"/>
      <c r="U2" s="40"/>
      <c r="V2" s="40"/>
      <c r="W2" s="54" t="s">
        <v>14</v>
      </c>
      <c r="X2" s="54" t="s">
        <v>15</v>
      </c>
      <c r="Y2" s="54" t="s">
        <v>16</v>
      </c>
    </row>
    <row r="3" spans="1:25" ht="40.5" customHeight="1" x14ac:dyDescent="0.25">
      <c r="A3" s="46"/>
      <c r="B3" s="49"/>
      <c r="C3" s="49"/>
      <c r="D3" s="49"/>
      <c r="E3" s="51"/>
      <c r="F3" s="51"/>
      <c r="G3" s="51"/>
      <c r="H3" s="51"/>
      <c r="I3" s="53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4"/>
      <c r="X3" s="54"/>
      <c r="Y3" s="54"/>
    </row>
    <row r="4" spans="1:25" ht="21.6" customHeight="1" x14ac:dyDescent="0.25">
      <c r="A4" s="47"/>
      <c r="B4" s="50"/>
      <c r="C4" s="50"/>
      <c r="D4" s="50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40" t="s">
        <v>20</v>
      </c>
      <c r="K4" s="40"/>
      <c r="L4" s="40"/>
      <c r="M4" s="40"/>
      <c r="N4" s="40"/>
      <c r="O4" s="40"/>
      <c r="P4" s="40"/>
      <c r="Q4" s="40" t="s">
        <v>20</v>
      </c>
      <c r="R4" s="40"/>
      <c r="S4" s="40"/>
      <c r="T4" s="40"/>
      <c r="U4" s="40"/>
      <c r="V4" s="40"/>
      <c r="W4" s="55" t="s">
        <v>21</v>
      </c>
      <c r="X4" s="56"/>
      <c r="Y4" s="56"/>
    </row>
    <row r="5" spans="1:25" ht="30" customHeight="1" x14ac:dyDescent="0.25">
      <c r="A5" s="10">
        <v>1</v>
      </c>
      <c r="B5" s="41" t="s">
        <v>48</v>
      </c>
      <c r="C5" s="42"/>
      <c r="D5" s="43"/>
      <c r="E5" s="39" t="s">
        <v>47</v>
      </c>
      <c r="F5" s="25">
        <v>0.5</v>
      </c>
      <c r="G5" s="39"/>
      <c r="H5" s="39">
        <v>100</v>
      </c>
      <c r="I5" s="25">
        <f>SUM(J5:O5)</f>
        <v>59.82</v>
      </c>
      <c r="J5" s="25">
        <v>1.01</v>
      </c>
      <c r="K5" s="25">
        <v>6.62</v>
      </c>
      <c r="L5" s="25">
        <v>21.45</v>
      </c>
      <c r="M5" s="25">
        <v>22.53</v>
      </c>
      <c r="N5" s="25">
        <v>2.4500000000000002</v>
      </c>
      <c r="O5" s="25">
        <v>5.76</v>
      </c>
      <c r="P5" s="25"/>
      <c r="Q5" s="11">
        <f t="shared" ref="Q5:Q10" si="0">((H5-(SUM(J5)))/H5)*100</f>
        <v>98.99</v>
      </c>
      <c r="R5" s="11">
        <f t="shared" ref="R5:R10" si="1">((H5-(SUM(J5:K5)))/H5)*100</f>
        <v>92.37</v>
      </c>
      <c r="S5" s="11">
        <f t="shared" ref="S5:S10" si="2">((H5-(SUM(J5:L5)))/H5)*100</f>
        <v>70.92</v>
      </c>
      <c r="T5" s="11">
        <f t="shared" ref="T5:T10" si="3">((H5-(SUM(J5:M5)))/H5)*100</f>
        <v>48.39</v>
      </c>
      <c r="U5" s="11">
        <f t="shared" ref="U5:U10" si="4">((H5-(SUM(J5:N5)))/H5)*100</f>
        <v>45.94</v>
      </c>
      <c r="V5" s="11">
        <f t="shared" ref="V5:V10" si="5">((H5-(SUM(J5:O5)))/H5)*100</f>
        <v>40.18</v>
      </c>
      <c r="W5" s="11">
        <f>100-Q5</f>
        <v>1.0100000000000051</v>
      </c>
      <c r="X5" s="11">
        <f>Q5-V5</f>
        <v>58.809999999999995</v>
      </c>
      <c r="Y5" s="11">
        <f>V5</f>
        <v>40.18</v>
      </c>
    </row>
    <row r="6" spans="1:25" ht="30" customHeight="1" x14ac:dyDescent="0.25">
      <c r="A6" s="10">
        <v>2</v>
      </c>
      <c r="B6" s="41"/>
      <c r="C6" s="42"/>
      <c r="D6" s="43"/>
      <c r="E6" s="39" t="s">
        <v>47</v>
      </c>
      <c r="F6" s="25">
        <v>1.5</v>
      </c>
      <c r="G6" s="39"/>
      <c r="H6" s="39">
        <v>100</v>
      </c>
      <c r="I6" s="25">
        <f t="shared" ref="I6:I10" si="6">SUM(J6:O6)</f>
        <v>40.809999999999995</v>
      </c>
      <c r="J6" s="25">
        <v>7.41</v>
      </c>
      <c r="K6" s="25">
        <v>2.7</v>
      </c>
      <c r="L6" s="25">
        <v>8.4600000000000009</v>
      </c>
      <c r="M6" s="25">
        <v>16.04</v>
      </c>
      <c r="N6" s="25">
        <v>1.98</v>
      </c>
      <c r="O6" s="25">
        <v>4.22</v>
      </c>
      <c r="P6" s="25"/>
      <c r="Q6" s="11">
        <f t="shared" si="0"/>
        <v>92.59</v>
      </c>
      <c r="R6" s="11">
        <f t="shared" si="1"/>
        <v>89.89</v>
      </c>
      <c r="S6" s="11">
        <f t="shared" si="2"/>
        <v>81.430000000000007</v>
      </c>
      <c r="T6" s="11">
        <f t="shared" si="3"/>
        <v>65.39</v>
      </c>
      <c r="U6" s="11">
        <f t="shared" si="4"/>
        <v>63.41</v>
      </c>
      <c r="V6" s="11">
        <f t="shared" si="5"/>
        <v>59.190000000000012</v>
      </c>
      <c r="W6" s="11">
        <f t="shared" ref="W6:W10" si="7">100-Q6</f>
        <v>7.4099999999999966</v>
      </c>
      <c r="X6" s="11">
        <f t="shared" ref="X6:X10" si="8">Q6-V6</f>
        <v>33.399999999999991</v>
      </c>
      <c r="Y6" s="11">
        <f t="shared" ref="Y6:Y10" si="9">V6</f>
        <v>59.190000000000012</v>
      </c>
    </row>
    <row r="7" spans="1:25" ht="30" customHeight="1" x14ac:dyDescent="0.25">
      <c r="A7" s="10">
        <v>3</v>
      </c>
      <c r="B7" s="41"/>
      <c r="C7" s="42"/>
      <c r="D7" s="43"/>
      <c r="E7" s="39" t="s">
        <v>47</v>
      </c>
      <c r="F7" s="25">
        <v>2</v>
      </c>
      <c r="G7" s="39"/>
      <c r="H7" s="39">
        <v>100</v>
      </c>
      <c r="I7" s="25">
        <f t="shared" si="6"/>
        <v>37.31</v>
      </c>
      <c r="J7" s="25">
        <v>0.28000000000000003</v>
      </c>
      <c r="K7" s="25">
        <v>1.54</v>
      </c>
      <c r="L7" s="25">
        <v>10.53</v>
      </c>
      <c r="M7" s="25">
        <v>17.920000000000002</v>
      </c>
      <c r="N7" s="25">
        <v>2.44</v>
      </c>
      <c r="O7" s="25">
        <v>4.5999999999999996</v>
      </c>
      <c r="P7" s="25"/>
      <c r="Q7" s="11">
        <f t="shared" si="0"/>
        <v>99.72</v>
      </c>
      <c r="R7" s="11">
        <f t="shared" si="1"/>
        <v>98.18</v>
      </c>
      <c r="S7" s="11">
        <f t="shared" si="2"/>
        <v>87.65</v>
      </c>
      <c r="T7" s="11">
        <f t="shared" si="3"/>
        <v>69.72999999999999</v>
      </c>
      <c r="U7" s="11">
        <f t="shared" si="4"/>
        <v>67.289999999999992</v>
      </c>
      <c r="V7" s="11">
        <f t="shared" si="5"/>
        <v>62.69</v>
      </c>
      <c r="W7" s="11">
        <f t="shared" si="7"/>
        <v>0.28000000000000114</v>
      </c>
      <c r="X7" s="11">
        <f t="shared" si="8"/>
        <v>37.03</v>
      </c>
      <c r="Y7" s="11">
        <f t="shared" si="9"/>
        <v>62.69</v>
      </c>
    </row>
    <row r="8" spans="1:25" ht="30" customHeight="1" x14ac:dyDescent="0.25">
      <c r="A8" s="10">
        <v>4</v>
      </c>
      <c r="B8" s="41"/>
      <c r="C8" s="42"/>
      <c r="D8" s="43"/>
      <c r="E8" s="39" t="s">
        <v>47</v>
      </c>
      <c r="F8" s="25">
        <v>3.5</v>
      </c>
      <c r="G8" s="39"/>
      <c r="H8" s="39">
        <v>100</v>
      </c>
      <c r="I8" s="25">
        <f t="shared" si="6"/>
        <v>59.94</v>
      </c>
      <c r="J8" s="25">
        <v>1.44</v>
      </c>
      <c r="K8" s="25">
        <v>4.5999999999999996</v>
      </c>
      <c r="L8" s="25">
        <v>21.48</v>
      </c>
      <c r="M8" s="25">
        <v>24.39</v>
      </c>
      <c r="N8" s="25">
        <v>2.2200000000000002</v>
      </c>
      <c r="O8" s="25">
        <v>5.81</v>
      </c>
      <c r="P8" s="25"/>
      <c r="Q8" s="11">
        <f t="shared" si="0"/>
        <v>98.56</v>
      </c>
      <c r="R8" s="11">
        <f t="shared" si="1"/>
        <v>93.960000000000008</v>
      </c>
      <c r="S8" s="11">
        <f t="shared" si="2"/>
        <v>72.48</v>
      </c>
      <c r="T8" s="11">
        <f t="shared" si="3"/>
        <v>48.09</v>
      </c>
      <c r="U8" s="11">
        <f t="shared" si="4"/>
        <v>45.870000000000005</v>
      </c>
      <c r="V8" s="11">
        <f t="shared" si="5"/>
        <v>40.06</v>
      </c>
      <c r="W8" s="11">
        <f t="shared" si="7"/>
        <v>1.4399999999999977</v>
      </c>
      <c r="X8" s="11">
        <f t="shared" si="8"/>
        <v>58.5</v>
      </c>
      <c r="Y8" s="11">
        <f t="shared" si="9"/>
        <v>40.06</v>
      </c>
    </row>
    <row r="9" spans="1:25" ht="30" customHeight="1" x14ac:dyDescent="0.25">
      <c r="A9" s="10">
        <v>5</v>
      </c>
      <c r="B9" s="41"/>
      <c r="C9" s="42"/>
      <c r="D9" s="43"/>
      <c r="E9" s="39" t="s">
        <v>47</v>
      </c>
      <c r="F9" s="25">
        <v>4.5</v>
      </c>
      <c r="G9" s="39"/>
      <c r="H9" s="39">
        <v>100</v>
      </c>
      <c r="I9" s="25">
        <f t="shared" si="6"/>
        <v>68.460000000000008</v>
      </c>
      <c r="J9" s="25">
        <v>8.48</v>
      </c>
      <c r="K9" s="25">
        <v>7.26</v>
      </c>
      <c r="L9" s="25">
        <v>22.27</v>
      </c>
      <c r="M9" s="25">
        <v>22.92</v>
      </c>
      <c r="N9" s="25">
        <v>2.71</v>
      </c>
      <c r="O9" s="25">
        <v>4.82</v>
      </c>
      <c r="P9" s="25"/>
      <c r="Q9" s="11">
        <f t="shared" si="0"/>
        <v>91.52</v>
      </c>
      <c r="R9" s="11">
        <f t="shared" si="1"/>
        <v>84.26</v>
      </c>
      <c r="S9" s="11">
        <f t="shared" si="2"/>
        <v>61.99</v>
      </c>
      <c r="T9" s="11">
        <f t="shared" si="3"/>
        <v>39.07</v>
      </c>
      <c r="U9" s="11">
        <f t="shared" si="4"/>
        <v>36.36</v>
      </c>
      <c r="V9" s="11">
        <f t="shared" si="5"/>
        <v>31.539999999999992</v>
      </c>
      <c r="W9" s="11">
        <f t="shared" si="7"/>
        <v>8.480000000000004</v>
      </c>
      <c r="X9" s="11">
        <f t="shared" si="8"/>
        <v>59.980000000000004</v>
      </c>
      <c r="Y9" s="11">
        <f t="shared" si="9"/>
        <v>31.539999999999992</v>
      </c>
    </row>
    <row r="10" spans="1:25" ht="30" customHeight="1" x14ac:dyDescent="0.25">
      <c r="A10" s="10">
        <v>6</v>
      </c>
      <c r="B10" s="41"/>
      <c r="C10" s="42"/>
      <c r="D10" s="43"/>
      <c r="E10" s="39" t="s">
        <v>47</v>
      </c>
      <c r="F10" s="73">
        <v>6.5</v>
      </c>
      <c r="G10" s="39"/>
      <c r="H10" s="39">
        <v>100</v>
      </c>
      <c r="I10" s="25">
        <f t="shared" si="6"/>
        <v>59.73</v>
      </c>
      <c r="J10" s="25">
        <v>1.28</v>
      </c>
      <c r="K10" s="25">
        <v>6.79</v>
      </c>
      <c r="L10" s="25">
        <v>23.21</v>
      </c>
      <c r="M10" s="25">
        <v>21.25</v>
      </c>
      <c r="N10" s="25">
        <v>2.16</v>
      </c>
      <c r="O10" s="25">
        <v>5.04</v>
      </c>
      <c r="P10" s="25"/>
      <c r="Q10" s="11">
        <f t="shared" si="0"/>
        <v>98.72</v>
      </c>
      <c r="R10" s="11">
        <f t="shared" si="1"/>
        <v>91.93</v>
      </c>
      <c r="S10" s="11">
        <f t="shared" si="2"/>
        <v>68.72</v>
      </c>
      <c r="T10" s="11">
        <f t="shared" si="3"/>
        <v>47.47</v>
      </c>
      <c r="U10" s="11">
        <f t="shared" si="4"/>
        <v>45.31</v>
      </c>
      <c r="V10" s="11">
        <f t="shared" si="5"/>
        <v>40.270000000000003</v>
      </c>
      <c r="W10" s="11">
        <f t="shared" si="7"/>
        <v>1.2800000000000011</v>
      </c>
      <c r="X10" s="11">
        <f t="shared" si="8"/>
        <v>58.449999999999996</v>
      </c>
      <c r="Y10" s="11">
        <f t="shared" si="9"/>
        <v>40.270000000000003</v>
      </c>
    </row>
    <row r="11" spans="1:25" ht="30" customHeight="1" x14ac:dyDescent="0.25">
      <c r="A11" s="10">
        <v>7</v>
      </c>
      <c r="B11" s="41"/>
      <c r="C11" s="42"/>
      <c r="D11" s="43"/>
      <c r="E11" s="39" t="s">
        <v>47</v>
      </c>
      <c r="F11" s="25">
        <v>7.5</v>
      </c>
      <c r="G11" s="39"/>
      <c r="H11" s="39">
        <v>100</v>
      </c>
      <c r="I11" s="25">
        <f t="shared" ref="I11:I12" si="10">SUM(J11:O11)</f>
        <v>61.769999999999989</v>
      </c>
      <c r="J11" s="25">
        <v>4.1100000000000003</v>
      </c>
      <c r="K11" s="25">
        <v>8</v>
      </c>
      <c r="L11" s="25">
        <v>19.29</v>
      </c>
      <c r="M11" s="25">
        <v>21.84</v>
      </c>
      <c r="N11" s="25">
        <v>2.98</v>
      </c>
      <c r="O11" s="25">
        <v>5.55</v>
      </c>
      <c r="P11" s="25"/>
      <c r="Q11" s="11">
        <f t="shared" ref="Q11:Q12" si="11">((H11-(SUM(J11)))/H11)*100</f>
        <v>95.89</v>
      </c>
      <c r="R11" s="11">
        <f t="shared" ref="R11:R12" si="12">((H11-(SUM(J11:K11)))/H11)*100</f>
        <v>87.89</v>
      </c>
      <c r="S11" s="11">
        <f t="shared" ref="S11:S12" si="13">((H11-(SUM(J11:L11)))/H11)*100</f>
        <v>68.599999999999994</v>
      </c>
      <c r="T11" s="11">
        <f t="shared" ref="T11:T12" si="14">((H11-(SUM(J11:M11)))/H11)*100</f>
        <v>46.760000000000005</v>
      </c>
      <c r="U11" s="11">
        <f t="shared" ref="U11:U12" si="15">((H11-(SUM(J11:N11)))/H11)*100</f>
        <v>43.780000000000008</v>
      </c>
      <c r="V11" s="11">
        <f t="shared" ref="V11:V12" si="16">((H11-(SUM(J11:O11)))/H11)*100</f>
        <v>38.230000000000011</v>
      </c>
      <c r="W11" s="11">
        <f t="shared" ref="W11:W12" si="17">100-Q11</f>
        <v>4.1099999999999994</v>
      </c>
      <c r="X11" s="11">
        <f t="shared" ref="X11:X12" si="18">Q11-V11</f>
        <v>57.659999999999989</v>
      </c>
      <c r="Y11" s="11">
        <f t="shared" ref="Y11:Y12" si="19">V11</f>
        <v>38.230000000000011</v>
      </c>
    </row>
    <row r="12" spans="1:25" ht="30" customHeight="1" x14ac:dyDescent="0.25">
      <c r="A12" s="10">
        <v>8</v>
      </c>
      <c r="B12" s="41"/>
      <c r="C12" s="42"/>
      <c r="D12" s="43"/>
      <c r="E12" s="39" t="s">
        <v>47</v>
      </c>
      <c r="F12" s="25">
        <v>9</v>
      </c>
      <c r="G12" s="39"/>
      <c r="H12" s="39">
        <v>100</v>
      </c>
      <c r="I12" s="25">
        <f t="shared" si="10"/>
        <v>83.41</v>
      </c>
      <c r="J12" s="25">
        <v>17.62</v>
      </c>
      <c r="K12" s="25">
        <v>10.98</v>
      </c>
      <c r="L12" s="25">
        <v>26.24</v>
      </c>
      <c r="M12" s="25">
        <v>22.63</v>
      </c>
      <c r="N12" s="25">
        <v>1.98</v>
      </c>
      <c r="O12" s="25">
        <v>3.96</v>
      </c>
      <c r="P12" s="25"/>
      <c r="Q12" s="11">
        <f t="shared" si="11"/>
        <v>82.38</v>
      </c>
      <c r="R12" s="11">
        <f t="shared" si="12"/>
        <v>71.400000000000006</v>
      </c>
      <c r="S12" s="11">
        <f t="shared" si="13"/>
        <v>45.16</v>
      </c>
      <c r="T12" s="11">
        <f t="shared" si="14"/>
        <v>22.53</v>
      </c>
      <c r="U12" s="11">
        <f t="shared" si="15"/>
        <v>20.549999999999997</v>
      </c>
      <c r="V12" s="11">
        <f t="shared" si="16"/>
        <v>16.590000000000003</v>
      </c>
      <c r="W12" s="11">
        <f t="shared" si="17"/>
        <v>17.620000000000005</v>
      </c>
      <c r="X12" s="11">
        <f t="shared" si="18"/>
        <v>65.789999999999992</v>
      </c>
      <c r="Y12" s="11">
        <f t="shared" si="19"/>
        <v>16.590000000000003</v>
      </c>
    </row>
  </sheetData>
  <mergeCells count="21"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  <mergeCell ref="J2:P2"/>
    <mergeCell ref="Q2:V2"/>
    <mergeCell ref="B5:B12"/>
    <mergeCell ref="C5:C12"/>
    <mergeCell ref="D5:D12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25"/>
  <sheetViews>
    <sheetView zoomScaleNormal="100" workbookViewId="0">
      <selection activeCell="F32" sqref="F32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65" t="s">
        <v>4</v>
      </c>
      <c r="B1" s="68" t="s">
        <v>5</v>
      </c>
      <c r="C1" s="68" t="s">
        <v>9</v>
      </c>
      <c r="D1" s="65" t="s">
        <v>8</v>
      </c>
      <c r="E1" s="65" t="s">
        <v>22</v>
      </c>
      <c r="F1" s="65" t="s">
        <v>39</v>
      </c>
      <c r="G1" s="65" t="s">
        <v>23</v>
      </c>
      <c r="H1" s="65" t="s">
        <v>24</v>
      </c>
      <c r="I1" s="61" t="s">
        <v>33</v>
      </c>
      <c r="J1" s="65" t="s">
        <v>34</v>
      </c>
      <c r="K1" s="65" t="s">
        <v>25</v>
      </c>
      <c r="L1" s="65" t="s">
        <v>26</v>
      </c>
      <c r="M1" s="63" t="s">
        <v>27</v>
      </c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3" t="s">
        <v>28</v>
      </c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 t="s">
        <v>29</v>
      </c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21"/>
      <c r="BA1" s="21"/>
    </row>
    <row r="2" spans="1:53" x14ac:dyDescent="0.25">
      <c r="A2" s="66"/>
      <c r="B2" s="69"/>
      <c r="C2" s="69"/>
      <c r="D2" s="66"/>
      <c r="E2" s="66"/>
      <c r="F2" s="66"/>
      <c r="G2" s="66"/>
      <c r="H2" s="66"/>
      <c r="I2" s="61"/>
      <c r="J2" s="66"/>
      <c r="K2" s="66"/>
      <c r="L2" s="66"/>
      <c r="M2" s="62">
        <v>0.5</v>
      </c>
      <c r="N2" s="57">
        <v>1</v>
      </c>
      <c r="O2" s="57">
        <v>2</v>
      </c>
      <c r="P2" s="57">
        <v>4</v>
      </c>
      <c r="Q2" s="57">
        <v>8</v>
      </c>
      <c r="R2" s="57">
        <v>15</v>
      </c>
      <c r="S2" s="57">
        <v>30</v>
      </c>
      <c r="T2" s="57">
        <v>60</v>
      </c>
      <c r="U2" s="57">
        <v>120</v>
      </c>
      <c r="V2" s="57">
        <v>240</v>
      </c>
      <c r="W2" s="57">
        <v>480</v>
      </c>
      <c r="X2" s="57">
        <v>960</v>
      </c>
      <c r="Y2" s="57">
        <v>1440</v>
      </c>
      <c r="Z2" s="62">
        <v>0.5</v>
      </c>
      <c r="AA2" s="57">
        <v>1</v>
      </c>
      <c r="AB2" s="57">
        <v>2</v>
      </c>
      <c r="AC2" s="57">
        <v>4</v>
      </c>
      <c r="AD2" s="57">
        <v>8</v>
      </c>
      <c r="AE2" s="57">
        <v>15</v>
      </c>
      <c r="AF2" s="57">
        <v>30</v>
      </c>
      <c r="AG2" s="57">
        <v>60</v>
      </c>
      <c r="AH2" s="57">
        <v>120</v>
      </c>
      <c r="AI2" s="57">
        <v>240</v>
      </c>
      <c r="AJ2" s="57">
        <v>480</v>
      </c>
      <c r="AK2" s="57">
        <v>960</v>
      </c>
      <c r="AL2" s="57">
        <v>1440</v>
      </c>
      <c r="AM2" s="62">
        <v>0.5</v>
      </c>
      <c r="AN2" s="57">
        <v>1</v>
      </c>
      <c r="AO2" s="57">
        <v>2</v>
      </c>
      <c r="AP2" s="57">
        <v>4</v>
      </c>
      <c r="AQ2" s="57">
        <v>8</v>
      </c>
      <c r="AR2" s="57">
        <v>15</v>
      </c>
      <c r="AS2" s="57">
        <v>30</v>
      </c>
      <c r="AT2" s="57">
        <v>60</v>
      </c>
      <c r="AU2" s="57">
        <v>120</v>
      </c>
      <c r="AV2" s="57">
        <v>240</v>
      </c>
      <c r="AW2" s="57">
        <v>480</v>
      </c>
      <c r="AX2" s="57">
        <v>960</v>
      </c>
      <c r="AY2" s="57">
        <v>1440</v>
      </c>
      <c r="AZ2" s="21"/>
      <c r="BA2" s="21"/>
    </row>
    <row r="3" spans="1:53" x14ac:dyDescent="0.25">
      <c r="A3" s="66"/>
      <c r="B3" s="69"/>
      <c r="C3" s="69"/>
      <c r="D3" s="67"/>
      <c r="E3" s="67"/>
      <c r="F3" s="67"/>
      <c r="G3" s="67"/>
      <c r="H3" s="67"/>
      <c r="I3" s="61"/>
      <c r="J3" s="67"/>
      <c r="K3" s="67"/>
      <c r="L3" s="67"/>
      <c r="M3" s="62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62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62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21"/>
      <c r="BA3" s="21"/>
    </row>
    <row r="4" spans="1:53" x14ac:dyDescent="0.25">
      <c r="A4" s="67"/>
      <c r="B4" s="70"/>
      <c r="C4" s="70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58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60"/>
      <c r="Z4" s="58" t="s">
        <v>31</v>
      </c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60"/>
      <c r="AM4" s="61" t="s">
        <v>32</v>
      </c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20"/>
      <c r="BA4" s="20"/>
    </row>
    <row r="5" spans="1:53" x14ac:dyDescent="0.25">
      <c r="A5" s="31">
        <v>1</v>
      </c>
      <c r="B5" s="31" t="str">
        <f>GSD!B5</f>
        <v>SBH-03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25">
      <c r="A6" s="31">
        <v>2</v>
      </c>
      <c r="B6" s="31" t="str">
        <f>B5</f>
        <v>SBH-03</v>
      </c>
      <c r="C6" s="32">
        <f>GSD!F6</f>
        <v>1.5</v>
      </c>
      <c r="D6" s="31" t="str">
        <f>GSD!E6</f>
        <v>SPT</v>
      </c>
      <c r="E6" s="32">
        <v>27</v>
      </c>
      <c r="F6" s="33">
        <f t="shared" ref="F6:F16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16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25">
      <c r="A7" s="31">
        <v>3</v>
      </c>
      <c r="B7" s="31" t="str">
        <f t="shared" ref="B7:B25" si="2">B6</f>
        <v>SBH-03</v>
      </c>
      <c r="C7" s="32">
        <f>GSD!F7</f>
        <v>2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25">
      <c r="A8" s="31">
        <v>4</v>
      </c>
      <c r="B8" s="31" t="str">
        <f t="shared" si="2"/>
        <v>SBH-03</v>
      </c>
      <c r="C8" s="32">
        <f>GSD!F8</f>
        <v>3.5</v>
      </c>
      <c r="D8" s="31" t="str">
        <f>GSD!E8</f>
        <v>SPT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25">
      <c r="A9" s="31">
        <v>5</v>
      </c>
      <c r="B9" s="31" t="str">
        <f t="shared" si="2"/>
        <v>SBH-03</v>
      </c>
      <c r="C9" s="32" t="e">
        <f>GSD!#REF!</f>
        <v>#REF!</v>
      </c>
      <c r="D9" s="31" t="e">
        <f>GSD!#REF!</f>
        <v>#REF!</v>
      </c>
      <c r="E9" s="32">
        <v>27</v>
      </c>
      <c r="F9" s="33">
        <f t="shared" si="0"/>
        <v>8.5594212700000009E-3</v>
      </c>
      <c r="G9" s="34"/>
      <c r="H9" s="31">
        <v>5.0000000000000001E-4</v>
      </c>
      <c r="I9" s="31"/>
      <c r="J9" s="31"/>
      <c r="K9" s="32">
        <f t="shared" si="1"/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6"/>
      <c r="BA9" s="36"/>
    </row>
    <row r="10" spans="1:53" x14ac:dyDescent="0.25">
      <c r="A10" s="31">
        <v>6</v>
      </c>
      <c r="B10" s="31" t="str">
        <f t="shared" si="2"/>
        <v>SBH-03</v>
      </c>
      <c r="C10" s="32" t="e">
        <f>GSD!#REF!</f>
        <v>#REF!</v>
      </c>
      <c r="D10" s="31" t="e">
        <f>GSD!#REF!</f>
        <v>#REF!</v>
      </c>
      <c r="E10" s="32">
        <v>27</v>
      </c>
      <c r="F10" s="33">
        <f t="shared" si="0"/>
        <v>8.5594212700000009E-3</v>
      </c>
      <c r="G10" s="34"/>
      <c r="H10" s="31">
        <v>5.0000000000000001E-4</v>
      </c>
      <c r="I10" s="31"/>
      <c r="J10" s="31"/>
      <c r="K10" s="32">
        <f t="shared" si="1"/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6"/>
      <c r="BA10" s="36"/>
    </row>
    <row r="11" spans="1:53" x14ac:dyDescent="0.25">
      <c r="A11" s="31">
        <v>7</v>
      </c>
      <c r="B11" s="31" t="str">
        <f t="shared" si="2"/>
        <v>SBH-03</v>
      </c>
      <c r="C11" s="32" t="e">
        <f>GSD!#REF!</f>
        <v>#REF!</v>
      </c>
      <c r="D11" s="31" t="e">
        <f>GSD!#REF!</f>
        <v>#REF!</v>
      </c>
      <c r="E11" s="32">
        <v>27</v>
      </c>
      <c r="F11" s="33">
        <f t="shared" si="0"/>
        <v>8.5594212700000009E-3</v>
      </c>
      <c r="G11" s="34"/>
      <c r="H11" s="31">
        <v>5.0000000000000001E-4</v>
      </c>
      <c r="I11" s="31"/>
      <c r="J11" s="31"/>
      <c r="K11" s="32">
        <f t="shared" si="1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6"/>
      <c r="BA11" s="36"/>
    </row>
    <row r="12" spans="1:53" x14ac:dyDescent="0.25">
      <c r="A12" s="31">
        <v>8</v>
      </c>
      <c r="B12" s="31" t="str">
        <f t="shared" si="2"/>
        <v>SBH-03</v>
      </c>
      <c r="C12" s="32" t="e">
        <f>GSD!#REF!</f>
        <v>#REF!</v>
      </c>
      <c r="D12" s="31" t="e">
        <f>GSD!#REF!</f>
        <v>#REF!</v>
      </c>
      <c r="E12" s="32">
        <v>27</v>
      </c>
      <c r="F12" s="33">
        <f t="shared" si="0"/>
        <v>8.5594212700000009E-3</v>
      </c>
      <c r="G12" s="34"/>
      <c r="H12" s="31">
        <v>5.0000000000000001E-4</v>
      </c>
      <c r="I12" s="31"/>
      <c r="J12" s="31"/>
      <c r="K12" s="32">
        <f t="shared" si="1"/>
        <v>0</v>
      </c>
      <c r="L12" s="31">
        <v>0.3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6"/>
      <c r="BA12" s="36"/>
    </row>
    <row r="13" spans="1:53" x14ac:dyDescent="0.25">
      <c r="A13" s="31">
        <v>9</v>
      </c>
      <c r="B13" s="31" t="str">
        <f t="shared" si="2"/>
        <v>SBH-03</v>
      </c>
      <c r="C13" s="32" t="e">
        <f>GSD!#REF!</f>
        <v>#REF!</v>
      </c>
      <c r="D13" s="31" t="e">
        <f>GSD!#REF!</f>
        <v>#REF!</v>
      </c>
      <c r="E13" s="32">
        <v>27</v>
      </c>
      <c r="F13" s="33">
        <f t="shared" si="0"/>
        <v>8.5594212700000009E-3</v>
      </c>
      <c r="G13" s="34"/>
      <c r="H13" s="31">
        <v>5.0000000000000001E-4</v>
      </c>
      <c r="I13" s="31"/>
      <c r="J13" s="31"/>
      <c r="K13" s="32">
        <f t="shared" si="1"/>
        <v>0</v>
      </c>
      <c r="L13" s="31">
        <v>0.3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6"/>
      <c r="BA13" s="36"/>
    </row>
    <row r="14" spans="1:53" x14ac:dyDescent="0.25">
      <c r="A14" s="31">
        <v>10</v>
      </c>
      <c r="B14" s="31" t="str">
        <f t="shared" si="2"/>
        <v>SBH-03</v>
      </c>
      <c r="C14" s="32" t="e">
        <f>GSD!#REF!</f>
        <v>#REF!</v>
      </c>
      <c r="D14" s="31" t="e">
        <f>GSD!#REF!</f>
        <v>#REF!</v>
      </c>
      <c r="E14" s="32">
        <v>27</v>
      </c>
      <c r="F14" s="33">
        <f t="shared" si="0"/>
        <v>8.5594212700000009E-3</v>
      </c>
      <c r="G14" s="34"/>
      <c r="H14" s="31">
        <v>5.0000000000000001E-4</v>
      </c>
      <c r="I14" s="31"/>
      <c r="J14" s="31"/>
      <c r="K14" s="32">
        <f t="shared" si="1"/>
        <v>0</v>
      </c>
      <c r="L14" s="31">
        <v>0.3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6"/>
      <c r="BA14" s="36"/>
    </row>
    <row r="15" spans="1:53" x14ac:dyDescent="0.25">
      <c r="A15" s="31">
        <v>11</v>
      </c>
      <c r="B15" s="31" t="str">
        <f t="shared" si="2"/>
        <v>SBH-03</v>
      </c>
      <c r="C15" s="32" t="e">
        <f>GSD!#REF!</f>
        <v>#REF!</v>
      </c>
      <c r="D15" s="31" t="e">
        <f>GSD!#REF!</f>
        <v>#REF!</v>
      </c>
      <c r="E15" s="32">
        <v>27</v>
      </c>
      <c r="F15" s="33">
        <f t="shared" si="0"/>
        <v>8.5594212700000009E-3</v>
      </c>
      <c r="G15" s="34"/>
      <c r="H15" s="31">
        <v>5.0000000000000001E-4</v>
      </c>
      <c r="I15" s="31"/>
      <c r="J15" s="31"/>
      <c r="K15" s="32">
        <f t="shared" si="1"/>
        <v>0</v>
      </c>
      <c r="L15" s="31">
        <v>0.3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6"/>
      <c r="BA15" s="36"/>
    </row>
    <row r="16" spans="1:53" x14ac:dyDescent="0.25">
      <c r="A16" s="31">
        <v>12</v>
      </c>
      <c r="B16" s="31" t="str">
        <f t="shared" si="2"/>
        <v>SBH-03</v>
      </c>
      <c r="C16" s="32" t="e">
        <f>GSD!#REF!</f>
        <v>#REF!</v>
      </c>
      <c r="D16" s="31" t="e">
        <f>GSD!#REF!</f>
        <v>#REF!</v>
      </c>
      <c r="E16" s="32">
        <v>27</v>
      </c>
      <c r="F16" s="33">
        <f t="shared" si="0"/>
        <v>8.5594212700000009E-3</v>
      </c>
      <c r="G16" s="34"/>
      <c r="H16" s="31">
        <v>5.0000000000000001E-4</v>
      </c>
      <c r="I16" s="31"/>
      <c r="J16" s="31"/>
      <c r="K16" s="32">
        <f t="shared" si="1"/>
        <v>0</v>
      </c>
      <c r="L16" s="31">
        <v>0.3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6"/>
      <c r="BA16" s="36"/>
    </row>
    <row r="17" spans="1:53" x14ac:dyDescent="0.25">
      <c r="A17" s="31">
        <v>13</v>
      </c>
      <c r="B17" s="31" t="str">
        <f t="shared" si="2"/>
        <v>SBH-03</v>
      </c>
      <c r="C17" s="32" t="e">
        <f>GSD!#REF!</f>
        <v>#REF!</v>
      </c>
      <c r="D17" s="31" t="e">
        <f>GSD!#REF!</f>
        <v>#REF!</v>
      </c>
      <c r="E17" s="32">
        <v>27</v>
      </c>
      <c r="F17" s="33">
        <f t="shared" ref="F17:F22" si="3">(0.000000002615*E17^4) - (0.00000030607*E17^3) + (0.000016427499*E17^2) - (0.000618546309*E17) + 0.017919182437</f>
        <v>8.5594212700000009E-3</v>
      </c>
      <c r="G17" s="34"/>
      <c r="H17" s="31">
        <v>5.0000000000000001E-4</v>
      </c>
      <c r="I17" s="31"/>
      <c r="J17" s="31"/>
      <c r="K17" s="32">
        <f t="shared" ref="K17:K22" si="4">(E17-27)*0.25</f>
        <v>0</v>
      </c>
      <c r="L17" s="31">
        <v>0.3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6"/>
      <c r="BA17" s="36"/>
    </row>
    <row r="18" spans="1:53" x14ac:dyDescent="0.25">
      <c r="A18" s="31">
        <v>14</v>
      </c>
      <c r="B18" s="31" t="str">
        <f t="shared" si="2"/>
        <v>SBH-03</v>
      </c>
      <c r="C18" s="32" t="e">
        <f>GSD!#REF!</f>
        <v>#REF!</v>
      </c>
      <c r="D18" s="31" t="e">
        <f>GSD!#REF!</f>
        <v>#REF!</v>
      </c>
      <c r="E18" s="32">
        <v>27</v>
      </c>
      <c r="F18" s="33">
        <f t="shared" si="3"/>
        <v>8.5594212700000009E-3</v>
      </c>
      <c r="G18" s="34"/>
      <c r="H18" s="31">
        <v>5.0000000000000001E-4</v>
      </c>
      <c r="I18" s="31"/>
      <c r="J18" s="31"/>
      <c r="K18" s="32">
        <f t="shared" si="4"/>
        <v>0</v>
      </c>
      <c r="L18" s="31">
        <v>0.3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6"/>
      <c r="BA18" s="36"/>
    </row>
    <row r="19" spans="1:53" x14ac:dyDescent="0.25">
      <c r="A19" s="31">
        <v>15</v>
      </c>
      <c r="B19" s="31" t="str">
        <f t="shared" si="2"/>
        <v>SBH-03</v>
      </c>
      <c r="C19" s="32" t="e">
        <f>GSD!#REF!</f>
        <v>#REF!</v>
      </c>
      <c r="D19" s="31" t="e">
        <f>GSD!#REF!</f>
        <v>#REF!</v>
      </c>
      <c r="E19" s="32">
        <v>27</v>
      </c>
      <c r="F19" s="33">
        <f t="shared" si="3"/>
        <v>8.5594212700000009E-3</v>
      </c>
      <c r="G19" s="34"/>
      <c r="H19" s="31">
        <v>5.0000000000000001E-4</v>
      </c>
      <c r="I19" s="31"/>
      <c r="J19" s="31"/>
      <c r="K19" s="32">
        <f t="shared" si="4"/>
        <v>0</v>
      </c>
      <c r="L19" s="31">
        <v>0.3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6"/>
      <c r="BA19" s="36"/>
    </row>
    <row r="20" spans="1:53" x14ac:dyDescent="0.25">
      <c r="A20" s="31">
        <v>16</v>
      </c>
      <c r="B20" s="31" t="str">
        <f t="shared" si="2"/>
        <v>SBH-03</v>
      </c>
      <c r="C20" s="32" t="e">
        <f>GSD!#REF!</f>
        <v>#REF!</v>
      </c>
      <c r="D20" s="31" t="e">
        <f>GSD!#REF!</f>
        <v>#REF!</v>
      </c>
      <c r="E20" s="32">
        <v>27</v>
      </c>
      <c r="F20" s="33">
        <f t="shared" si="3"/>
        <v>8.5594212700000009E-3</v>
      </c>
      <c r="G20" s="34"/>
      <c r="H20" s="31">
        <v>5.0000000000000001E-4</v>
      </c>
      <c r="I20" s="31"/>
      <c r="J20" s="31"/>
      <c r="K20" s="32">
        <f t="shared" si="4"/>
        <v>0</v>
      </c>
      <c r="L20" s="31">
        <v>0.3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6"/>
      <c r="BA20" s="36"/>
    </row>
    <row r="21" spans="1:53" x14ac:dyDescent="0.25">
      <c r="A21" s="31">
        <v>17</v>
      </c>
      <c r="B21" s="31" t="str">
        <f t="shared" si="2"/>
        <v>SBH-03</v>
      </c>
      <c r="C21" s="32" t="e">
        <f>GSD!#REF!</f>
        <v>#REF!</v>
      </c>
      <c r="D21" s="31" t="e">
        <f>GSD!#REF!</f>
        <v>#REF!</v>
      </c>
      <c r="E21" s="32">
        <v>27</v>
      </c>
      <c r="F21" s="33">
        <f t="shared" si="3"/>
        <v>8.5594212700000009E-3</v>
      </c>
      <c r="G21" s="34"/>
      <c r="H21" s="31">
        <v>5.0000000000000001E-4</v>
      </c>
      <c r="I21" s="31"/>
      <c r="J21" s="31"/>
      <c r="K21" s="32">
        <f t="shared" si="4"/>
        <v>0</v>
      </c>
      <c r="L21" s="31">
        <v>0.3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6"/>
      <c r="BA21" s="36"/>
    </row>
    <row r="22" spans="1:53" x14ac:dyDescent="0.25">
      <c r="A22" s="31">
        <v>18</v>
      </c>
      <c r="B22" s="31" t="str">
        <f t="shared" si="2"/>
        <v>SBH-03</v>
      </c>
      <c r="C22" s="32" t="e">
        <f>GSD!#REF!</f>
        <v>#REF!</v>
      </c>
      <c r="D22" s="31" t="e">
        <f>GSD!#REF!</f>
        <v>#REF!</v>
      </c>
      <c r="E22" s="32">
        <v>27</v>
      </c>
      <c r="F22" s="33">
        <f t="shared" si="3"/>
        <v>8.5594212700000009E-3</v>
      </c>
      <c r="G22" s="34"/>
      <c r="H22" s="31">
        <v>5.0000000000000001E-4</v>
      </c>
      <c r="I22" s="31"/>
      <c r="J22" s="31"/>
      <c r="K22" s="32">
        <f t="shared" si="4"/>
        <v>0</v>
      </c>
      <c r="L22" s="31">
        <v>0.3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6"/>
      <c r="BA22" s="36"/>
    </row>
    <row r="23" spans="1:53" x14ac:dyDescent="0.25">
      <c r="A23" s="31">
        <v>19</v>
      </c>
      <c r="B23" s="31" t="str">
        <f t="shared" si="2"/>
        <v>SBH-03</v>
      </c>
      <c r="C23" s="32" t="e">
        <f>GSD!#REF!</f>
        <v>#REF!</v>
      </c>
      <c r="D23" s="31" t="e">
        <f>GSD!#REF!</f>
        <v>#REF!</v>
      </c>
      <c r="E23" s="32">
        <v>27</v>
      </c>
      <c r="F23" s="33">
        <f t="shared" ref="F23" si="5">(0.000000002615*E23^4) - (0.00000030607*E23^3) + (0.000016427499*E23^2) - (0.000618546309*E23) + 0.017919182437</f>
        <v>8.5594212700000009E-3</v>
      </c>
      <c r="G23" s="34"/>
      <c r="H23" s="31">
        <v>5.0000000000000001E-4</v>
      </c>
      <c r="I23" s="31"/>
      <c r="J23" s="31"/>
      <c r="K23" s="32">
        <f t="shared" ref="K23" si="6">(E23-27)*0.25</f>
        <v>0</v>
      </c>
      <c r="L23" s="31">
        <v>0.3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6"/>
      <c r="BA23" s="36"/>
    </row>
    <row r="24" spans="1:53" x14ac:dyDescent="0.25">
      <c r="A24" s="31">
        <v>20</v>
      </c>
      <c r="B24" s="31" t="str">
        <f t="shared" si="2"/>
        <v>SBH-03</v>
      </c>
      <c r="C24" s="32" t="e">
        <f>GSD!#REF!</f>
        <v>#REF!</v>
      </c>
      <c r="D24" s="31" t="e">
        <f>GSD!#REF!</f>
        <v>#REF!</v>
      </c>
      <c r="E24" s="32">
        <v>28</v>
      </c>
      <c r="F24" s="33">
        <f t="shared" ref="F24:F25" si="7">(0.000000002615*E24^4) - (0.00000030607*E24^3) + (0.000016427499*E24^2) - (0.000618546309*E24) + 0.017919182437</f>
        <v>8.367521801E-3</v>
      </c>
      <c r="G24" s="34"/>
      <c r="H24" s="31">
        <v>5.0000000000000001E-4</v>
      </c>
      <c r="I24" s="31"/>
      <c r="J24" s="31"/>
      <c r="K24" s="32">
        <f t="shared" ref="K24:K25" si="8">(E24-27)*0.25</f>
        <v>0.25</v>
      </c>
      <c r="L24" s="31">
        <v>0.3</v>
      </c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</row>
    <row r="25" spans="1:53" x14ac:dyDescent="0.25">
      <c r="A25" s="31">
        <v>21</v>
      </c>
      <c r="B25" s="31" t="str">
        <f t="shared" si="2"/>
        <v>SBH-03</v>
      </c>
      <c r="C25" s="32" t="e">
        <f>GSD!#REF!</f>
        <v>#REF!</v>
      </c>
      <c r="D25" s="31" t="e">
        <f>GSD!#REF!</f>
        <v>#REF!</v>
      </c>
      <c r="E25" s="32">
        <v>29</v>
      </c>
      <c r="F25" s="33">
        <f t="shared" si="7"/>
        <v>8.1816647199999988E-3</v>
      </c>
      <c r="G25" s="34"/>
      <c r="H25" s="31">
        <v>5.0000000000000001E-4</v>
      </c>
      <c r="I25" s="31"/>
      <c r="J25" s="31"/>
      <c r="K25" s="32">
        <f t="shared" si="8"/>
        <v>0.5</v>
      </c>
      <c r="L25" s="31">
        <v>0.3</v>
      </c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5"/>
  <sheetViews>
    <sheetView zoomScaleNormal="100" workbookViewId="0">
      <selection activeCell="F20" sqref="F20"/>
    </sheetView>
  </sheetViews>
  <sheetFormatPr defaultRowHeight="15" x14ac:dyDescent="0.25"/>
  <cols>
    <col min="4" max="27" width="9.140625" customWidth="1"/>
    <col min="28" max="28" width="9.140625" style="30"/>
  </cols>
  <sheetData>
    <row r="1" spans="1:45" x14ac:dyDescent="0.25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25">
      <c r="A2" s="28" t="s">
        <v>40</v>
      </c>
      <c r="B2" s="28" t="s">
        <v>5</v>
      </c>
      <c r="C2" s="28" t="s">
        <v>9</v>
      </c>
      <c r="D2" s="71" t="s">
        <v>41</v>
      </c>
      <c r="E2" s="71"/>
      <c r="F2" s="71"/>
      <c r="G2" s="71"/>
      <c r="H2" s="71"/>
      <c r="I2" s="71"/>
      <c r="J2" s="71" t="s">
        <v>42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2" t="s">
        <v>43</v>
      </c>
      <c r="X2" s="72"/>
      <c r="Y2" s="72"/>
      <c r="Z2" s="72"/>
      <c r="AA2" s="72"/>
      <c r="AB2" s="72"/>
      <c r="AC2" s="71" t="s">
        <v>44</v>
      </c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25">
      <c r="A3" s="18">
        <v>1</v>
      </c>
      <c r="B3" s="18" t="str">
        <f>GSD!B5</f>
        <v>SBH-03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98.99</v>
      </c>
      <c r="X3" s="1">
        <f>GSD!R5</f>
        <v>92.37</v>
      </c>
      <c r="Y3" s="1">
        <f>GSD!S5</f>
        <v>70.92</v>
      </c>
      <c r="Z3" s="1">
        <f>GSD!T5</f>
        <v>48.39</v>
      </c>
      <c r="AA3" s="1">
        <f>GSD!U5</f>
        <v>45.94</v>
      </c>
      <c r="AB3" s="38">
        <f>GSD!V5</f>
        <v>40.18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25">
      <c r="A4" s="18">
        <v>2</v>
      </c>
      <c r="B4" s="18" t="str">
        <f>B3</f>
        <v>SBH-03</v>
      </c>
      <c r="C4" s="26">
        <f>GSD!F6</f>
        <v>1.5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92.59</v>
      </c>
      <c r="X4" s="1">
        <f>GSD!R6</f>
        <v>89.89</v>
      </c>
      <c r="Y4" s="1">
        <f>GSD!S6</f>
        <v>81.430000000000007</v>
      </c>
      <c r="Z4" s="1">
        <f>GSD!T6</f>
        <v>65.39</v>
      </c>
      <c r="AA4" s="1">
        <f>GSD!U6</f>
        <v>63.41</v>
      </c>
      <c r="AB4" s="38">
        <f>GSD!V6</f>
        <v>59.190000000000012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25">
      <c r="A5" s="18">
        <v>3</v>
      </c>
      <c r="B5" s="18" t="str">
        <f t="shared" ref="B5:B23" si="0">B4</f>
        <v>SBH-03</v>
      </c>
      <c r="C5" s="26">
        <f>GSD!F7</f>
        <v>2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99.72</v>
      </c>
      <c r="X5" s="1">
        <f>GSD!R7</f>
        <v>98.18</v>
      </c>
      <c r="Y5" s="1">
        <f>GSD!S7</f>
        <v>87.65</v>
      </c>
      <c r="Z5" s="1">
        <f>GSD!T7</f>
        <v>69.72999999999999</v>
      </c>
      <c r="AA5" s="1">
        <f>GSD!U7</f>
        <v>67.289999999999992</v>
      </c>
      <c r="AB5" s="38">
        <f>GSD!V7</f>
        <v>62.69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25">
      <c r="A6" s="18">
        <v>4</v>
      </c>
      <c r="B6" s="18" t="str">
        <f t="shared" si="0"/>
        <v>SBH-03</v>
      </c>
      <c r="C6" s="26">
        <f>GSD!F8</f>
        <v>3.5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GSD!Q8</f>
        <v>98.56</v>
      </c>
      <c r="X6" s="1">
        <f>GSD!R8</f>
        <v>93.960000000000008</v>
      </c>
      <c r="Y6" s="1">
        <f>GSD!S8</f>
        <v>72.48</v>
      </c>
      <c r="Z6" s="1">
        <f>GSD!T8</f>
        <v>48.09</v>
      </c>
      <c r="AA6" s="1">
        <f>GSD!U8</f>
        <v>45.870000000000005</v>
      </c>
      <c r="AB6" s="38">
        <f>GSD!V8</f>
        <v>40.06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25">
      <c r="A7" s="18">
        <v>5</v>
      </c>
      <c r="B7" s="18" t="str">
        <f t="shared" si="0"/>
        <v>SBH-03</v>
      </c>
      <c r="C7" s="26" t="e">
        <f>GSD!#REF!</f>
        <v>#REF!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 t="e">
        <f>GSD!#REF!</f>
        <v>#REF!</v>
      </c>
      <c r="X7" s="1" t="e">
        <f>GSD!#REF!</f>
        <v>#REF!</v>
      </c>
      <c r="Y7" s="1" t="e">
        <f>GSD!#REF!</f>
        <v>#REF!</v>
      </c>
      <c r="Z7" s="1" t="e">
        <f>GSD!#REF!</f>
        <v>#REF!</v>
      </c>
      <c r="AA7" s="1" t="e">
        <f>GSD!#REF!</f>
        <v>#REF!</v>
      </c>
      <c r="AB7" s="38" t="e">
        <f>GSD!#REF!</f>
        <v>#REF!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  <c r="AP7" s="1"/>
      <c r="AQ7" s="1"/>
      <c r="AR7" s="1"/>
      <c r="AS7" s="1"/>
    </row>
    <row r="8" spans="1:45" x14ac:dyDescent="0.25">
      <c r="A8" s="18">
        <v>6</v>
      </c>
      <c r="B8" s="18" t="str">
        <f t="shared" si="0"/>
        <v>SBH-03</v>
      </c>
      <c r="C8" s="26" t="e">
        <f>GSD!#REF!</f>
        <v>#REF!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>
        <f>HYD!Z10</f>
        <v>0</v>
      </c>
      <c r="K8" s="23">
        <f>HYD!AA10</f>
        <v>0</v>
      </c>
      <c r="L8" s="23">
        <f>HYD!AB10</f>
        <v>0</v>
      </c>
      <c r="M8" s="23">
        <f>HYD!AC10</f>
        <v>0</v>
      </c>
      <c r="N8" s="23">
        <f>HYD!AD10</f>
        <v>0</v>
      </c>
      <c r="O8" s="23">
        <f>HYD!AE10</f>
        <v>0</v>
      </c>
      <c r="P8" s="23">
        <f>HYD!AF10</f>
        <v>0</v>
      </c>
      <c r="Q8" s="23">
        <f>HYD!AG10</f>
        <v>0</v>
      </c>
      <c r="R8" s="23">
        <f>HYD!AH10</f>
        <v>0</v>
      </c>
      <c r="S8" s="23">
        <f>HYD!AI10</f>
        <v>0</v>
      </c>
      <c r="T8" s="23">
        <f>HYD!AJ10</f>
        <v>0</v>
      </c>
      <c r="U8" s="23">
        <f>HYD!AK10</f>
        <v>0</v>
      </c>
      <c r="V8" s="23">
        <f>HYD!AL10</f>
        <v>0</v>
      </c>
      <c r="W8" s="1" t="e">
        <f>GSD!#REF!</f>
        <v>#REF!</v>
      </c>
      <c r="X8" s="1" t="e">
        <f>GSD!#REF!</f>
        <v>#REF!</v>
      </c>
      <c r="Y8" s="1" t="e">
        <f>GSD!#REF!</f>
        <v>#REF!</v>
      </c>
      <c r="Z8" s="1" t="e">
        <f>GSD!#REF!</f>
        <v>#REF!</v>
      </c>
      <c r="AA8" s="1" t="e">
        <f>GSD!#REF!</f>
        <v>#REF!</v>
      </c>
      <c r="AB8" s="38" t="e">
        <f>GSD!#REF!</f>
        <v>#REF!</v>
      </c>
      <c r="AC8" s="38">
        <f>HYD!AM10</f>
        <v>0</v>
      </c>
      <c r="AD8" s="1">
        <f>HYD!AN10</f>
        <v>0</v>
      </c>
      <c r="AE8" s="1">
        <f>HYD!AO10</f>
        <v>0</v>
      </c>
      <c r="AF8" s="1">
        <f>HYD!AP10</f>
        <v>0</v>
      </c>
      <c r="AG8" s="1">
        <f>HYD!AQ10</f>
        <v>0</v>
      </c>
      <c r="AH8" s="1">
        <f>HYD!AR10</f>
        <v>0</v>
      </c>
      <c r="AI8" s="1">
        <f>HYD!AS10</f>
        <v>0</v>
      </c>
      <c r="AJ8" s="1">
        <f>HYD!AT10</f>
        <v>0</v>
      </c>
      <c r="AK8" s="1">
        <f>HYD!AU10</f>
        <v>0</v>
      </c>
      <c r="AL8" s="1">
        <f>HYD!AV10</f>
        <v>0</v>
      </c>
      <c r="AM8" s="1">
        <f>HYD!AW10</f>
        <v>0</v>
      </c>
      <c r="AN8" s="1">
        <f>HYD!AX10</f>
        <v>0</v>
      </c>
      <c r="AO8" s="1">
        <f>HYD!AY10</f>
        <v>0</v>
      </c>
      <c r="AP8" s="1"/>
      <c r="AQ8" s="1"/>
      <c r="AR8" s="1"/>
      <c r="AS8" s="1"/>
    </row>
    <row r="9" spans="1:45" x14ac:dyDescent="0.25">
      <c r="A9" s="18">
        <v>7</v>
      </c>
      <c r="B9" s="18" t="str">
        <f t="shared" si="0"/>
        <v>SBH-03</v>
      </c>
      <c r="C9" s="26" t="e">
        <f>GSD!#REF!</f>
        <v>#REF!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>
        <f>HYD!Z11</f>
        <v>0</v>
      </c>
      <c r="K9" s="23">
        <f>HYD!AA11</f>
        <v>0</v>
      </c>
      <c r="L9" s="23">
        <f>HYD!AB11</f>
        <v>0</v>
      </c>
      <c r="M9" s="23">
        <f>HYD!AC11</f>
        <v>0</v>
      </c>
      <c r="N9" s="23">
        <f>HYD!AD11</f>
        <v>0</v>
      </c>
      <c r="O9" s="23">
        <f>HYD!AE11</f>
        <v>0</v>
      </c>
      <c r="P9" s="23">
        <f>HYD!AF11</f>
        <v>0</v>
      </c>
      <c r="Q9" s="23">
        <f>HYD!AG11</f>
        <v>0</v>
      </c>
      <c r="R9" s="23">
        <f>HYD!AH11</f>
        <v>0</v>
      </c>
      <c r="S9" s="23">
        <f>HYD!AI11</f>
        <v>0</v>
      </c>
      <c r="T9" s="23">
        <f>HYD!AJ11</f>
        <v>0</v>
      </c>
      <c r="U9" s="23">
        <f>HYD!AK11</f>
        <v>0</v>
      </c>
      <c r="V9" s="23">
        <f>HYD!AL11</f>
        <v>0</v>
      </c>
      <c r="W9" s="1" t="e">
        <f>GSD!#REF!</f>
        <v>#REF!</v>
      </c>
      <c r="X9" s="1" t="e">
        <f>GSD!#REF!</f>
        <v>#REF!</v>
      </c>
      <c r="Y9" s="1" t="e">
        <f>GSD!#REF!</f>
        <v>#REF!</v>
      </c>
      <c r="Z9" s="1" t="e">
        <f>GSD!#REF!</f>
        <v>#REF!</v>
      </c>
      <c r="AA9" s="1" t="e">
        <f>GSD!#REF!</f>
        <v>#REF!</v>
      </c>
      <c r="AB9" s="38" t="e">
        <f>GSD!#REF!</f>
        <v>#REF!</v>
      </c>
      <c r="AC9" s="38">
        <f>HYD!AM11</f>
        <v>0</v>
      </c>
      <c r="AD9" s="1">
        <f>HYD!AN11</f>
        <v>0</v>
      </c>
      <c r="AE9" s="1">
        <f>HYD!AO11</f>
        <v>0</v>
      </c>
      <c r="AF9" s="1">
        <f>HYD!AP11</f>
        <v>0</v>
      </c>
      <c r="AG9" s="1">
        <f>HYD!AQ11</f>
        <v>0</v>
      </c>
      <c r="AH9" s="1">
        <f>HYD!AR11</f>
        <v>0</v>
      </c>
      <c r="AI9" s="1">
        <f>HYD!AS11</f>
        <v>0</v>
      </c>
      <c r="AJ9" s="1">
        <f>HYD!AT11</f>
        <v>0</v>
      </c>
      <c r="AK9" s="1">
        <f>HYD!AU11</f>
        <v>0</v>
      </c>
      <c r="AL9" s="1">
        <f>HYD!AV11</f>
        <v>0</v>
      </c>
      <c r="AM9" s="1">
        <f>HYD!AW11</f>
        <v>0</v>
      </c>
      <c r="AN9" s="1">
        <f>HYD!AX11</f>
        <v>0</v>
      </c>
      <c r="AO9" s="1">
        <f>HYD!AY11</f>
        <v>0</v>
      </c>
      <c r="AP9" s="29"/>
      <c r="AQ9" s="29"/>
      <c r="AR9" s="29"/>
      <c r="AS9" s="29"/>
    </row>
    <row r="10" spans="1:45" x14ac:dyDescent="0.25">
      <c r="A10" s="18">
        <v>8</v>
      </c>
      <c r="B10" s="18" t="str">
        <f t="shared" si="0"/>
        <v>SBH-03</v>
      </c>
      <c r="C10" s="26" t="e">
        <f>GSD!#REF!</f>
        <v>#REF!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>
        <f>HYD!Z12</f>
        <v>0</v>
      </c>
      <c r="K10" s="23">
        <f>HYD!AA12</f>
        <v>0</v>
      </c>
      <c r="L10" s="23">
        <f>HYD!AB12</f>
        <v>0</v>
      </c>
      <c r="M10" s="23">
        <f>HYD!AC12</f>
        <v>0</v>
      </c>
      <c r="N10" s="23">
        <f>HYD!AD12</f>
        <v>0</v>
      </c>
      <c r="O10" s="23">
        <f>HYD!AE12</f>
        <v>0</v>
      </c>
      <c r="P10" s="23">
        <f>HYD!AF12</f>
        <v>0</v>
      </c>
      <c r="Q10" s="23">
        <f>HYD!AG12</f>
        <v>0</v>
      </c>
      <c r="R10" s="23">
        <f>HYD!AH12</f>
        <v>0</v>
      </c>
      <c r="S10" s="23">
        <f>HYD!AI12</f>
        <v>0</v>
      </c>
      <c r="T10" s="23">
        <f>HYD!AJ12</f>
        <v>0</v>
      </c>
      <c r="U10" s="23">
        <f>HYD!AK12</f>
        <v>0</v>
      </c>
      <c r="V10" s="23">
        <f>HYD!AL12</f>
        <v>0</v>
      </c>
      <c r="W10" s="1" t="e">
        <f>GSD!#REF!</f>
        <v>#REF!</v>
      </c>
      <c r="X10" s="1" t="e">
        <f>GSD!#REF!</f>
        <v>#REF!</v>
      </c>
      <c r="Y10" s="1" t="e">
        <f>GSD!#REF!</f>
        <v>#REF!</v>
      </c>
      <c r="Z10" s="1" t="e">
        <f>GSD!#REF!</f>
        <v>#REF!</v>
      </c>
      <c r="AA10" s="1" t="e">
        <f>GSD!#REF!</f>
        <v>#REF!</v>
      </c>
      <c r="AB10" s="38" t="e">
        <f>GSD!#REF!</f>
        <v>#REF!</v>
      </c>
      <c r="AC10" s="38">
        <f>HYD!AM12</f>
        <v>0</v>
      </c>
      <c r="AD10" s="1">
        <f>HYD!AN12</f>
        <v>0</v>
      </c>
      <c r="AE10" s="1">
        <f>HYD!AO12</f>
        <v>0</v>
      </c>
      <c r="AF10" s="1">
        <f>HYD!AP12</f>
        <v>0</v>
      </c>
      <c r="AG10" s="1">
        <f>HYD!AQ12</f>
        <v>0</v>
      </c>
      <c r="AH10" s="1">
        <f>HYD!AR12</f>
        <v>0</v>
      </c>
      <c r="AI10" s="1">
        <f>HYD!AS12</f>
        <v>0</v>
      </c>
      <c r="AJ10" s="1">
        <f>HYD!AT12</f>
        <v>0</v>
      </c>
      <c r="AK10" s="1">
        <f>HYD!AU12</f>
        <v>0</v>
      </c>
      <c r="AL10" s="1">
        <f>HYD!AV12</f>
        <v>0</v>
      </c>
      <c r="AM10" s="1">
        <f>HYD!AW12</f>
        <v>0</v>
      </c>
      <c r="AN10" s="1">
        <f>HYD!AX12</f>
        <v>0</v>
      </c>
      <c r="AO10" s="1">
        <f>HYD!AY12</f>
        <v>0</v>
      </c>
      <c r="AP10" s="29"/>
      <c r="AQ10" s="29"/>
      <c r="AR10" s="29"/>
      <c r="AS10" s="29"/>
    </row>
    <row r="11" spans="1:45" x14ac:dyDescent="0.25">
      <c r="A11" s="18">
        <v>9</v>
      </c>
      <c r="B11" s="18" t="str">
        <f t="shared" si="0"/>
        <v>SBH-03</v>
      </c>
      <c r="C11" s="26" t="e">
        <f>GSD!#REF!</f>
        <v>#REF!</v>
      </c>
      <c r="D11" s="22">
        <v>4.75</v>
      </c>
      <c r="E11" s="22">
        <v>2</v>
      </c>
      <c r="F11" s="22">
        <v>0.42499999999999999</v>
      </c>
      <c r="G11" s="22">
        <v>0.21199999999999999</v>
      </c>
      <c r="H11" s="22">
        <v>0.15</v>
      </c>
      <c r="I11" s="22">
        <v>7.4999999999999997E-2</v>
      </c>
      <c r="J11" s="23">
        <f>HYD!Z13</f>
        <v>0</v>
      </c>
      <c r="K11" s="23">
        <f>HYD!AA13</f>
        <v>0</v>
      </c>
      <c r="L11" s="23">
        <f>HYD!AB13</f>
        <v>0</v>
      </c>
      <c r="M11" s="23">
        <f>HYD!AC13</f>
        <v>0</v>
      </c>
      <c r="N11" s="23">
        <f>HYD!AD13</f>
        <v>0</v>
      </c>
      <c r="O11" s="23">
        <f>HYD!AE13</f>
        <v>0</v>
      </c>
      <c r="P11" s="23">
        <f>HYD!AF13</f>
        <v>0</v>
      </c>
      <c r="Q11" s="23">
        <f>HYD!AG13</f>
        <v>0</v>
      </c>
      <c r="R11" s="23">
        <f>HYD!AH13</f>
        <v>0</v>
      </c>
      <c r="S11" s="23">
        <f>HYD!AI13</f>
        <v>0</v>
      </c>
      <c r="T11" s="23">
        <f>HYD!AJ13</f>
        <v>0</v>
      </c>
      <c r="U11" s="23">
        <f>HYD!AK13</f>
        <v>0</v>
      </c>
      <c r="V11" s="23">
        <f>HYD!AL13</f>
        <v>0</v>
      </c>
      <c r="W11" s="1" t="e">
        <f>GSD!#REF!</f>
        <v>#REF!</v>
      </c>
      <c r="X11" s="1" t="e">
        <f>GSD!#REF!</f>
        <v>#REF!</v>
      </c>
      <c r="Y11" s="1" t="e">
        <f>GSD!#REF!</f>
        <v>#REF!</v>
      </c>
      <c r="Z11" s="1" t="e">
        <f>GSD!#REF!</f>
        <v>#REF!</v>
      </c>
      <c r="AA11" s="1" t="e">
        <f>GSD!#REF!</f>
        <v>#REF!</v>
      </c>
      <c r="AB11" s="38" t="e">
        <f>GSD!#REF!</f>
        <v>#REF!</v>
      </c>
      <c r="AC11" s="38">
        <f>HYD!AM13</f>
        <v>0</v>
      </c>
      <c r="AD11" s="1">
        <f>HYD!AN13</f>
        <v>0</v>
      </c>
      <c r="AE11" s="1">
        <f>HYD!AO13</f>
        <v>0</v>
      </c>
      <c r="AF11" s="1">
        <f>HYD!AP13</f>
        <v>0</v>
      </c>
      <c r="AG11" s="1">
        <f>HYD!AQ13</f>
        <v>0</v>
      </c>
      <c r="AH11" s="1">
        <f>HYD!AR13</f>
        <v>0</v>
      </c>
      <c r="AI11" s="1">
        <f>HYD!AS13</f>
        <v>0</v>
      </c>
      <c r="AJ11" s="1">
        <f>HYD!AT13</f>
        <v>0</v>
      </c>
      <c r="AK11" s="1">
        <f>HYD!AU13</f>
        <v>0</v>
      </c>
      <c r="AL11" s="1">
        <f>HYD!AV13</f>
        <v>0</v>
      </c>
      <c r="AM11" s="1">
        <f>HYD!AW13</f>
        <v>0</v>
      </c>
      <c r="AN11" s="1">
        <f>HYD!AX13</f>
        <v>0</v>
      </c>
      <c r="AO11" s="1">
        <f>HYD!AY13</f>
        <v>0</v>
      </c>
      <c r="AP11" s="29"/>
      <c r="AQ11" s="29"/>
      <c r="AR11" s="29"/>
      <c r="AS11" s="29"/>
    </row>
    <row r="12" spans="1:45" x14ac:dyDescent="0.25">
      <c r="A12" s="18">
        <v>10</v>
      </c>
      <c r="B12" s="18" t="str">
        <f t="shared" si="0"/>
        <v>SBH-03</v>
      </c>
      <c r="C12" s="26" t="e">
        <f>GSD!#REF!</f>
        <v>#REF!</v>
      </c>
      <c r="D12" s="22">
        <v>4.75</v>
      </c>
      <c r="E12" s="22">
        <v>2</v>
      </c>
      <c r="F12" s="22">
        <v>0.42499999999999999</v>
      </c>
      <c r="G12" s="22">
        <v>0.21199999999999999</v>
      </c>
      <c r="H12" s="22">
        <v>0.15</v>
      </c>
      <c r="I12" s="22">
        <v>7.4999999999999997E-2</v>
      </c>
      <c r="J12" s="23">
        <f>HYD!Z14</f>
        <v>0</v>
      </c>
      <c r="K12" s="23">
        <f>HYD!AA14</f>
        <v>0</v>
      </c>
      <c r="L12" s="23">
        <f>HYD!AB14</f>
        <v>0</v>
      </c>
      <c r="M12" s="23">
        <f>HYD!AC14</f>
        <v>0</v>
      </c>
      <c r="N12" s="23">
        <f>HYD!AD14</f>
        <v>0</v>
      </c>
      <c r="O12" s="23">
        <f>HYD!AE14</f>
        <v>0</v>
      </c>
      <c r="P12" s="23">
        <f>HYD!AF14</f>
        <v>0</v>
      </c>
      <c r="Q12" s="23">
        <f>HYD!AG14</f>
        <v>0</v>
      </c>
      <c r="R12" s="23">
        <f>HYD!AH14</f>
        <v>0</v>
      </c>
      <c r="S12" s="23">
        <f>HYD!AI14</f>
        <v>0</v>
      </c>
      <c r="T12" s="23">
        <f>HYD!AJ14</f>
        <v>0</v>
      </c>
      <c r="U12" s="23">
        <f>HYD!AK14</f>
        <v>0</v>
      </c>
      <c r="V12" s="23">
        <f>HYD!AL14</f>
        <v>0</v>
      </c>
      <c r="W12" s="1" t="e">
        <f>GSD!#REF!</f>
        <v>#REF!</v>
      </c>
      <c r="X12" s="1" t="e">
        <f>GSD!#REF!</f>
        <v>#REF!</v>
      </c>
      <c r="Y12" s="1" t="e">
        <f>GSD!#REF!</f>
        <v>#REF!</v>
      </c>
      <c r="Z12" s="1" t="e">
        <f>GSD!#REF!</f>
        <v>#REF!</v>
      </c>
      <c r="AA12" s="1" t="e">
        <f>GSD!#REF!</f>
        <v>#REF!</v>
      </c>
      <c r="AB12" s="38" t="e">
        <f>GSD!#REF!</f>
        <v>#REF!</v>
      </c>
      <c r="AC12" s="38">
        <f>HYD!AM14</f>
        <v>0</v>
      </c>
      <c r="AD12" s="1">
        <f>HYD!AN14</f>
        <v>0</v>
      </c>
      <c r="AE12" s="1">
        <f>HYD!AO14</f>
        <v>0</v>
      </c>
      <c r="AF12" s="1">
        <f>HYD!AP14</f>
        <v>0</v>
      </c>
      <c r="AG12" s="1">
        <f>HYD!AQ14</f>
        <v>0</v>
      </c>
      <c r="AH12" s="1">
        <f>HYD!AR14</f>
        <v>0</v>
      </c>
      <c r="AI12" s="1">
        <f>HYD!AS14</f>
        <v>0</v>
      </c>
      <c r="AJ12" s="1">
        <f>HYD!AT14</f>
        <v>0</v>
      </c>
      <c r="AK12" s="1">
        <f>HYD!AU14</f>
        <v>0</v>
      </c>
      <c r="AL12" s="1">
        <f>HYD!AV14</f>
        <v>0</v>
      </c>
      <c r="AM12" s="1">
        <f>HYD!AW14</f>
        <v>0</v>
      </c>
      <c r="AN12" s="1">
        <f>HYD!AX14</f>
        <v>0</v>
      </c>
      <c r="AO12" s="1">
        <f>HYD!AY14</f>
        <v>0</v>
      </c>
      <c r="AP12" s="29"/>
      <c r="AQ12" s="29"/>
      <c r="AR12" s="29"/>
      <c r="AS12" s="29"/>
    </row>
    <row r="13" spans="1:45" x14ac:dyDescent="0.25">
      <c r="A13" s="18">
        <v>11</v>
      </c>
      <c r="B13" s="18" t="str">
        <f t="shared" si="0"/>
        <v>SBH-03</v>
      </c>
      <c r="C13" s="26" t="e">
        <f>GSD!#REF!</f>
        <v>#REF!</v>
      </c>
      <c r="D13" s="22">
        <v>4.75</v>
      </c>
      <c r="E13" s="22">
        <v>2</v>
      </c>
      <c r="F13" s="22">
        <v>0.42499999999999999</v>
      </c>
      <c r="G13" s="22">
        <v>0.21199999999999999</v>
      </c>
      <c r="H13" s="22">
        <v>0.15</v>
      </c>
      <c r="I13" s="22">
        <v>7.4999999999999997E-2</v>
      </c>
      <c r="J13" s="23">
        <f>HYD!Z15</f>
        <v>0</v>
      </c>
      <c r="K13" s="23">
        <f>HYD!AA15</f>
        <v>0</v>
      </c>
      <c r="L13" s="23">
        <f>HYD!AB15</f>
        <v>0</v>
      </c>
      <c r="M13" s="23">
        <f>HYD!AC15</f>
        <v>0</v>
      </c>
      <c r="N13" s="23">
        <f>HYD!AD15</f>
        <v>0</v>
      </c>
      <c r="O13" s="23">
        <f>HYD!AE15</f>
        <v>0</v>
      </c>
      <c r="P13" s="23">
        <f>HYD!AF15</f>
        <v>0</v>
      </c>
      <c r="Q13" s="23">
        <f>HYD!AG15</f>
        <v>0</v>
      </c>
      <c r="R13" s="23">
        <f>HYD!AH15</f>
        <v>0</v>
      </c>
      <c r="S13" s="23">
        <f>HYD!AI15</f>
        <v>0</v>
      </c>
      <c r="T13" s="23">
        <f>HYD!AJ15</f>
        <v>0</v>
      </c>
      <c r="U13" s="23">
        <f>HYD!AK15</f>
        <v>0</v>
      </c>
      <c r="V13" s="23">
        <f>HYD!AL15</f>
        <v>0</v>
      </c>
      <c r="W13" s="1" t="e">
        <f>GSD!#REF!</f>
        <v>#REF!</v>
      </c>
      <c r="X13" s="1" t="e">
        <f>GSD!#REF!</f>
        <v>#REF!</v>
      </c>
      <c r="Y13" s="1" t="e">
        <f>GSD!#REF!</f>
        <v>#REF!</v>
      </c>
      <c r="Z13" s="1" t="e">
        <f>GSD!#REF!</f>
        <v>#REF!</v>
      </c>
      <c r="AA13" s="1" t="e">
        <f>GSD!#REF!</f>
        <v>#REF!</v>
      </c>
      <c r="AB13" s="38" t="e">
        <f>GSD!#REF!</f>
        <v>#REF!</v>
      </c>
      <c r="AC13" s="38">
        <f>HYD!AM15</f>
        <v>0</v>
      </c>
      <c r="AD13" s="1">
        <f>HYD!AN15</f>
        <v>0</v>
      </c>
      <c r="AE13" s="1">
        <f>HYD!AO15</f>
        <v>0</v>
      </c>
      <c r="AF13" s="1">
        <f>HYD!AP15</f>
        <v>0</v>
      </c>
      <c r="AG13" s="1">
        <f>HYD!AQ15</f>
        <v>0</v>
      </c>
      <c r="AH13" s="1">
        <f>HYD!AR15</f>
        <v>0</v>
      </c>
      <c r="AI13" s="1">
        <f>HYD!AS15</f>
        <v>0</v>
      </c>
      <c r="AJ13" s="1">
        <f>HYD!AT15</f>
        <v>0</v>
      </c>
      <c r="AK13" s="1">
        <f>HYD!AU15</f>
        <v>0</v>
      </c>
      <c r="AL13" s="1">
        <f>HYD!AV15</f>
        <v>0</v>
      </c>
      <c r="AM13" s="1">
        <f>HYD!AW15</f>
        <v>0</v>
      </c>
      <c r="AN13" s="1">
        <f>HYD!AX15</f>
        <v>0</v>
      </c>
      <c r="AO13" s="1">
        <f>HYD!AY15</f>
        <v>0</v>
      </c>
      <c r="AP13" s="29"/>
      <c r="AQ13" s="29"/>
      <c r="AR13" s="29"/>
      <c r="AS13" s="29"/>
    </row>
    <row r="14" spans="1:45" x14ac:dyDescent="0.25">
      <c r="A14" s="18">
        <v>12</v>
      </c>
      <c r="B14" s="18" t="str">
        <f t="shared" si="0"/>
        <v>SBH-03</v>
      </c>
      <c r="C14" s="26" t="e">
        <f>GSD!#REF!</f>
        <v>#REF!</v>
      </c>
      <c r="D14" s="22">
        <v>4.75</v>
      </c>
      <c r="E14" s="22">
        <v>2</v>
      </c>
      <c r="F14" s="22">
        <v>0.42499999999999999</v>
      </c>
      <c r="G14" s="22">
        <v>0.21199999999999999</v>
      </c>
      <c r="H14" s="22">
        <v>0.15</v>
      </c>
      <c r="I14" s="22">
        <v>7.4999999999999997E-2</v>
      </c>
      <c r="J14" s="23">
        <f>HYD!Z16</f>
        <v>0</v>
      </c>
      <c r="K14" s="23">
        <f>HYD!AA16</f>
        <v>0</v>
      </c>
      <c r="L14" s="23">
        <f>HYD!AB16</f>
        <v>0</v>
      </c>
      <c r="M14" s="23">
        <f>HYD!AC16</f>
        <v>0</v>
      </c>
      <c r="N14" s="23">
        <f>HYD!AD16</f>
        <v>0</v>
      </c>
      <c r="O14" s="23">
        <f>HYD!AE16</f>
        <v>0</v>
      </c>
      <c r="P14" s="23">
        <f>HYD!AF16</f>
        <v>0</v>
      </c>
      <c r="Q14" s="23">
        <f>HYD!AG16</f>
        <v>0</v>
      </c>
      <c r="R14" s="23">
        <f>HYD!AH16</f>
        <v>0</v>
      </c>
      <c r="S14" s="23">
        <f>HYD!AI16</f>
        <v>0</v>
      </c>
      <c r="T14" s="23">
        <f>HYD!AJ16</f>
        <v>0</v>
      </c>
      <c r="U14" s="23">
        <f>HYD!AK16</f>
        <v>0</v>
      </c>
      <c r="V14" s="23">
        <f>HYD!AL16</f>
        <v>0</v>
      </c>
      <c r="W14" s="1" t="e">
        <f>GSD!#REF!</f>
        <v>#REF!</v>
      </c>
      <c r="X14" s="1" t="e">
        <f>GSD!#REF!</f>
        <v>#REF!</v>
      </c>
      <c r="Y14" s="1" t="e">
        <f>GSD!#REF!</f>
        <v>#REF!</v>
      </c>
      <c r="Z14" s="1" t="e">
        <f>GSD!#REF!</f>
        <v>#REF!</v>
      </c>
      <c r="AA14" s="1" t="e">
        <f>GSD!#REF!</f>
        <v>#REF!</v>
      </c>
      <c r="AB14" s="38" t="e">
        <f>GSD!#REF!</f>
        <v>#REF!</v>
      </c>
      <c r="AC14" s="38">
        <f>HYD!AM16</f>
        <v>0</v>
      </c>
      <c r="AD14" s="1">
        <f>HYD!AN16</f>
        <v>0</v>
      </c>
      <c r="AE14" s="1">
        <f>HYD!AO16</f>
        <v>0</v>
      </c>
      <c r="AF14" s="1">
        <f>HYD!AP16</f>
        <v>0</v>
      </c>
      <c r="AG14" s="1">
        <f>HYD!AQ16</f>
        <v>0</v>
      </c>
      <c r="AH14" s="1">
        <f>HYD!AR16</f>
        <v>0</v>
      </c>
      <c r="AI14" s="1">
        <f>HYD!AS16</f>
        <v>0</v>
      </c>
      <c r="AJ14" s="1">
        <f>HYD!AT16</f>
        <v>0</v>
      </c>
      <c r="AK14" s="1">
        <f>HYD!AU16</f>
        <v>0</v>
      </c>
      <c r="AL14" s="1">
        <f>HYD!AV16</f>
        <v>0</v>
      </c>
      <c r="AM14" s="1">
        <f>HYD!AW16</f>
        <v>0</v>
      </c>
      <c r="AN14" s="1">
        <f>HYD!AX16</f>
        <v>0</v>
      </c>
      <c r="AO14" s="1">
        <f>HYD!AY16</f>
        <v>0</v>
      </c>
      <c r="AP14" s="29"/>
      <c r="AQ14" s="29"/>
      <c r="AR14" s="29"/>
      <c r="AS14" s="29"/>
    </row>
    <row r="15" spans="1:45" x14ac:dyDescent="0.25">
      <c r="A15" s="18">
        <v>13</v>
      </c>
      <c r="B15" s="18" t="str">
        <f t="shared" si="0"/>
        <v>SBH-03</v>
      </c>
      <c r="C15" s="26" t="e">
        <f>GSD!#REF!</f>
        <v>#REF!</v>
      </c>
      <c r="D15" s="22">
        <v>4.75</v>
      </c>
      <c r="E15" s="22">
        <v>2</v>
      </c>
      <c r="F15" s="22">
        <v>0.42499999999999999</v>
      </c>
      <c r="G15" s="22">
        <v>0.21199999999999999</v>
      </c>
      <c r="H15" s="22">
        <v>0.15</v>
      </c>
      <c r="I15" s="22">
        <v>7.4999999999999997E-2</v>
      </c>
      <c r="J15" s="23">
        <f>HYD!Z17</f>
        <v>0</v>
      </c>
      <c r="K15" s="23">
        <f>HYD!AA17</f>
        <v>0</v>
      </c>
      <c r="L15" s="23">
        <f>HYD!AB17</f>
        <v>0</v>
      </c>
      <c r="M15" s="23">
        <f>HYD!AC17</f>
        <v>0</v>
      </c>
      <c r="N15" s="23">
        <f>HYD!AD17</f>
        <v>0</v>
      </c>
      <c r="O15" s="23">
        <f>HYD!AE17</f>
        <v>0</v>
      </c>
      <c r="P15" s="23">
        <f>HYD!AF17</f>
        <v>0</v>
      </c>
      <c r="Q15" s="23">
        <f>HYD!AG17</f>
        <v>0</v>
      </c>
      <c r="R15" s="23">
        <f>HYD!AH17</f>
        <v>0</v>
      </c>
      <c r="S15" s="23">
        <f>HYD!AI17</f>
        <v>0</v>
      </c>
      <c r="T15" s="23">
        <f>HYD!AJ17</f>
        <v>0</v>
      </c>
      <c r="U15" s="23">
        <f>HYD!AK17</f>
        <v>0</v>
      </c>
      <c r="V15" s="23">
        <f>HYD!AL17</f>
        <v>0</v>
      </c>
      <c r="W15" s="1" t="e">
        <f>GSD!#REF!</f>
        <v>#REF!</v>
      </c>
      <c r="X15" s="1" t="e">
        <f>GSD!#REF!</f>
        <v>#REF!</v>
      </c>
      <c r="Y15" s="1" t="e">
        <f>GSD!#REF!</f>
        <v>#REF!</v>
      </c>
      <c r="Z15" s="1" t="e">
        <f>GSD!#REF!</f>
        <v>#REF!</v>
      </c>
      <c r="AA15" s="1" t="e">
        <f>GSD!#REF!</f>
        <v>#REF!</v>
      </c>
      <c r="AB15" s="38" t="e">
        <f>GSD!#REF!</f>
        <v>#REF!</v>
      </c>
      <c r="AC15" s="38">
        <f>HYD!AM17</f>
        <v>0</v>
      </c>
      <c r="AD15" s="1">
        <f>HYD!AN17</f>
        <v>0</v>
      </c>
      <c r="AE15" s="1">
        <f>HYD!AO17</f>
        <v>0</v>
      </c>
      <c r="AF15" s="1">
        <f>HYD!AP17</f>
        <v>0</v>
      </c>
      <c r="AG15" s="1">
        <f>HYD!AQ17</f>
        <v>0</v>
      </c>
      <c r="AH15" s="1">
        <f>HYD!AR17</f>
        <v>0</v>
      </c>
      <c r="AI15" s="1">
        <f>HYD!AS17</f>
        <v>0</v>
      </c>
      <c r="AJ15" s="1">
        <f>HYD!AT17</f>
        <v>0</v>
      </c>
      <c r="AK15" s="1">
        <f>HYD!AU17</f>
        <v>0</v>
      </c>
      <c r="AL15" s="1">
        <f>HYD!AV17</f>
        <v>0</v>
      </c>
      <c r="AM15" s="1">
        <f>HYD!AW17</f>
        <v>0</v>
      </c>
      <c r="AN15" s="1">
        <f>HYD!AX17</f>
        <v>0</v>
      </c>
      <c r="AO15" s="1">
        <f>HYD!AY17</f>
        <v>0</v>
      </c>
      <c r="AP15" s="29"/>
      <c r="AQ15" s="29"/>
      <c r="AR15" s="29"/>
      <c r="AS15" s="29"/>
    </row>
    <row r="16" spans="1:45" x14ac:dyDescent="0.25">
      <c r="A16" s="18">
        <v>14</v>
      </c>
      <c r="B16" s="18" t="str">
        <f t="shared" si="0"/>
        <v>SBH-03</v>
      </c>
      <c r="C16" s="26" t="e">
        <f>GSD!#REF!</f>
        <v>#REF!</v>
      </c>
      <c r="D16" s="22">
        <v>4.75</v>
      </c>
      <c r="E16" s="22">
        <v>2</v>
      </c>
      <c r="F16" s="22">
        <v>0.42499999999999999</v>
      </c>
      <c r="G16" s="22">
        <v>0.21199999999999999</v>
      </c>
      <c r="H16" s="22">
        <v>0.15</v>
      </c>
      <c r="I16" s="22">
        <v>7.4999999999999997E-2</v>
      </c>
      <c r="J16" s="23">
        <f>HYD!Z18</f>
        <v>0</v>
      </c>
      <c r="K16" s="23">
        <f>HYD!AA18</f>
        <v>0</v>
      </c>
      <c r="L16" s="23">
        <f>HYD!AB18</f>
        <v>0</v>
      </c>
      <c r="M16" s="23">
        <f>HYD!AC18</f>
        <v>0</v>
      </c>
      <c r="N16" s="23">
        <f>HYD!AD18</f>
        <v>0</v>
      </c>
      <c r="O16" s="23">
        <f>HYD!AE18</f>
        <v>0</v>
      </c>
      <c r="P16" s="23">
        <f>HYD!AF18</f>
        <v>0</v>
      </c>
      <c r="Q16" s="23">
        <f>HYD!AG18</f>
        <v>0</v>
      </c>
      <c r="R16" s="23">
        <f>HYD!AH18</f>
        <v>0</v>
      </c>
      <c r="S16" s="23">
        <f>HYD!AI18</f>
        <v>0</v>
      </c>
      <c r="T16" s="23">
        <f>HYD!AJ18</f>
        <v>0</v>
      </c>
      <c r="U16" s="23">
        <f>HYD!AK18</f>
        <v>0</v>
      </c>
      <c r="V16" s="23">
        <f>HYD!AL18</f>
        <v>0</v>
      </c>
      <c r="W16" s="1" t="e">
        <f>GSD!#REF!</f>
        <v>#REF!</v>
      </c>
      <c r="X16" s="1" t="e">
        <f>GSD!#REF!</f>
        <v>#REF!</v>
      </c>
      <c r="Y16" s="1" t="e">
        <f>GSD!#REF!</f>
        <v>#REF!</v>
      </c>
      <c r="Z16" s="1" t="e">
        <f>GSD!#REF!</f>
        <v>#REF!</v>
      </c>
      <c r="AA16" s="1" t="e">
        <f>GSD!#REF!</f>
        <v>#REF!</v>
      </c>
      <c r="AB16" s="38" t="e">
        <f>GSD!#REF!</f>
        <v>#REF!</v>
      </c>
      <c r="AC16" s="38">
        <f>HYD!AM18</f>
        <v>0</v>
      </c>
      <c r="AD16" s="1">
        <f>HYD!AN18</f>
        <v>0</v>
      </c>
      <c r="AE16" s="1">
        <f>HYD!AO18</f>
        <v>0</v>
      </c>
      <c r="AF16" s="1">
        <f>HYD!AP18</f>
        <v>0</v>
      </c>
      <c r="AG16" s="1">
        <f>HYD!AQ18</f>
        <v>0</v>
      </c>
      <c r="AH16" s="1">
        <f>HYD!AR18</f>
        <v>0</v>
      </c>
      <c r="AI16" s="1">
        <f>HYD!AS18</f>
        <v>0</v>
      </c>
      <c r="AJ16" s="1">
        <f>HYD!AT18</f>
        <v>0</v>
      </c>
      <c r="AK16" s="1">
        <f>HYD!AU18</f>
        <v>0</v>
      </c>
      <c r="AL16" s="1">
        <f>HYD!AV18</f>
        <v>0</v>
      </c>
      <c r="AM16" s="1">
        <f>HYD!AW18</f>
        <v>0</v>
      </c>
      <c r="AN16" s="1">
        <f>HYD!AX18</f>
        <v>0</v>
      </c>
      <c r="AO16" s="1">
        <f>HYD!AY18</f>
        <v>0</v>
      </c>
      <c r="AP16" s="29"/>
      <c r="AQ16" s="29"/>
      <c r="AR16" s="29"/>
      <c r="AS16" s="29"/>
    </row>
    <row r="17" spans="1:45" x14ac:dyDescent="0.25">
      <c r="A17" s="18">
        <v>15</v>
      </c>
      <c r="B17" s="18" t="str">
        <f t="shared" si="0"/>
        <v>SBH-03</v>
      </c>
      <c r="C17" s="26" t="e">
        <f>GSD!#REF!</f>
        <v>#REF!</v>
      </c>
      <c r="D17" s="22">
        <v>4.75</v>
      </c>
      <c r="E17" s="22">
        <v>2</v>
      </c>
      <c r="F17" s="22">
        <v>0.42499999999999999</v>
      </c>
      <c r="G17" s="22">
        <v>0.21199999999999999</v>
      </c>
      <c r="H17" s="22">
        <v>0.15</v>
      </c>
      <c r="I17" s="22">
        <v>7.4999999999999997E-2</v>
      </c>
      <c r="J17" s="23">
        <f>HYD!Z19</f>
        <v>0</v>
      </c>
      <c r="K17" s="23">
        <f>HYD!AA19</f>
        <v>0</v>
      </c>
      <c r="L17" s="23">
        <f>HYD!AB19</f>
        <v>0</v>
      </c>
      <c r="M17" s="23">
        <f>HYD!AC19</f>
        <v>0</v>
      </c>
      <c r="N17" s="23">
        <f>HYD!AD19</f>
        <v>0</v>
      </c>
      <c r="O17" s="23">
        <f>HYD!AE19</f>
        <v>0</v>
      </c>
      <c r="P17" s="23">
        <f>HYD!AF19</f>
        <v>0</v>
      </c>
      <c r="Q17" s="23">
        <f>HYD!AG19</f>
        <v>0</v>
      </c>
      <c r="R17" s="23">
        <f>HYD!AH19</f>
        <v>0</v>
      </c>
      <c r="S17" s="23">
        <f>HYD!AI19</f>
        <v>0</v>
      </c>
      <c r="T17" s="23">
        <f>HYD!AJ19</f>
        <v>0</v>
      </c>
      <c r="U17" s="23">
        <f>HYD!AK19</f>
        <v>0</v>
      </c>
      <c r="V17" s="23">
        <f>HYD!AL19</f>
        <v>0</v>
      </c>
      <c r="W17" s="1" t="e">
        <f>GSD!#REF!</f>
        <v>#REF!</v>
      </c>
      <c r="X17" s="1" t="e">
        <f>GSD!#REF!</f>
        <v>#REF!</v>
      </c>
      <c r="Y17" s="1" t="e">
        <f>GSD!#REF!</f>
        <v>#REF!</v>
      </c>
      <c r="Z17" s="1" t="e">
        <f>GSD!#REF!</f>
        <v>#REF!</v>
      </c>
      <c r="AA17" s="1" t="e">
        <f>GSD!#REF!</f>
        <v>#REF!</v>
      </c>
      <c r="AB17" s="38" t="e">
        <f>GSD!#REF!</f>
        <v>#REF!</v>
      </c>
      <c r="AC17" s="38">
        <f>HYD!AM19</f>
        <v>0</v>
      </c>
      <c r="AD17" s="1">
        <f>HYD!AN19</f>
        <v>0</v>
      </c>
      <c r="AE17" s="1">
        <f>HYD!AO19</f>
        <v>0</v>
      </c>
      <c r="AF17" s="1">
        <f>HYD!AP19</f>
        <v>0</v>
      </c>
      <c r="AG17" s="1">
        <f>HYD!AQ19</f>
        <v>0</v>
      </c>
      <c r="AH17" s="1">
        <f>HYD!AR19</f>
        <v>0</v>
      </c>
      <c r="AI17" s="1">
        <f>HYD!AS19</f>
        <v>0</v>
      </c>
      <c r="AJ17" s="1">
        <f>HYD!AT19</f>
        <v>0</v>
      </c>
      <c r="AK17" s="1">
        <f>HYD!AU19</f>
        <v>0</v>
      </c>
      <c r="AL17" s="1">
        <f>HYD!AV19</f>
        <v>0</v>
      </c>
      <c r="AM17" s="1">
        <f>HYD!AW19</f>
        <v>0</v>
      </c>
      <c r="AN17" s="1">
        <f>HYD!AX19</f>
        <v>0</v>
      </c>
      <c r="AO17" s="1">
        <f>HYD!AY19</f>
        <v>0</v>
      </c>
      <c r="AP17" s="29"/>
      <c r="AQ17" s="29"/>
      <c r="AR17" s="29"/>
      <c r="AS17" s="29"/>
    </row>
    <row r="18" spans="1:45" x14ac:dyDescent="0.25">
      <c r="A18" s="18">
        <v>16</v>
      </c>
      <c r="B18" s="18" t="str">
        <f t="shared" si="0"/>
        <v>SBH-03</v>
      </c>
      <c r="C18" s="26" t="e">
        <f>GSD!#REF!</f>
        <v>#REF!</v>
      </c>
      <c r="D18" s="22">
        <v>4.75</v>
      </c>
      <c r="E18" s="22">
        <v>2</v>
      </c>
      <c r="F18" s="22">
        <v>0.42499999999999999</v>
      </c>
      <c r="G18" s="22">
        <v>0.21199999999999999</v>
      </c>
      <c r="H18" s="22">
        <v>0.15</v>
      </c>
      <c r="I18" s="22">
        <v>7.4999999999999997E-2</v>
      </c>
      <c r="J18" s="23">
        <f>HYD!Z20</f>
        <v>0</v>
      </c>
      <c r="K18" s="23">
        <f>HYD!AA20</f>
        <v>0</v>
      </c>
      <c r="L18" s="23">
        <f>HYD!AB20</f>
        <v>0</v>
      </c>
      <c r="M18" s="23">
        <f>HYD!AC20</f>
        <v>0</v>
      </c>
      <c r="N18" s="23">
        <f>HYD!AD20</f>
        <v>0</v>
      </c>
      <c r="O18" s="23">
        <f>HYD!AE20</f>
        <v>0</v>
      </c>
      <c r="P18" s="23">
        <f>HYD!AF20</f>
        <v>0</v>
      </c>
      <c r="Q18" s="23">
        <f>HYD!AG20</f>
        <v>0</v>
      </c>
      <c r="R18" s="23">
        <f>HYD!AH20</f>
        <v>0</v>
      </c>
      <c r="S18" s="23">
        <f>HYD!AI20</f>
        <v>0</v>
      </c>
      <c r="T18" s="23">
        <f>HYD!AJ20</f>
        <v>0</v>
      </c>
      <c r="U18" s="23">
        <f>HYD!AK20</f>
        <v>0</v>
      </c>
      <c r="V18" s="23">
        <f>HYD!AL20</f>
        <v>0</v>
      </c>
      <c r="W18" s="1" t="e">
        <f>GSD!#REF!</f>
        <v>#REF!</v>
      </c>
      <c r="X18" s="1" t="e">
        <f>GSD!#REF!</f>
        <v>#REF!</v>
      </c>
      <c r="Y18" s="1" t="e">
        <f>GSD!#REF!</f>
        <v>#REF!</v>
      </c>
      <c r="Z18" s="1" t="e">
        <f>GSD!#REF!</f>
        <v>#REF!</v>
      </c>
      <c r="AA18" s="1" t="e">
        <f>GSD!#REF!</f>
        <v>#REF!</v>
      </c>
      <c r="AB18" s="38" t="e">
        <f>GSD!#REF!</f>
        <v>#REF!</v>
      </c>
      <c r="AC18" s="38">
        <f>HYD!AM20</f>
        <v>0</v>
      </c>
      <c r="AD18" s="1">
        <f>HYD!AN20</f>
        <v>0</v>
      </c>
      <c r="AE18" s="1">
        <f>HYD!AO20</f>
        <v>0</v>
      </c>
      <c r="AF18" s="1">
        <f>HYD!AP20</f>
        <v>0</v>
      </c>
      <c r="AG18" s="1">
        <f>HYD!AQ20</f>
        <v>0</v>
      </c>
      <c r="AH18" s="1">
        <f>HYD!AR20</f>
        <v>0</v>
      </c>
      <c r="AI18" s="1">
        <f>HYD!AS20</f>
        <v>0</v>
      </c>
      <c r="AJ18" s="1">
        <f>HYD!AT20</f>
        <v>0</v>
      </c>
      <c r="AK18" s="1">
        <f>HYD!AU20</f>
        <v>0</v>
      </c>
      <c r="AL18" s="1">
        <f>HYD!AV20</f>
        <v>0</v>
      </c>
      <c r="AM18" s="1">
        <f>HYD!AW20</f>
        <v>0</v>
      </c>
      <c r="AN18" s="1">
        <f>HYD!AX20</f>
        <v>0</v>
      </c>
      <c r="AO18" s="1">
        <f>HYD!AY20</f>
        <v>0</v>
      </c>
      <c r="AP18" s="29"/>
      <c r="AQ18" s="29"/>
      <c r="AR18" s="29"/>
      <c r="AS18" s="29"/>
    </row>
    <row r="19" spans="1:45" x14ac:dyDescent="0.25">
      <c r="A19" s="18">
        <v>17</v>
      </c>
      <c r="B19" s="18" t="str">
        <f t="shared" si="0"/>
        <v>SBH-03</v>
      </c>
      <c r="C19" s="26" t="e">
        <f>GSD!#REF!</f>
        <v>#REF!</v>
      </c>
      <c r="D19" s="22">
        <v>4.75</v>
      </c>
      <c r="E19" s="22">
        <v>2</v>
      </c>
      <c r="F19" s="22">
        <v>0.42499999999999999</v>
      </c>
      <c r="G19" s="22">
        <v>0.21199999999999999</v>
      </c>
      <c r="H19" s="22">
        <v>0.15</v>
      </c>
      <c r="I19" s="22">
        <v>7.4999999999999997E-2</v>
      </c>
      <c r="J19" s="23">
        <f>HYD!Z21</f>
        <v>0</v>
      </c>
      <c r="K19" s="23">
        <f>HYD!AA21</f>
        <v>0</v>
      </c>
      <c r="L19" s="23">
        <f>HYD!AB21</f>
        <v>0</v>
      </c>
      <c r="M19" s="23">
        <f>HYD!AC21</f>
        <v>0</v>
      </c>
      <c r="N19" s="23">
        <f>HYD!AD21</f>
        <v>0</v>
      </c>
      <c r="O19" s="23">
        <f>HYD!AE21</f>
        <v>0</v>
      </c>
      <c r="P19" s="23">
        <f>HYD!AF21</f>
        <v>0</v>
      </c>
      <c r="Q19" s="23">
        <f>HYD!AG21</f>
        <v>0</v>
      </c>
      <c r="R19" s="23">
        <f>HYD!AH21</f>
        <v>0</v>
      </c>
      <c r="S19" s="23">
        <f>HYD!AI21</f>
        <v>0</v>
      </c>
      <c r="T19" s="23">
        <f>HYD!AJ21</f>
        <v>0</v>
      </c>
      <c r="U19" s="23">
        <f>HYD!AK21</f>
        <v>0</v>
      </c>
      <c r="V19" s="23">
        <f>HYD!AL21</f>
        <v>0</v>
      </c>
      <c r="W19" s="1" t="e">
        <f>GSD!#REF!</f>
        <v>#REF!</v>
      </c>
      <c r="X19" s="1" t="e">
        <f>GSD!#REF!</f>
        <v>#REF!</v>
      </c>
      <c r="Y19" s="1" t="e">
        <f>GSD!#REF!</f>
        <v>#REF!</v>
      </c>
      <c r="Z19" s="1" t="e">
        <f>GSD!#REF!</f>
        <v>#REF!</v>
      </c>
      <c r="AA19" s="1" t="e">
        <f>GSD!#REF!</f>
        <v>#REF!</v>
      </c>
      <c r="AB19" s="38" t="e">
        <f>GSD!#REF!</f>
        <v>#REF!</v>
      </c>
      <c r="AC19" s="38">
        <f>HYD!AM21</f>
        <v>0</v>
      </c>
      <c r="AD19" s="1">
        <f>HYD!AN21</f>
        <v>0</v>
      </c>
      <c r="AE19" s="1">
        <f>HYD!AO21</f>
        <v>0</v>
      </c>
      <c r="AF19" s="1">
        <f>HYD!AP21</f>
        <v>0</v>
      </c>
      <c r="AG19" s="1">
        <f>HYD!AQ21</f>
        <v>0</v>
      </c>
      <c r="AH19" s="1">
        <f>HYD!AR21</f>
        <v>0</v>
      </c>
      <c r="AI19" s="1">
        <f>HYD!AS21</f>
        <v>0</v>
      </c>
      <c r="AJ19" s="1">
        <f>HYD!AT21</f>
        <v>0</v>
      </c>
      <c r="AK19" s="1">
        <f>HYD!AU21</f>
        <v>0</v>
      </c>
      <c r="AL19" s="1">
        <f>HYD!AV21</f>
        <v>0</v>
      </c>
      <c r="AM19" s="1">
        <f>HYD!AW21</f>
        <v>0</v>
      </c>
      <c r="AN19" s="1">
        <f>HYD!AX21</f>
        <v>0</v>
      </c>
      <c r="AO19" s="1">
        <f>HYD!AY21</f>
        <v>0</v>
      </c>
      <c r="AP19" s="29"/>
      <c r="AQ19" s="29"/>
      <c r="AR19" s="29"/>
      <c r="AS19" s="29"/>
    </row>
    <row r="20" spans="1:45" x14ac:dyDescent="0.25">
      <c r="A20" s="18">
        <v>18</v>
      </c>
      <c r="B20" s="18" t="str">
        <f t="shared" si="0"/>
        <v>SBH-03</v>
      </c>
      <c r="C20" s="26" t="e">
        <f>GSD!#REF!</f>
        <v>#REF!</v>
      </c>
      <c r="D20" s="22">
        <v>4.75</v>
      </c>
      <c r="E20" s="22">
        <v>2</v>
      </c>
      <c r="F20" s="22">
        <v>0.42499999999999999</v>
      </c>
      <c r="G20" s="22">
        <v>0.21199999999999999</v>
      </c>
      <c r="H20" s="22">
        <v>0.15</v>
      </c>
      <c r="I20" s="22">
        <v>7.4999999999999997E-2</v>
      </c>
      <c r="J20" s="23">
        <f>HYD!Z22</f>
        <v>0</v>
      </c>
      <c r="K20" s="23">
        <f>HYD!AA22</f>
        <v>0</v>
      </c>
      <c r="L20" s="23">
        <f>HYD!AB22</f>
        <v>0</v>
      </c>
      <c r="M20" s="23">
        <f>HYD!AC22</f>
        <v>0</v>
      </c>
      <c r="N20" s="23">
        <f>HYD!AD22</f>
        <v>0</v>
      </c>
      <c r="O20" s="23">
        <f>HYD!AE22</f>
        <v>0</v>
      </c>
      <c r="P20" s="23">
        <f>HYD!AF22</f>
        <v>0</v>
      </c>
      <c r="Q20" s="23">
        <f>HYD!AG22</f>
        <v>0</v>
      </c>
      <c r="R20" s="23">
        <f>HYD!AH22</f>
        <v>0</v>
      </c>
      <c r="S20" s="23">
        <f>HYD!AI22</f>
        <v>0</v>
      </c>
      <c r="T20" s="23">
        <f>HYD!AJ22</f>
        <v>0</v>
      </c>
      <c r="U20" s="23">
        <f>HYD!AK22</f>
        <v>0</v>
      </c>
      <c r="V20" s="23">
        <f>HYD!AL22</f>
        <v>0</v>
      </c>
      <c r="W20" s="1" t="e">
        <f>GSD!#REF!</f>
        <v>#REF!</v>
      </c>
      <c r="X20" s="1" t="e">
        <f>GSD!#REF!</f>
        <v>#REF!</v>
      </c>
      <c r="Y20" s="1" t="e">
        <f>GSD!#REF!</f>
        <v>#REF!</v>
      </c>
      <c r="Z20" s="1" t="e">
        <f>GSD!#REF!</f>
        <v>#REF!</v>
      </c>
      <c r="AA20" s="1" t="e">
        <f>GSD!#REF!</f>
        <v>#REF!</v>
      </c>
      <c r="AB20" s="38" t="e">
        <f>GSD!#REF!</f>
        <v>#REF!</v>
      </c>
      <c r="AC20" s="38">
        <f>HYD!AM22</f>
        <v>0</v>
      </c>
      <c r="AD20" s="1">
        <f>HYD!AN22</f>
        <v>0</v>
      </c>
      <c r="AE20" s="1">
        <f>HYD!AO22</f>
        <v>0</v>
      </c>
      <c r="AF20" s="1">
        <f>HYD!AP22</f>
        <v>0</v>
      </c>
      <c r="AG20" s="1">
        <f>HYD!AQ22</f>
        <v>0</v>
      </c>
      <c r="AH20" s="1">
        <f>HYD!AR22</f>
        <v>0</v>
      </c>
      <c r="AI20" s="1">
        <f>HYD!AS22</f>
        <v>0</v>
      </c>
      <c r="AJ20" s="1">
        <f>HYD!AT22</f>
        <v>0</v>
      </c>
      <c r="AK20" s="1">
        <f>HYD!AU22</f>
        <v>0</v>
      </c>
      <c r="AL20" s="1">
        <f>HYD!AV22</f>
        <v>0</v>
      </c>
      <c r="AM20" s="1">
        <f>HYD!AW22</f>
        <v>0</v>
      </c>
      <c r="AN20" s="1">
        <f>HYD!AX22</f>
        <v>0</v>
      </c>
      <c r="AO20" s="1">
        <f>HYD!AY22</f>
        <v>0</v>
      </c>
      <c r="AP20" s="29"/>
      <c r="AQ20" s="29"/>
      <c r="AR20" s="29"/>
      <c r="AS20" s="29"/>
    </row>
    <row r="21" spans="1:45" x14ac:dyDescent="0.25">
      <c r="A21" s="18">
        <v>19</v>
      </c>
      <c r="B21" s="18" t="str">
        <f t="shared" si="0"/>
        <v>SBH-03</v>
      </c>
      <c r="C21" s="26" t="e">
        <f>GSD!#REF!</f>
        <v>#REF!</v>
      </c>
      <c r="D21" s="22">
        <v>4.75</v>
      </c>
      <c r="E21" s="22">
        <v>2</v>
      </c>
      <c r="F21" s="22">
        <v>0.42499999999999999</v>
      </c>
      <c r="G21" s="22">
        <v>0.21199999999999999</v>
      </c>
      <c r="H21" s="22">
        <v>0.15</v>
      </c>
      <c r="I21" s="22">
        <v>7.4999999999999997E-2</v>
      </c>
      <c r="J21" s="23">
        <f>HYD!Z23</f>
        <v>0</v>
      </c>
      <c r="K21" s="23">
        <f>HYD!AA23</f>
        <v>0</v>
      </c>
      <c r="L21" s="23">
        <f>HYD!AB23</f>
        <v>0</v>
      </c>
      <c r="M21" s="23">
        <f>HYD!AC23</f>
        <v>0</v>
      </c>
      <c r="N21" s="23">
        <f>HYD!AD23</f>
        <v>0</v>
      </c>
      <c r="O21" s="23">
        <f>HYD!AE23</f>
        <v>0</v>
      </c>
      <c r="P21" s="23">
        <f>HYD!AF23</f>
        <v>0</v>
      </c>
      <c r="Q21" s="23">
        <f>HYD!AG23</f>
        <v>0</v>
      </c>
      <c r="R21" s="23">
        <f>HYD!AH23</f>
        <v>0</v>
      </c>
      <c r="S21" s="23">
        <f>HYD!AI23</f>
        <v>0</v>
      </c>
      <c r="T21" s="23">
        <f>HYD!AJ23</f>
        <v>0</v>
      </c>
      <c r="U21" s="23">
        <f>HYD!AK23</f>
        <v>0</v>
      </c>
      <c r="V21" s="23">
        <f>HYD!AL23</f>
        <v>0</v>
      </c>
      <c r="W21" s="1" t="e">
        <f>GSD!#REF!</f>
        <v>#REF!</v>
      </c>
      <c r="X21" s="1" t="e">
        <f>GSD!#REF!</f>
        <v>#REF!</v>
      </c>
      <c r="Y21" s="1" t="e">
        <f>GSD!#REF!</f>
        <v>#REF!</v>
      </c>
      <c r="Z21" s="1" t="e">
        <f>GSD!#REF!</f>
        <v>#REF!</v>
      </c>
      <c r="AA21" s="1" t="e">
        <f>GSD!#REF!</f>
        <v>#REF!</v>
      </c>
      <c r="AB21" s="38" t="e">
        <f>GSD!#REF!</f>
        <v>#REF!</v>
      </c>
      <c r="AC21" s="38">
        <f>HYD!AM23</f>
        <v>0</v>
      </c>
      <c r="AD21" s="1">
        <f>HYD!AN23</f>
        <v>0</v>
      </c>
      <c r="AE21" s="1">
        <f>HYD!AO23</f>
        <v>0</v>
      </c>
      <c r="AF21" s="1">
        <f>HYD!AP23</f>
        <v>0</v>
      </c>
      <c r="AG21" s="1">
        <f>HYD!AQ23</f>
        <v>0</v>
      </c>
      <c r="AH21" s="1">
        <f>HYD!AR23</f>
        <v>0</v>
      </c>
      <c r="AI21" s="1">
        <f>HYD!AS23</f>
        <v>0</v>
      </c>
      <c r="AJ21" s="1">
        <f>HYD!AT23</f>
        <v>0</v>
      </c>
      <c r="AK21" s="1">
        <f>HYD!AU23</f>
        <v>0</v>
      </c>
      <c r="AL21" s="1">
        <f>HYD!AV23</f>
        <v>0</v>
      </c>
      <c r="AM21" s="1">
        <f>HYD!AW23</f>
        <v>0</v>
      </c>
      <c r="AN21" s="1">
        <f>HYD!AX23</f>
        <v>0</v>
      </c>
      <c r="AO21" s="1">
        <f>HYD!AY23</f>
        <v>0</v>
      </c>
      <c r="AP21" s="29"/>
      <c r="AQ21" s="29"/>
      <c r="AR21" s="29"/>
      <c r="AS21" s="29"/>
    </row>
    <row r="22" spans="1:45" x14ac:dyDescent="0.25">
      <c r="A22" s="18">
        <v>20</v>
      </c>
      <c r="B22" s="18" t="str">
        <f t="shared" si="0"/>
        <v>SBH-03</v>
      </c>
      <c r="C22" s="26" t="e">
        <f>GSD!#REF!</f>
        <v>#REF!</v>
      </c>
      <c r="D22" s="22">
        <v>4.75</v>
      </c>
      <c r="E22" s="22">
        <v>2</v>
      </c>
      <c r="F22" s="22">
        <v>0.42499999999999999</v>
      </c>
      <c r="G22" s="22">
        <v>0.21199999999999999</v>
      </c>
      <c r="H22" s="22">
        <v>0.15</v>
      </c>
      <c r="I22" s="22">
        <v>7.4999999999999997E-2</v>
      </c>
      <c r="J22" s="23">
        <f>HYD!Z24</f>
        <v>0</v>
      </c>
      <c r="K22" s="23">
        <f>HYD!AA24</f>
        <v>0</v>
      </c>
      <c r="L22" s="23">
        <f>HYD!AB24</f>
        <v>0</v>
      </c>
      <c r="M22" s="23">
        <f>HYD!AC24</f>
        <v>0</v>
      </c>
      <c r="N22" s="23">
        <f>HYD!AD24</f>
        <v>0</v>
      </c>
      <c r="O22" s="23">
        <f>HYD!AE24</f>
        <v>0</v>
      </c>
      <c r="P22" s="23">
        <f>HYD!AF24</f>
        <v>0</v>
      </c>
      <c r="Q22" s="23">
        <f>HYD!AG24</f>
        <v>0</v>
      </c>
      <c r="R22" s="23">
        <f>HYD!AH24</f>
        <v>0</v>
      </c>
      <c r="S22" s="23">
        <f>HYD!AI24</f>
        <v>0</v>
      </c>
      <c r="T22" s="23">
        <f>HYD!AJ24</f>
        <v>0</v>
      </c>
      <c r="U22" s="23">
        <f>HYD!AK24</f>
        <v>0</v>
      </c>
      <c r="V22" s="23">
        <f>HYD!AL24</f>
        <v>0</v>
      </c>
      <c r="W22" s="1" t="e">
        <f>GSD!#REF!</f>
        <v>#REF!</v>
      </c>
      <c r="X22" s="1" t="e">
        <f>GSD!#REF!</f>
        <v>#REF!</v>
      </c>
      <c r="Y22" s="1" t="e">
        <f>GSD!#REF!</f>
        <v>#REF!</v>
      </c>
      <c r="Z22" s="1" t="e">
        <f>GSD!#REF!</f>
        <v>#REF!</v>
      </c>
      <c r="AA22" s="1" t="e">
        <f>GSD!#REF!</f>
        <v>#REF!</v>
      </c>
      <c r="AB22" s="38" t="e">
        <f>GSD!#REF!</f>
        <v>#REF!</v>
      </c>
      <c r="AC22" s="38">
        <f>HYD!AM24</f>
        <v>0</v>
      </c>
      <c r="AD22" s="1">
        <f>HYD!AN24</f>
        <v>0</v>
      </c>
      <c r="AE22" s="1">
        <f>HYD!AO24</f>
        <v>0</v>
      </c>
      <c r="AF22" s="1">
        <f>HYD!AP24</f>
        <v>0</v>
      </c>
      <c r="AG22" s="1">
        <f>HYD!AQ24</f>
        <v>0</v>
      </c>
      <c r="AH22" s="1">
        <f>HYD!AR24</f>
        <v>0</v>
      </c>
      <c r="AI22" s="1">
        <f>HYD!AS24</f>
        <v>0</v>
      </c>
      <c r="AJ22" s="1">
        <f>HYD!AT24</f>
        <v>0</v>
      </c>
      <c r="AK22" s="1">
        <f>HYD!AU24</f>
        <v>0</v>
      </c>
      <c r="AL22" s="1">
        <f>HYD!AV24</f>
        <v>0</v>
      </c>
      <c r="AM22" s="1">
        <f>HYD!AW24</f>
        <v>0</v>
      </c>
      <c r="AN22" s="1">
        <f>HYD!AX24</f>
        <v>0</v>
      </c>
      <c r="AO22" s="1">
        <f>HYD!AY24</f>
        <v>0</v>
      </c>
    </row>
    <row r="23" spans="1:45" x14ac:dyDescent="0.25">
      <c r="A23" s="18">
        <v>21</v>
      </c>
      <c r="B23" s="18" t="str">
        <f t="shared" si="0"/>
        <v>SBH-03</v>
      </c>
      <c r="C23" s="26" t="e">
        <f>GSD!#REF!</f>
        <v>#REF!</v>
      </c>
      <c r="D23" s="22">
        <v>4.75</v>
      </c>
      <c r="E23" s="22">
        <v>2</v>
      </c>
      <c r="F23" s="22">
        <v>0.42499999999999999</v>
      </c>
      <c r="G23" s="22">
        <v>0.21199999999999999</v>
      </c>
      <c r="H23" s="22">
        <v>0.15</v>
      </c>
      <c r="I23" s="22">
        <v>7.4999999999999997E-2</v>
      </c>
      <c r="J23" s="23">
        <f>HYD!Z25</f>
        <v>0</v>
      </c>
      <c r="K23" s="23">
        <f>HYD!AA25</f>
        <v>0</v>
      </c>
      <c r="L23" s="23">
        <f>HYD!AB25</f>
        <v>0</v>
      </c>
      <c r="M23" s="23">
        <f>HYD!AC25</f>
        <v>0</v>
      </c>
      <c r="N23" s="23">
        <f>HYD!AD25</f>
        <v>0</v>
      </c>
      <c r="O23" s="23">
        <f>HYD!AE25</f>
        <v>0</v>
      </c>
      <c r="P23" s="23">
        <f>HYD!AF25</f>
        <v>0</v>
      </c>
      <c r="Q23" s="23">
        <f>HYD!AG25</f>
        <v>0</v>
      </c>
      <c r="R23" s="23">
        <f>HYD!AH25</f>
        <v>0</v>
      </c>
      <c r="S23" s="23">
        <f>HYD!AI25</f>
        <v>0</v>
      </c>
      <c r="T23" s="23">
        <f>HYD!AJ25</f>
        <v>0</v>
      </c>
      <c r="U23" s="23">
        <f>HYD!AK25</f>
        <v>0</v>
      </c>
      <c r="V23" s="23">
        <f>HYD!AL25</f>
        <v>0</v>
      </c>
      <c r="W23" s="1" t="e">
        <f>GSD!#REF!</f>
        <v>#REF!</v>
      </c>
      <c r="X23" s="1" t="e">
        <f>GSD!#REF!</f>
        <v>#REF!</v>
      </c>
      <c r="Y23" s="1" t="e">
        <f>GSD!#REF!</f>
        <v>#REF!</v>
      </c>
      <c r="Z23" s="1" t="e">
        <f>GSD!#REF!</f>
        <v>#REF!</v>
      </c>
      <c r="AA23" s="1" t="e">
        <f>GSD!#REF!</f>
        <v>#REF!</v>
      </c>
      <c r="AB23" s="38" t="e">
        <f>GSD!#REF!</f>
        <v>#REF!</v>
      </c>
      <c r="AC23" s="38">
        <f>HYD!AM25</f>
        <v>0</v>
      </c>
      <c r="AD23" s="1">
        <f>HYD!AN25</f>
        <v>0</v>
      </c>
      <c r="AE23" s="1">
        <f>HYD!AO25</f>
        <v>0</v>
      </c>
      <c r="AF23" s="1">
        <f>HYD!AP25</f>
        <v>0</v>
      </c>
      <c r="AG23" s="1">
        <f>HYD!AQ25</f>
        <v>0</v>
      </c>
      <c r="AH23" s="1">
        <f>HYD!AR25</f>
        <v>0</v>
      </c>
      <c r="AI23" s="1">
        <f>HYD!AS25</f>
        <v>0</v>
      </c>
      <c r="AJ23" s="1">
        <f>HYD!AT25</f>
        <v>0</v>
      </c>
      <c r="AK23" s="1">
        <f>HYD!AU25</f>
        <v>0</v>
      </c>
      <c r="AL23" s="1">
        <f>HYD!AV25</f>
        <v>0</v>
      </c>
      <c r="AM23" s="1">
        <f>HYD!AW25</f>
        <v>0</v>
      </c>
      <c r="AN23" s="1">
        <f>HYD!AX25</f>
        <v>0</v>
      </c>
      <c r="AO23" s="1">
        <f>HYD!AY25</f>
        <v>0</v>
      </c>
    </row>
    <row r="24" spans="1:45" x14ac:dyDescent="0.25">
      <c r="AB24" s="1"/>
      <c r="AC24" s="29"/>
    </row>
    <row r="25" spans="1:45" x14ac:dyDescent="0.25">
      <c r="AB25" s="1"/>
      <c r="AC25" s="29"/>
    </row>
    <row r="26" spans="1:45" x14ac:dyDescent="0.25">
      <c r="AB26" s="1"/>
      <c r="AC26" s="29"/>
    </row>
    <row r="27" spans="1:45" x14ac:dyDescent="0.25">
      <c r="AB27" s="1"/>
      <c r="AC27" s="29"/>
    </row>
    <row r="28" spans="1:45" x14ac:dyDescent="0.25">
      <c r="AB28" s="1"/>
      <c r="AC28" s="29"/>
    </row>
    <row r="29" spans="1:45" x14ac:dyDescent="0.25">
      <c r="AB29" s="1"/>
      <c r="AC29" s="29"/>
    </row>
    <row r="30" spans="1:45" x14ac:dyDescent="0.25">
      <c r="AB30" s="1"/>
      <c r="AC30" s="29"/>
    </row>
    <row r="31" spans="1:45" x14ac:dyDescent="0.25">
      <c r="AB31" s="1"/>
      <c r="AC31" s="29"/>
    </row>
    <row r="32" spans="1:45" x14ac:dyDescent="0.25">
      <c r="AB32" s="1"/>
      <c r="AC32" s="29"/>
    </row>
    <row r="33" spans="28:29" x14ac:dyDescent="0.25">
      <c r="AB33" s="1"/>
      <c r="AC33" s="29"/>
    </row>
    <row r="34" spans="28:29" x14ac:dyDescent="0.25">
      <c r="AB34" s="1"/>
      <c r="AC34" s="29"/>
    </row>
    <row r="35" spans="28:29" x14ac:dyDescent="0.25">
      <c r="AB35" s="1"/>
      <c r="AC35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2026-09-24T05:51:31Z</dcterms:modified>
</cp:coreProperties>
</file>