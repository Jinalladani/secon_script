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3. Sakra Nadi River @ 14.760 km (RBH-07 to RBH-11)\GSD &amp; HYD\"/>
    </mc:Choice>
  </mc:AlternateContent>
  <xr:revisionPtr revIDLastSave="0" documentId="13_ncr:1_{BF714955-7083-417F-8B40-A4C611E8B68B}" xr6:coauthVersionLast="47" xr6:coauthVersionMax="47" xr10:uidLastSave="{00000000-0000-0000-0000-000000000000}"/>
  <bookViews>
    <workbookView xWindow="28680" yWindow="-120" windowWidth="29040" windowHeight="15720" tabRatio="675" activeTab="3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6" l="1"/>
  <c r="C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B18" i="8"/>
  <c r="C18" i="8"/>
  <c r="D18" i="8"/>
  <c r="F18" i="8"/>
  <c r="K18" i="8"/>
  <c r="I18" i="7"/>
  <c r="Q18" i="7"/>
  <c r="R18" i="7"/>
  <c r="S18" i="7"/>
  <c r="T18" i="7"/>
  <c r="U18" i="7"/>
  <c r="V18" i="7"/>
  <c r="Y18" i="7" s="1"/>
  <c r="W18" i="7"/>
  <c r="X18" i="7"/>
  <c r="AC9" i="6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AO15" i="6" l="1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17" i="8"/>
  <c r="F17" i="8"/>
  <c r="D17" i="8"/>
  <c r="C17" i="8"/>
  <c r="V17" i="7"/>
  <c r="Y17" i="7" s="1"/>
  <c r="U17" i="7"/>
  <c r="AA15" i="6" s="1"/>
  <c r="T17" i="7"/>
  <c r="Z15" i="6" s="1"/>
  <c r="S17" i="7"/>
  <c r="Y15" i="6" s="1"/>
  <c r="R17" i="7"/>
  <c r="X15" i="6" s="1"/>
  <c r="Q17" i="7"/>
  <c r="W15" i="6" s="1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AB15" i="6" l="1"/>
  <c r="X17" i="7"/>
  <c r="W17" i="7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16" i="7" l="1"/>
  <c r="U16" i="7"/>
  <c r="AA14" i="6" s="1"/>
  <c r="T16" i="7"/>
  <c r="Z14" i="6" s="1"/>
  <c r="S16" i="7"/>
  <c r="Y14" i="6" s="1"/>
  <c r="R16" i="7"/>
  <c r="X14" i="6" s="1"/>
  <c r="Q16" i="7"/>
  <c r="V15" i="7"/>
  <c r="U15" i="7"/>
  <c r="AA13" i="6" s="1"/>
  <c r="T15" i="7"/>
  <c r="Z13" i="6" s="1"/>
  <c r="S15" i="7"/>
  <c r="Y13" i="6" s="1"/>
  <c r="R15" i="7"/>
  <c r="X13" i="6" s="1"/>
  <c r="Q15" i="7"/>
  <c r="V14" i="7"/>
  <c r="U14" i="7"/>
  <c r="AA12" i="6" s="1"/>
  <c r="T14" i="7"/>
  <c r="Z12" i="6" s="1"/>
  <c r="S14" i="7"/>
  <c r="Y12" i="6" s="1"/>
  <c r="R14" i="7"/>
  <c r="X12" i="6" s="1"/>
  <c r="Q14" i="7"/>
  <c r="V13" i="7"/>
  <c r="U13" i="7"/>
  <c r="AA11" i="6" s="1"/>
  <c r="T13" i="7"/>
  <c r="Z11" i="6" s="1"/>
  <c r="S13" i="7"/>
  <c r="Y11" i="6" s="1"/>
  <c r="R13" i="7"/>
  <c r="X11" i="6" s="1"/>
  <c r="Q13" i="7"/>
  <c r="V12" i="7"/>
  <c r="U12" i="7"/>
  <c r="AA10" i="6" s="1"/>
  <c r="T12" i="7"/>
  <c r="Z10" i="6" s="1"/>
  <c r="S12" i="7"/>
  <c r="Y10" i="6" s="1"/>
  <c r="R12" i="7"/>
  <c r="X10" i="6" s="1"/>
  <c r="Q12" i="7"/>
  <c r="V11" i="7"/>
  <c r="U11" i="7"/>
  <c r="AA9" i="6" s="1"/>
  <c r="T11" i="7"/>
  <c r="Z9" i="6" s="1"/>
  <c r="S11" i="7"/>
  <c r="Y9" i="6" s="1"/>
  <c r="R11" i="7"/>
  <c r="X9" i="6" s="1"/>
  <c r="Q11" i="7"/>
  <c r="V10" i="7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9" i="6"/>
  <c r="X11" i="7"/>
  <c r="W11" i="7"/>
  <c r="W11" i="6"/>
  <c r="X13" i="7"/>
  <c r="W13" i="7"/>
  <c r="W14" i="6"/>
  <c r="W16" i="7"/>
  <c r="X16" i="7"/>
  <c r="W10" i="6"/>
  <c r="W12" i="7"/>
  <c r="X12" i="7"/>
  <c r="W4" i="6"/>
  <c r="W6" i="7"/>
  <c r="X6" i="7"/>
  <c r="W12" i="6"/>
  <c r="W14" i="7"/>
  <c r="X14" i="7"/>
  <c r="W5" i="6"/>
  <c r="X7" i="7"/>
  <c r="W7" i="7"/>
  <c r="W13" i="6"/>
  <c r="W15" i="7"/>
  <c r="X15" i="7"/>
  <c r="Y6" i="7"/>
  <c r="AB4" i="6"/>
  <c r="AB5" i="6"/>
  <c r="Y7" i="7"/>
  <c r="Y8" i="7"/>
  <c r="AB6" i="6"/>
  <c r="AB7" i="6"/>
  <c r="Y9" i="7"/>
  <c r="Y10" i="7"/>
  <c r="AB8" i="6"/>
  <c r="AB9" i="6"/>
  <c r="Y11" i="7"/>
  <c r="Y12" i="7"/>
  <c r="AB10" i="6"/>
  <c r="AB11" i="6"/>
  <c r="Y13" i="7"/>
  <c r="Y14" i="7"/>
  <c r="AB12" i="6"/>
  <c r="AB13" i="6"/>
  <c r="Y15" i="7"/>
  <c r="Y16" i="7"/>
  <c r="AB14" i="6"/>
</calcChain>
</file>

<file path=xl/sharedStrings.xml><?xml version="1.0" encoding="utf-8"?>
<sst xmlns="http://schemas.openxmlformats.org/spreadsheetml/2006/main" count="98" uniqueCount="57">
  <si>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</si>
  <si>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</si>
  <si>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</si>
  <si>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</si>
  <si>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</si>
  <si>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</si>
  <si>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</si>
  <si>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</si>
  <si>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</si>
  <si>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</si>
  <si>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</si>
  <si>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</si>
  <si>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</si>
  <si>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</si>
  <si>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</si>
  <si>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</si>
  <si>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</si>
  <si>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</si>
  <si>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</si>
  <si>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</si>
  <si>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</si>
  <si>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</si>
  <si>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</si>
  <si>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</si>
  <si>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</si>
  <si>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</si>
  <si>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</si>
  <si>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</si>
  <si>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</si>
  <si>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</si>
  <si>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</si>
  <si>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</si>
  <si>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</si>
  <si>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</si>
  <si>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</si>
  <si>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</si>
  <si>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</si>
  <si>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</si>
  <si>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</si>
  <si>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</si>
  <si>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</si>
  <si>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</si>
  <si>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</si>
  <si>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</si>
  <si>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</si>
  <si>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</si>
  <si>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</si>
  <si>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</si>
  <si>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UDS</t>
  </si>
  <si>
    <t xml:space="preserve">  </t>
  </si>
  <si>
    <t>RBH-9</t>
  </si>
  <si>
    <t>DS</t>
  </si>
  <si>
    <t>D1</t>
  </si>
  <si>
    <t>D</t>
  </si>
  <si>
    <t>A</t>
  </si>
  <si>
    <t>C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</si>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</sst>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167" fontId="11" fillId="3" borderId="1" xfId="0" applyNumberFormat="1" applyFont="1" applyFill="1" applyBorder="1" applyAlignment="1">
      <alignment horizontal="center" vertical="center"/>
    </xf>
    <xf numFmtId="165" fontId="11" fillId="3" borderId="1" xfId="0" applyNumberFormat="1" applyFont="1" applyFill="1" applyBorder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5" fontId="2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1" fillId="0" borderId="6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textRotation="90"/>
    </xf>
    <xf numFmtId="0" fontId="1" fillId="0" borderId="0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100</c:v>
                </c:pt>
                <c:pt idx="1">
                  <c:v>99.83</c:v>
                </c:pt>
                <c:pt idx="2">
                  <c:v>97.11</c:v>
                </c:pt>
                <c:pt idx="3">
                  <c:v>40.42</c:v>
                </c:pt>
                <c:pt idx="4">
                  <c:v>32.67</c:v>
                </c:pt>
                <c:pt idx="5">
                  <c:v>27.490000000000009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97.73</c:v>
                </c:pt>
                <c:pt idx="1">
                  <c:v>94.36</c:v>
                </c:pt>
                <c:pt idx="2">
                  <c:v>62.11</c:v>
                </c:pt>
                <c:pt idx="3">
                  <c:v>41.89</c:v>
                </c:pt>
                <c:pt idx="4">
                  <c:v>34.090000000000003</c:v>
                </c:pt>
                <c:pt idx="5">
                  <c:v>28.659999999999997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92.68</c:v>
                </c:pt>
                <c:pt idx="1">
                  <c:v>86.88</c:v>
                </c:pt>
                <c:pt idx="2">
                  <c:v>73.009999999999991</c:v>
                </c:pt>
                <c:pt idx="3">
                  <c:v>45.384999999999998</c:v>
                </c:pt>
                <c:pt idx="4">
                  <c:v>39.114999999999995</c:v>
                </c:pt>
                <c:pt idx="5">
                  <c:v>35.434999999999988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97.3</c:v>
                </c:pt>
                <c:pt idx="1">
                  <c:v>91.84</c:v>
                </c:pt>
                <c:pt idx="2">
                  <c:v>55.92</c:v>
                </c:pt>
                <c:pt idx="3">
                  <c:v>38.480000000000004</c:v>
                </c:pt>
                <c:pt idx="4">
                  <c:v>32.480000000000004</c:v>
                </c:pt>
                <c:pt idx="5">
                  <c:v>29.600000000000009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98.33</c:v>
                </c:pt>
                <c:pt idx="1">
                  <c:v>96.97</c:v>
                </c:pt>
                <c:pt idx="2">
                  <c:v>93.45</c:v>
                </c:pt>
                <c:pt idx="3">
                  <c:v>87.55</c:v>
                </c:pt>
                <c:pt idx="4">
                  <c:v>84.42</c:v>
                </c:pt>
                <c:pt idx="5">
                  <c:v>80.289999999999992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98.01</c:v>
                </c:pt>
                <c:pt idx="1">
                  <c:v>97.64</c:v>
                </c:pt>
                <c:pt idx="2">
                  <c:v>96.16</c:v>
                </c:pt>
                <c:pt idx="3">
                  <c:v>93.34</c:v>
                </c:pt>
                <c:pt idx="4">
                  <c:v>91.58</c:v>
                </c:pt>
                <c:pt idx="5">
                  <c:v>89.33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92.35</c:v>
                </c:pt>
                <c:pt idx="1">
                  <c:v>85.55</c:v>
                </c:pt>
                <c:pt idx="2">
                  <c:v>71.81</c:v>
                </c:pt>
                <c:pt idx="3">
                  <c:v>61.09</c:v>
                </c:pt>
                <c:pt idx="4">
                  <c:v>59.624999999999993</c:v>
                </c:pt>
                <c:pt idx="5">
                  <c:v>58.975000000000001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10.5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GSD!$Q$12:$V$12</c:f>
              <c:numCache>
                <c:formatCode>0.00</c:formatCode>
                <c:ptCount val="6"/>
                <c:pt idx="0">
                  <c:v>99.74</c:v>
                </c:pt>
                <c:pt idx="1">
                  <c:v>98.95</c:v>
                </c:pt>
                <c:pt idx="2">
                  <c:v>93.46</c:v>
                </c:pt>
                <c:pt idx="3">
                  <c:v>86.93</c:v>
                </c:pt>
                <c:pt idx="4">
                  <c:v>84.35</c:v>
                </c:pt>
                <c:pt idx="5">
                  <c:v>80.83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GSD!$Q$13:$V$13</c:f>
              <c:numCache>
                <c:formatCode>0.00</c:formatCode>
                <c:ptCount val="6"/>
                <c:pt idx="0">
                  <c:v>94.76</c:v>
                </c:pt>
                <c:pt idx="1">
                  <c:v>89.784999999999997</c:v>
                </c:pt>
                <c:pt idx="2">
                  <c:v>79.92</c:v>
                </c:pt>
                <c:pt idx="3">
                  <c:v>69.215000000000003</c:v>
                </c:pt>
                <c:pt idx="4">
                  <c:v>68.115000000000009</c:v>
                </c:pt>
                <c:pt idx="5">
                  <c:v>67.37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GSD!$F$14</c:f>
              <c:strCache>
                <c:ptCount val="1"/>
                <c:pt idx="0">
                  <c:v>13.5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GSD!$Q$14:$V$14</c:f>
              <c:numCache>
                <c:formatCode>0.00</c:formatCode>
                <c:ptCount val="6"/>
                <c:pt idx="0">
                  <c:v>90.73</c:v>
                </c:pt>
                <c:pt idx="1">
                  <c:v>89.63</c:v>
                </c:pt>
                <c:pt idx="2">
                  <c:v>86.66</c:v>
                </c:pt>
                <c:pt idx="3">
                  <c:v>79.06</c:v>
                </c:pt>
                <c:pt idx="4">
                  <c:v>78.2</c:v>
                </c:pt>
                <c:pt idx="5">
                  <c:v>77.240000000000009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GSD!$F$15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GSD!$Q$15:$V$15</c:f>
              <c:numCache>
                <c:formatCode>0.00</c:formatCode>
                <c:ptCount val="6"/>
                <c:pt idx="0">
                  <c:v>97.9</c:v>
                </c:pt>
                <c:pt idx="1">
                  <c:v>96.09</c:v>
                </c:pt>
                <c:pt idx="2">
                  <c:v>93.27</c:v>
                </c:pt>
                <c:pt idx="3">
                  <c:v>88.22</c:v>
                </c:pt>
                <c:pt idx="4">
                  <c:v>83.89</c:v>
                </c:pt>
                <c:pt idx="5">
                  <c:v>81.210000000000008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GSD!$F$16</c:f>
              <c:strCache>
                <c:ptCount val="1"/>
                <c:pt idx="0">
                  <c:v>16.5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GSD!$Q$16:$V$16</c:f>
              <c:numCache>
                <c:formatCode>0.00</c:formatCode>
                <c:ptCount val="6"/>
                <c:pt idx="0">
                  <c:v>98.88</c:v>
                </c:pt>
                <c:pt idx="1">
                  <c:v>98.22</c:v>
                </c:pt>
                <c:pt idx="2">
                  <c:v>97.66</c:v>
                </c:pt>
                <c:pt idx="3">
                  <c:v>97.4</c:v>
                </c:pt>
                <c:pt idx="4">
                  <c:v>97.3</c:v>
                </c:pt>
                <c:pt idx="5">
                  <c:v>97.14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GSD!$F$17</c:f>
              <c:strCache>
                <c:ptCount val="1"/>
                <c:pt idx="0">
                  <c:v>18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GSD!$Q$17:$V$17</c:f>
              <c:numCache>
                <c:formatCode>0.00</c:formatCode>
                <c:ptCount val="6"/>
                <c:pt idx="0">
                  <c:v>99.06</c:v>
                </c:pt>
                <c:pt idx="1">
                  <c:v>96.47</c:v>
                </c:pt>
                <c:pt idx="2">
                  <c:v>58.39</c:v>
                </c:pt>
                <c:pt idx="3">
                  <c:v>29.01</c:v>
                </c:pt>
                <c:pt idx="4">
                  <c:v>22.25</c:v>
                </c:pt>
                <c:pt idx="5">
                  <c:v>17.900000000000006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100</c:v>
                </c:pt>
                <c:pt idx="1">
                  <c:v>99.83</c:v>
                </c:pt>
                <c:pt idx="2">
                  <c:v>97.11</c:v>
                </c:pt>
                <c:pt idx="3">
                  <c:v>40.42</c:v>
                </c:pt>
                <c:pt idx="4">
                  <c:v>32.67</c:v>
                </c:pt>
                <c:pt idx="5">
                  <c:v>27.490000000000009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6.5777610837062947E-2</c:v>
                </c:pt>
                <c:pt idx="7" formatCode="0.00000">
                  <c:v>4.6511794673136944E-2</c:v>
                </c:pt>
                <c:pt idx="8" formatCode="0.00000">
                  <c:v>3.2888805418531473E-2</c:v>
                </c:pt>
                <c:pt idx="9" formatCode="0.00000">
                  <c:v>2.3255897336568472E-2</c:v>
                </c:pt>
                <c:pt idx="10" formatCode="0.00000">
                  <c:v>1.7277240530008394E-2</c:v>
                </c:pt>
                <c:pt idx="11" formatCode="0.00000">
                  <c:v>1.2617512492970813E-2</c:v>
                </c:pt>
                <c:pt idx="12" formatCode="0.00000">
                  <c:v>9.0092688846657859E-3</c:v>
                </c:pt>
                <c:pt idx="13" formatCode="0.00000">
                  <c:v>6.3705151218801407E-3</c:v>
                </c:pt>
                <c:pt idx="14" formatCode="0.00000">
                  <c:v>4.5478852480377238E-3</c:v>
                </c:pt>
                <c:pt idx="15" formatCode="0.00000">
                  <c:v>3.2158404989457382E-3</c:v>
                </c:pt>
                <c:pt idx="16" formatCode="0.00000">
                  <c:v>2.2953642956830733E-3</c:v>
                </c:pt>
                <c:pt idx="17" formatCode="0.00000">
                  <c:v>1.6230676587709848E-3</c:v>
                </c:pt>
                <c:pt idx="18" formatCode="0.00000">
                  <c:v>1.3374826406927676E-3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97.73</c:v>
                </c:pt>
                <c:pt idx="1">
                  <c:v>94.36</c:v>
                </c:pt>
                <c:pt idx="2">
                  <c:v>62.11</c:v>
                </c:pt>
                <c:pt idx="3">
                  <c:v>41.89</c:v>
                </c:pt>
                <c:pt idx="4">
                  <c:v>34.090000000000003</c:v>
                </c:pt>
                <c:pt idx="5">
                  <c:v>28.659999999999997</c:v>
                </c:pt>
                <c:pt idx="6">
                  <c:v>27.401574712643356</c:v>
                </c:pt>
                <c:pt idx="7">
                  <c:v>27.401574712643356</c:v>
                </c:pt>
                <c:pt idx="8">
                  <c:v>27.401574712643356</c:v>
                </c:pt>
                <c:pt idx="9">
                  <c:v>27.401574712643356</c:v>
                </c:pt>
                <c:pt idx="10">
                  <c:v>24.252149425287378</c:v>
                </c:pt>
                <c:pt idx="11">
                  <c:v>24.252149425287378</c:v>
                </c:pt>
                <c:pt idx="12">
                  <c:v>21.102724137930704</c:v>
                </c:pt>
                <c:pt idx="13">
                  <c:v>21.102724137930704</c:v>
                </c:pt>
                <c:pt idx="14">
                  <c:v>17.953298850574729</c:v>
                </c:pt>
                <c:pt idx="15">
                  <c:v>17.953298850574729</c:v>
                </c:pt>
                <c:pt idx="16">
                  <c:v>14.803873563218053</c:v>
                </c:pt>
                <c:pt idx="17">
                  <c:v>14.803873563218053</c:v>
                </c:pt>
                <c:pt idx="18">
                  <c:v>11.654448275862078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6.4333197322251442E-2</c:v>
                </c:pt>
                <c:pt idx="7" formatCode="0.00000">
                  <c:v>4.5490440081976231E-2</c:v>
                </c:pt>
                <c:pt idx="8" formatCode="0.00000">
                  <c:v>3.2166598661125721E-2</c:v>
                </c:pt>
                <c:pt idx="9" formatCode="0.00000">
                  <c:v>2.3001975954708515E-2</c:v>
                </c:pt>
                <c:pt idx="10" formatCode="0.00000">
                  <c:v>1.6933906141931406E-2</c:v>
                </c:pt>
                <c:pt idx="11" formatCode="0.00000">
                  <c:v>1.236677650748148E-2</c:v>
                </c:pt>
                <c:pt idx="12" formatCode="0.00000">
                  <c:v>8.8337249036897093E-3</c:v>
                </c:pt>
                <c:pt idx="13" formatCode="0.00000">
                  <c:v>6.3087562464854063E-3</c:v>
                </c:pt>
                <c:pt idx="14" formatCode="0.00000">
                  <c:v>4.504634442332893E-3</c:v>
                </c:pt>
                <c:pt idx="15" formatCode="0.00000">
                  <c:v>3.1852575609400704E-3</c:v>
                </c:pt>
                <c:pt idx="16" formatCode="0.00000">
                  <c:v>2.2739426240188619E-3</c:v>
                </c:pt>
                <c:pt idx="17" formatCode="0.00000">
                  <c:v>1.6079202494728691E-3</c:v>
                </c:pt>
                <c:pt idx="18" formatCode="0.00000">
                  <c:v>1.3252291940008783E-3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92.68</c:v>
                </c:pt>
                <c:pt idx="1">
                  <c:v>86.88</c:v>
                </c:pt>
                <c:pt idx="2">
                  <c:v>73.009999999999991</c:v>
                </c:pt>
                <c:pt idx="3">
                  <c:v>45.384999999999998</c:v>
                </c:pt>
                <c:pt idx="4">
                  <c:v>39.114999999999995</c:v>
                </c:pt>
                <c:pt idx="5">
                  <c:v>35.434999999999988</c:v>
                </c:pt>
                <c:pt idx="6">
                  <c:v>33.700425287356005</c:v>
                </c:pt>
                <c:pt idx="7">
                  <c:v>33.700425287356005</c:v>
                </c:pt>
                <c:pt idx="8">
                  <c:v>33.700425287356005</c:v>
                </c:pt>
                <c:pt idx="9">
                  <c:v>30.551000000000027</c:v>
                </c:pt>
                <c:pt idx="10">
                  <c:v>30.551000000000027</c:v>
                </c:pt>
                <c:pt idx="11">
                  <c:v>30.551000000000027</c:v>
                </c:pt>
                <c:pt idx="12">
                  <c:v>27.401574712643356</c:v>
                </c:pt>
                <c:pt idx="13">
                  <c:v>24.252149425287378</c:v>
                </c:pt>
                <c:pt idx="14">
                  <c:v>21.102724137930704</c:v>
                </c:pt>
                <c:pt idx="15">
                  <c:v>21.102724137930704</c:v>
                </c:pt>
                <c:pt idx="16">
                  <c:v>17.953298850574729</c:v>
                </c:pt>
                <c:pt idx="17">
                  <c:v>17.953298850574729</c:v>
                </c:pt>
                <c:pt idx="18">
                  <c:v>14.803873563218053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6.6158933514662926E-2</c:v>
                </c:pt>
                <c:pt idx="7" formatCode="0.00000">
                  <c:v>4.6781430524288105E-2</c:v>
                </c:pt>
                <c:pt idx="8" formatCode="0.00000">
                  <c:v>3.3079466757331463E-2</c:v>
                </c:pt>
                <c:pt idx="9" formatCode="0.00000">
                  <c:v>2.3643350088054391E-2</c:v>
                </c:pt>
                <c:pt idx="10" formatCode="0.00000">
                  <c:v>1.737739928519276E-2</c:v>
                </c:pt>
                <c:pt idx="11" formatCode="0.00000">
                  <c:v>1.2814891907419182E-2</c:v>
                </c:pt>
                <c:pt idx="12" formatCode="0.00000">
                  <c:v>9.0614969679087137E-3</c:v>
                </c:pt>
                <c:pt idx="13" formatCode="0.00000">
                  <c:v>6.4074459537095908E-3</c:v>
                </c:pt>
                <c:pt idx="14" formatCode="0.00000">
                  <c:v>4.5742500210680945E-3</c:v>
                </c:pt>
                <c:pt idx="15" formatCode="0.00000">
                  <c:v>3.2344832087399578E-3</c:v>
                </c:pt>
                <c:pt idx="16" formatCode="0.00000">
                  <c:v>2.3086708668424521E-3</c:v>
                </c:pt>
                <c:pt idx="17" formatCode="0.00000">
                  <c:v>1.6324768254721226E-3</c:v>
                </c:pt>
                <c:pt idx="18" formatCode="0.00000">
                  <c:v>1.3452362282022898E-3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97.3</c:v>
                </c:pt>
                <c:pt idx="1">
                  <c:v>91.84</c:v>
                </c:pt>
                <c:pt idx="2">
                  <c:v>55.92</c:v>
                </c:pt>
                <c:pt idx="3">
                  <c:v>38.480000000000004</c:v>
                </c:pt>
                <c:pt idx="4">
                  <c:v>32.480000000000004</c:v>
                </c:pt>
                <c:pt idx="5">
                  <c:v>29.600000000000009</c:v>
                </c:pt>
                <c:pt idx="6">
                  <c:v>27.517860465115955</c:v>
                </c:pt>
                <c:pt idx="7">
                  <c:v>27.517860465115955</c:v>
                </c:pt>
                <c:pt idx="8">
                  <c:v>27.517860465115955</c:v>
                </c:pt>
                <c:pt idx="9">
                  <c:v>24.355069767441883</c:v>
                </c:pt>
                <c:pt idx="10">
                  <c:v>24.355069767441883</c:v>
                </c:pt>
                <c:pt idx="11">
                  <c:v>21.19227906976711</c:v>
                </c:pt>
                <c:pt idx="12">
                  <c:v>21.19227906976711</c:v>
                </c:pt>
                <c:pt idx="13">
                  <c:v>21.19227906976711</c:v>
                </c:pt>
                <c:pt idx="14">
                  <c:v>18.029488372093038</c:v>
                </c:pt>
                <c:pt idx="15">
                  <c:v>18.029488372093038</c:v>
                </c:pt>
                <c:pt idx="16">
                  <c:v>14.866697674418266</c:v>
                </c:pt>
                <c:pt idx="17">
                  <c:v>14.866697674418266</c:v>
                </c:pt>
                <c:pt idx="18">
                  <c:v>11.703906976744197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5.8400919110874416E-2</c:v>
                </c:pt>
                <c:pt idx="7" formatCode="0.00000">
                  <c:v>4.1295685930826338E-2</c:v>
                </c:pt>
                <c:pt idx="8" formatCode="0.00000">
                  <c:v>2.9200459555437208E-2</c:v>
                </c:pt>
                <c:pt idx="9" formatCode="0.00000">
                  <c:v>2.0647842965413169E-2</c:v>
                </c:pt>
                <c:pt idx="10" formatCode="0.00000">
                  <c:v>1.5367879290475192E-2</c:v>
                </c:pt>
                <c:pt idx="11" formatCode="0.00000">
                  <c:v>1.1077641981988894E-2</c:v>
                </c:pt>
                <c:pt idx="12" formatCode="0.00000">
                  <c:v>7.93593874113817E-3</c:v>
                </c:pt>
                <c:pt idx="13" formatCode="0.00000">
                  <c:v>5.6115560989398339E-3</c:v>
                </c:pt>
                <c:pt idx="14" formatCode="0.00000">
                  <c:v>4.0187426972137161E-3</c:v>
                </c:pt>
                <c:pt idx="15" formatCode="0.00000">
                  <c:v>2.8416802130437351E-3</c:v>
                </c:pt>
                <c:pt idx="16" formatCode="0.00000">
                  <c:v>2.03444125050606E-3</c:v>
                </c:pt>
                <c:pt idx="17" formatCode="0.00000">
                  <c:v>1.456078498385166E-3</c:v>
                </c:pt>
                <c:pt idx="18" formatCode="0.00000">
                  <c:v>1.2030111071914113E-3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98.33</c:v>
                </c:pt>
                <c:pt idx="1">
                  <c:v>96.97</c:v>
                </c:pt>
                <c:pt idx="2">
                  <c:v>93.45</c:v>
                </c:pt>
                <c:pt idx="3">
                  <c:v>87.55</c:v>
                </c:pt>
                <c:pt idx="4">
                  <c:v>84.42</c:v>
                </c:pt>
                <c:pt idx="5">
                  <c:v>80.289999999999992</c:v>
                </c:pt>
                <c:pt idx="6">
                  <c:v>62.853976190476239</c:v>
                </c:pt>
                <c:pt idx="7">
                  <c:v>62.853976190476239</c:v>
                </c:pt>
                <c:pt idx="8">
                  <c:v>62.853976190476239</c:v>
                </c:pt>
                <c:pt idx="9">
                  <c:v>62.853976190476239</c:v>
                </c:pt>
                <c:pt idx="10">
                  <c:v>62.853976190476239</c:v>
                </c:pt>
                <c:pt idx="11">
                  <c:v>66.04445238095208</c:v>
                </c:pt>
                <c:pt idx="12">
                  <c:v>62.853976190476239</c:v>
                </c:pt>
                <c:pt idx="13">
                  <c:v>62.853976190476239</c:v>
                </c:pt>
                <c:pt idx="14">
                  <c:v>59.663499999999701</c:v>
                </c:pt>
                <c:pt idx="15">
                  <c:v>59.663499999999701</c:v>
                </c:pt>
                <c:pt idx="16">
                  <c:v>56.473023809523852</c:v>
                </c:pt>
                <c:pt idx="17">
                  <c:v>53.282547619047307</c:v>
                </c:pt>
                <c:pt idx="18">
                  <c:v>50.092071428571465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5.5406126200210765E-2</c:v>
                </c:pt>
                <c:pt idx="7" formatCode="0.00000">
                  <c:v>3.9178047555446668E-2</c:v>
                </c:pt>
                <c:pt idx="8" formatCode="0.00000">
                  <c:v>2.7703063100105382E-2</c:v>
                </c:pt>
                <c:pt idx="9" formatCode="0.00000">
                  <c:v>1.9883215030650787E-2</c:v>
                </c:pt>
                <c:pt idx="10" formatCode="0.00000">
                  <c:v>1.4819933950164451E-2</c:v>
                </c:pt>
                <c:pt idx="11" formatCode="0.00000">
                  <c:v>1.0965075126240386E-2</c:v>
                </c:pt>
                <c:pt idx="12" formatCode="0.00000">
                  <c:v>7.7534789779845148E-3</c:v>
                </c:pt>
                <c:pt idx="13" formatCode="0.00000">
                  <c:v>5.5526909954018138E-3</c:v>
                </c:pt>
                <c:pt idx="14" formatCode="0.00000">
                  <c:v>3.9263454566821031E-3</c:v>
                </c:pt>
                <c:pt idx="15" formatCode="0.00000">
                  <c:v>2.810984545039722E-3</c:v>
                </c:pt>
                <c:pt idx="16" formatCode="0.00000">
                  <c:v>1.9876662336081696E-3</c:v>
                </c:pt>
                <c:pt idx="17" formatCode="0.00000">
                  <c:v>1.4226009544405179E-3</c:v>
                </c:pt>
                <c:pt idx="18" formatCode="0.00000">
                  <c:v>1.1753519821843703E-3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98.01</c:v>
                </c:pt>
                <c:pt idx="1">
                  <c:v>97.64</c:v>
                </c:pt>
                <c:pt idx="2">
                  <c:v>96.16</c:v>
                </c:pt>
                <c:pt idx="3">
                  <c:v>93.34</c:v>
                </c:pt>
                <c:pt idx="4">
                  <c:v>91.58</c:v>
                </c:pt>
                <c:pt idx="5">
                  <c:v>89.33</c:v>
                </c:pt>
                <c:pt idx="6">
                  <c:v>68.060659090909155</c:v>
                </c:pt>
                <c:pt idx="7">
                  <c:v>68.060659090909155</c:v>
                </c:pt>
                <c:pt idx="8">
                  <c:v>68.060659090909155</c:v>
                </c:pt>
                <c:pt idx="9">
                  <c:v>64.92429545454516</c:v>
                </c:pt>
                <c:pt idx="10">
                  <c:v>64.92429545454516</c:v>
                </c:pt>
                <c:pt idx="11">
                  <c:v>61.787931818181875</c:v>
                </c:pt>
                <c:pt idx="12">
                  <c:v>61.787931818181875</c:v>
                </c:pt>
                <c:pt idx="13">
                  <c:v>58.651568181817893</c:v>
                </c:pt>
                <c:pt idx="14">
                  <c:v>58.651568181817893</c:v>
                </c:pt>
                <c:pt idx="15">
                  <c:v>55.515204545454587</c:v>
                </c:pt>
                <c:pt idx="16">
                  <c:v>55.515204545454587</c:v>
                </c:pt>
                <c:pt idx="17">
                  <c:v>52.378840909090606</c:v>
                </c:pt>
                <c:pt idx="18">
                  <c:v>49.242477272727314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9.00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6.1965882670027353E-2</c:v>
                </c:pt>
                <c:pt idx="7" formatCode="0.00000">
                  <c:v>4.3816495838186309E-2</c:v>
                </c:pt>
                <c:pt idx="8" formatCode="0.00000">
                  <c:v>3.0982941335013676E-2</c:v>
                </c:pt>
                <c:pt idx="9" formatCode="0.00000">
                  <c:v>2.2194306790850625E-2</c:v>
                </c:pt>
                <c:pt idx="10" formatCode="0.00000">
                  <c:v>1.6436260781723916E-2</c:v>
                </c:pt>
                <c:pt idx="11" formatCode="0.00000">
                  <c:v>1.2003347721583579E-2</c:v>
                </c:pt>
                <c:pt idx="12" formatCode="0.00000">
                  <c:v>8.5861692196355175E-3</c:v>
                </c:pt>
                <c:pt idx="13" formatCode="0.00000">
                  <c:v>6.0713384796194812E-3</c:v>
                </c:pt>
                <c:pt idx="14" formatCode="0.00000">
                  <c:v>4.3417860804572566E-3</c:v>
                </c:pt>
                <c:pt idx="15" formatCode="0.00000">
                  <c:v>3.0701063799526869E-3</c:v>
                </c:pt>
                <c:pt idx="16" formatCode="0.00000">
                  <c:v>2.1949736484665806E-3</c:v>
                </c:pt>
                <c:pt idx="17" formatCode="0.00000">
                  <c:v>1.5520807513564963E-3</c:v>
                </c:pt>
                <c:pt idx="18" formatCode="0.00000">
                  <c:v>1.2810206923663471E-3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92.35</c:v>
                </c:pt>
                <c:pt idx="1">
                  <c:v>85.55</c:v>
                </c:pt>
                <c:pt idx="2">
                  <c:v>71.81</c:v>
                </c:pt>
                <c:pt idx="3">
                  <c:v>61.09</c:v>
                </c:pt>
                <c:pt idx="4">
                  <c:v>59.624999999999993</c:v>
                </c:pt>
                <c:pt idx="5">
                  <c:v>58.975000000000001</c:v>
                </c:pt>
                <c:pt idx="6">
                  <c:v>54.018901234567586</c:v>
                </c:pt>
                <c:pt idx="7">
                  <c:v>54.018901234567586</c:v>
                </c:pt>
                <c:pt idx="8">
                  <c:v>54.018901234567586</c:v>
                </c:pt>
                <c:pt idx="9">
                  <c:v>50.784333333333372</c:v>
                </c:pt>
                <c:pt idx="10">
                  <c:v>50.784333333333372</c:v>
                </c:pt>
                <c:pt idx="11">
                  <c:v>50.784333333333372</c:v>
                </c:pt>
                <c:pt idx="12">
                  <c:v>47.549765432098454</c:v>
                </c:pt>
                <c:pt idx="13">
                  <c:v>47.549765432098454</c:v>
                </c:pt>
                <c:pt idx="14">
                  <c:v>44.315197530864239</c:v>
                </c:pt>
                <c:pt idx="15">
                  <c:v>44.315197530864239</c:v>
                </c:pt>
                <c:pt idx="16">
                  <c:v>41.080629629629307</c:v>
                </c:pt>
                <c:pt idx="17">
                  <c:v>41.080629629629307</c:v>
                </c:pt>
                <c:pt idx="18">
                  <c:v>37.8460617283951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5.7573193340954225E-2</c:v>
                </c:pt>
                <c:pt idx="7" formatCode="0.00000">
                  <c:v>4.0710395425952915E-2</c:v>
                </c:pt>
                <c:pt idx="8" formatCode="0.00000">
                  <c:v>2.8347682276257575E-2</c:v>
                </c:pt>
                <c:pt idx="9" formatCode="0.00000">
                  <c:v>2.0660895494893312E-2</c:v>
                </c:pt>
                <c:pt idx="10" formatCode="0.00000">
                  <c:v>1.5194660781698727E-2</c:v>
                </c:pt>
                <c:pt idx="11" formatCode="0.00000">
                  <c:v>1.1393945643482367E-2</c:v>
                </c:pt>
                <c:pt idx="12" formatCode="0.00000">
                  <c:v>8.0567362289773025E-3</c:v>
                </c:pt>
                <c:pt idx="13" formatCode="0.00000">
                  <c:v>5.769870123849735E-3</c:v>
                </c:pt>
                <c:pt idx="14" formatCode="0.00000">
                  <c:v>4.0799142911398124E-3</c:v>
                </c:pt>
                <c:pt idx="15" formatCode="0.00000">
                  <c:v>2.8849350619248675E-3</c:v>
                </c:pt>
                <c:pt idx="16" formatCode="0.00000">
                  <c:v>2.0654086508645701E-3</c:v>
                </c:pt>
                <c:pt idx="17" formatCode="0.00000">
                  <c:v>1.4782423066552232E-3</c:v>
                </c:pt>
                <c:pt idx="18" formatCode="0.00000">
                  <c:v>1.2213228311514245E-3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99.74</c:v>
                </c:pt>
                <c:pt idx="1">
                  <c:v>98.95</c:v>
                </c:pt>
                <c:pt idx="2">
                  <c:v>93.46</c:v>
                </c:pt>
                <c:pt idx="3">
                  <c:v>86.93</c:v>
                </c:pt>
                <c:pt idx="4">
                  <c:v>84.35</c:v>
                </c:pt>
                <c:pt idx="5">
                  <c:v>80.83</c:v>
                </c:pt>
                <c:pt idx="6">
                  <c:v>70.027380368098221</c:v>
                </c:pt>
                <c:pt idx="7">
                  <c:v>70.027380368098221</c:v>
                </c:pt>
                <c:pt idx="8">
                  <c:v>73.25437423312853</c:v>
                </c:pt>
                <c:pt idx="9">
                  <c:v>66.800386503067188</c:v>
                </c:pt>
                <c:pt idx="10">
                  <c:v>70.027380368098221</c:v>
                </c:pt>
                <c:pt idx="11">
                  <c:v>63.573392638036864</c:v>
                </c:pt>
                <c:pt idx="12">
                  <c:v>63.573392638036864</c:v>
                </c:pt>
                <c:pt idx="13">
                  <c:v>60.346398773005838</c:v>
                </c:pt>
                <c:pt idx="14">
                  <c:v>60.346398773005838</c:v>
                </c:pt>
                <c:pt idx="15">
                  <c:v>60.346398773005838</c:v>
                </c:pt>
                <c:pt idx="16">
                  <c:v>57.1194049079755</c:v>
                </c:pt>
                <c:pt idx="17">
                  <c:v>53.892411042944474</c:v>
                </c:pt>
                <c:pt idx="18">
                  <c:v>50.665417177914151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12.00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5.8983147691564042E-2</c:v>
                </c:pt>
                <c:pt idx="7" formatCode="0.00000">
                  <c:v>4.1707383708432591E-2</c:v>
                </c:pt>
                <c:pt idx="8" formatCode="0.00000">
                  <c:v>2.9491573845782021E-2</c:v>
                </c:pt>
                <c:pt idx="9" formatCode="0.00000">
                  <c:v>2.1157743028985397E-2</c:v>
                </c:pt>
                <c:pt idx="10" formatCode="0.00000">
                  <c:v>1.5747390246670944E-2</c:v>
                </c:pt>
                <c:pt idx="11" formatCode="0.00000">
                  <c:v>1.1647422894264296E-2</c:v>
                </c:pt>
                <c:pt idx="12" formatCode="0.00000">
                  <c:v>8.2359717118817271E-3</c:v>
                </c:pt>
                <c:pt idx="13" formatCode="0.00000">
                  <c:v>5.8963709258144162E-3</c:v>
                </c:pt>
                <c:pt idx="14" formatCode="0.00000">
                  <c:v>4.2201164184250458E-3</c:v>
                </c:pt>
                <c:pt idx="15" formatCode="0.00000">
                  <c:v>3.0195339145906615E-3</c:v>
                </c:pt>
                <c:pt idx="16" formatCode="0.00000">
                  <c:v>2.1599165296599006E-3</c:v>
                </c:pt>
                <c:pt idx="17" formatCode="0.00000">
                  <c:v>1.5446174768392513E-3</c:v>
                </c:pt>
                <c:pt idx="18" formatCode="0.00000">
                  <c:v>1.2751644578812801E-3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94.76</c:v>
                </c:pt>
                <c:pt idx="1">
                  <c:v>89.784999999999997</c:v>
                </c:pt>
                <c:pt idx="2">
                  <c:v>79.92</c:v>
                </c:pt>
                <c:pt idx="3">
                  <c:v>69.215000000000003</c:v>
                </c:pt>
                <c:pt idx="4">
                  <c:v>68.115000000000009</c:v>
                </c:pt>
                <c:pt idx="5">
                  <c:v>67.37</c:v>
                </c:pt>
                <c:pt idx="6">
                  <c:v>67.276624999999697</c:v>
                </c:pt>
                <c:pt idx="7">
                  <c:v>67.276624999999697</c:v>
                </c:pt>
                <c:pt idx="8">
                  <c:v>67.276624999999697</c:v>
                </c:pt>
                <c:pt idx="9">
                  <c:v>64.026625000000053</c:v>
                </c:pt>
                <c:pt idx="10">
                  <c:v>64.026625000000053</c:v>
                </c:pt>
                <c:pt idx="11">
                  <c:v>60.776624999999697</c:v>
                </c:pt>
                <c:pt idx="12">
                  <c:v>60.776624999999697</c:v>
                </c:pt>
                <c:pt idx="13">
                  <c:v>57.526625000000038</c:v>
                </c:pt>
                <c:pt idx="14">
                  <c:v>54.276624999999683</c:v>
                </c:pt>
                <c:pt idx="15">
                  <c:v>51.026625000000038</c:v>
                </c:pt>
                <c:pt idx="16">
                  <c:v>47.776624999999683</c:v>
                </c:pt>
                <c:pt idx="17">
                  <c:v>44.526625000000038</c:v>
                </c:pt>
                <c:pt idx="18">
                  <c:v>41.276624999999676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13.50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5.6870081036182726E-2</c:v>
                </c:pt>
                <c:pt idx="7" formatCode="0.00000">
                  <c:v>4.0213219947313285E-2</c:v>
                </c:pt>
                <c:pt idx="8" formatCode="0.00000">
                  <c:v>2.8875307502248263E-2</c:v>
                </c:pt>
                <c:pt idx="9" formatCode="0.00000">
                  <c:v>2.0724565585716122E-2</c:v>
                </c:pt>
                <c:pt idx="10" formatCode="0.00000">
                  <c:v>1.5241485733319614E-2</c:v>
                </c:pt>
                <c:pt idx="11" formatCode="0.00000">
                  <c:v>1.1280918423129943E-2</c:v>
                </c:pt>
                <c:pt idx="12" formatCode="0.00000">
                  <c:v>7.9768139150074371E-3</c:v>
                </c:pt>
                <c:pt idx="13" formatCode="0.00000">
                  <c:v>5.7145290199739759E-3</c:v>
                </c:pt>
                <c:pt idx="14" formatCode="0.00000">
                  <c:v>4.0407822213109137E-3</c:v>
                </c:pt>
                <c:pt idx="15" formatCode="0.00000">
                  <c:v>2.8938254838069234E-3</c:v>
                </c:pt>
                <c:pt idx="16" formatCode="0.00000">
                  <c:v>2.0462436231703171E-3</c:v>
                </c:pt>
                <c:pt idx="17" formatCode="0.00000">
                  <c:v>1.464965134519378E-3</c:v>
                </c:pt>
                <c:pt idx="18" formatCode="0.00000">
                  <c:v>1.2106993042679034E-3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90.73</c:v>
                </c:pt>
                <c:pt idx="1">
                  <c:v>89.63</c:v>
                </c:pt>
                <c:pt idx="2">
                  <c:v>86.66</c:v>
                </c:pt>
                <c:pt idx="3">
                  <c:v>79.06</c:v>
                </c:pt>
                <c:pt idx="4">
                  <c:v>78.2</c:v>
                </c:pt>
                <c:pt idx="5">
                  <c:v>77.240000000000009</c:v>
                </c:pt>
                <c:pt idx="6">
                  <c:v>73.426308641974998</c:v>
                </c:pt>
                <c:pt idx="7">
                  <c:v>73.426308641974998</c:v>
                </c:pt>
                <c:pt idx="8">
                  <c:v>70.191740740740798</c:v>
                </c:pt>
                <c:pt idx="9">
                  <c:v>66.957172839505873</c:v>
                </c:pt>
                <c:pt idx="10">
                  <c:v>70.191740740740798</c:v>
                </c:pt>
                <c:pt idx="11">
                  <c:v>66.957172839505873</c:v>
                </c:pt>
                <c:pt idx="12">
                  <c:v>66.957172839505873</c:v>
                </c:pt>
                <c:pt idx="13">
                  <c:v>63.722604938271658</c:v>
                </c:pt>
                <c:pt idx="14">
                  <c:v>63.722604938271658</c:v>
                </c:pt>
                <c:pt idx="15">
                  <c:v>60.488037037036733</c:v>
                </c:pt>
                <c:pt idx="16">
                  <c:v>60.488037037036733</c:v>
                </c:pt>
                <c:pt idx="17">
                  <c:v>57.253469135802511</c:v>
                </c:pt>
                <c:pt idx="18">
                  <c:v>54.018901234567586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15.00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5.4874014062519398E-2</c:v>
                </c:pt>
                <c:pt idx="7" formatCode="0.00000">
                  <c:v>3.8801787454533436E-2</c:v>
                </c:pt>
                <c:pt idx="8" formatCode="0.00000">
                  <c:v>2.7437007031259699E-2</c:v>
                </c:pt>
                <c:pt idx="9" formatCode="0.00000">
                  <c:v>1.9701282712674278E-2</c:v>
                </c:pt>
                <c:pt idx="10" formatCode="0.00000">
                  <c:v>1.4706529113819039E-2</c:v>
                </c:pt>
                <c:pt idx="11" formatCode="0.00000">
                  <c:v>1.08849726413282E-2</c:v>
                </c:pt>
                <c:pt idx="12" formatCode="0.00000">
                  <c:v>7.6968379677132166E-3</c:v>
                </c:pt>
                <c:pt idx="13" formatCode="0.00000">
                  <c:v>5.5139563737075948E-3</c:v>
                </c:pt>
                <c:pt idx="14" formatCode="0.00000">
                  <c:v>3.8989559430154248E-3</c:v>
                </c:pt>
                <c:pt idx="15" formatCode="0.00000">
                  <c:v>2.7569781868537974E-3</c:v>
                </c:pt>
                <c:pt idx="16" formatCode="0.00000">
                  <c:v>1.9744230939595219E-3</c:v>
                </c:pt>
                <c:pt idx="17" formatCode="0.00000">
                  <c:v>1.4135467354367054E-3</c:v>
                </c:pt>
                <c:pt idx="18" formatCode="0.00000">
                  <c:v>1.1682053100225147E-3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97.9</c:v>
                </c:pt>
                <c:pt idx="1">
                  <c:v>96.09</c:v>
                </c:pt>
                <c:pt idx="2">
                  <c:v>93.27</c:v>
                </c:pt>
                <c:pt idx="3">
                  <c:v>88.22</c:v>
                </c:pt>
                <c:pt idx="4">
                  <c:v>83.89</c:v>
                </c:pt>
                <c:pt idx="5">
                  <c:v>81.210000000000008</c:v>
                </c:pt>
                <c:pt idx="6">
                  <c:v>71.493528735631884</c:v>
                </c:pt>
                <c:pt idx="7">
                  <c:v>71.493528735631884</c:v>
                </c:pt>
                <c:pt idx="8">
                  <c:v>71.493528735631884</c:v>
                </c:pt>
                <c:pt idx="9">
                  <c:v>68.344103448275916</c:v>
                </c:pt>
                <c:pt idx="10">
                  <c:v>68.344103448275916</c:v>
                </c:pt>
                <c:pt idx="11">
                  <c:v>65.194678160919239</c:v>
                </c:pt>
                <c:pt idx="12">
                  <c:v>65.194678160919239</c:v>
                </c:pt>
                <c:pt idx="13">
                  <c:v>62.045252873563271</c:v>
                </c:pt>
                <c:pt idx="14">
                  <c:v>62.045252873563271</c:v>
                </c:pt>
                <c:pt idx="15">
                  <c:v>62.045252873563271</c:v>
                </c:pt>
                <c:pt idx="16">
                  <c:v>58.8958275862066</c:v>
                </c:pt>
                <c:pt idx="17">
                  <c:v>55.746402298850612</c:v>
                </c:pt>
                <c:pt idx="18">
                  <c:v>52.596977011493948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16.50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5.3951696037805814E-2</c:v>
                </c:pt>
                <c:pt idx="7" formatCode="0.00000">
                  <c:v>3.8149610124847876E-2</c:v>
                </c:pt>
                <c:pt idx="8" formatCode="0.00000">
                  <c:v>2.6975848018902907E-2</c:v>
                </c:pt>
                <c:pt idx="9" formatCode="0.00000">
                  <c:v>1.9370145133871038E-2</c:v>
                </c:pt>
                <c:pt idx="10" formatCode="0.00000">
                  <c:v>1.4459342952675506E-2</c:v>
                </c:pt>
                <c:pt idx="11" formatCode="0.00000">
                  <c:v>1.0702018894693717E-2</c:v>
                </c:pt>
                <c:pt idx="12" formatCode="0.00000">
                  <c:v>7.5674701328244873E-3</c:v>
                </c:pt>
                <c:pt idx="13" formatCode="0.00000">
                  <c:v>5.4212782374742823E-3</c:v>
                </c:pt>
                <c:pt idx="14" formatCode="0.00000">
                  <c:v>3.8334226044171192E-3</c:v>
                </c:pt>
                <c:pt idx="15" formatCode="0.00000">
                  <c:v>2.7106391187371411E-3</c:v>
                </c:pt>
                <c:pt idx="16" formatCode="0.00000">
                  <c:v>1.9412371490440494E-3</c:v>
                </c:pt>
                <c:pt idx="17" formatCode="0.00000">
                  <c:v>1.3897879553448583E-3</c:v>
                </c:pt>
                <c:pt idx="18" formatCode="0.00000">
                  <c:v>1.148570208920337E-3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98.88</c:v>
                </c:pt>
                <c:pt idx="1">
                  <c:v>98.22</c:v>
                </c:pt>
                <c:pt idx="2">
                  <c:v>97.66</c:v>
                </c:pt>
                <c:pt idx="3">
                  <c:v>97.4</c:v>
                </c:pt>
                <c:pt idx="4">
                  <c:v>97.3</c:v>
                </c:pt>
                <c:pt idx="5">
                  <c:v>97.14</c:v>
                </c:pt>
                <c:pt idx="6">
                  <c:v>70.623777777777491</c:v>
                </c:pt>
                <c:pt idx="7">
                  <c:v>70.623777777777491</c:v>
                </c:pt>
                <c:pt idx="8">
                  <c:v>70.623777777777491</c:v>
                </c:pt>
                <c:pt idx="9">
                  <c:v>67.512666666666732</c:v>
                </c:pt>
                <c:pt idx="10">
                  <c:v>67.512666666666732</c:v>
                </c:pt>
                <c:pt idx="11">
                  <c:v>64.401555555555262</c:v>
                </c:pt>
                <c:pt idx="12">
                  <c:v>64.401555555555262</c:v>
                </c:pt>
                <c:pt idx="13">
                  <c:v>61.290444444444496</c:v>
                </c:pt>
                <c:pt idx="14">
                  <c:v>61.290444444444496</c:v>
                </c:pt>
                <c:pt idx="15">
                  <c:v>61.290444444444496</c:v>
                </c:pt>
                <c:pt idx="16">
                  <c:v>58.179333333333041</c:v>
                </c:pt>
                <c:pt idx="17">
                  <c:v>55.068222222222268</c:v>
                </c:pt>
                <c:pt idx="18">
                  <c:v>51.957111111110812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PLOT!$C$15</c:f>
              <c:strCache>
                <c:ptCount val="1"/>
                <c:pt idx="0">
                  <c:v>18.00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PLOT!$D$15:$V$15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6.7499810418601022E-2</c:v>
                </c:pt>
                <c:pt idx="7" formatCode="0.00000">
                  <c:v>4.7729573675799157E-2</c:v>
                </c:pt>
                <c:pt idx="8" formatCode="0.00000">
                  <c:v>3.3749905209300511E-2</c:v>
                </c:pt>
                <c:pt idx="9" formatCode="0.00000">
                  <c:v>2.3864786837899579E-2</c:v>
                </c:pt>
                <c:pt idx="10" formatCode="0.00000">
                  <c:v>1.7513518998730115E-2</c:v>
                </c:pt>
                <c:pt idx="11" formatCode="0.00000">
                  <c:v>1.2790065889199698E-2</c:v>
                </c:pt>
                <c:pt idx="12" formatCode="0.00000">
                  <c:v>9.1291407615295209E-3</c:v>
                </c:pt>
                <c:pt idx="13" formatCode="0.00000">
                  <c:v>6.4552773388840464E-3</c:v>
                </c:pt>
                <c:pt idx="14" formatCode="0.00000">
                  <c:v>4.606775698973318E-3</c:v>
                </c:pt>
                <c:pt idx="15" formatCode="0.00000">
                  <c:v>3.2574823361494307E-3</c:v>
                </c:pt>
                <c:pt idx="16" formatCode="0.00000">
                  <c:v>2.303387849486659E-3</c:v>
                </c:pt>
                <c:pt idx="17" formatCode="0.00000">
                  <c:v>1.6287411680747153E-3</c:v>
                </c:pt>
                <c:pt idx="18" formatCode="0.00000">
                  <c:v>1.3298615949492358E-3</c:v>
                </c:pt>
              </c:numCache>
            </c:numRef>
          </c:xVal>
          <c:yVal>
            <c:numRef>
              <c:f>PLOT!$W$15:$AO$15</c:f>
              <c:numCache>
                <c:formatCode>0.00</c:formatCode>
                <c:ptCount val="19"/>
                <c:pt idx="0">
                  <c:v>99.06</c:v>
                </c:pt>
                <c:pt idx="1">
                  <c:v>96.47</c:v>
                </c:pt>
                <c:pt idx="2">
                  <c:v>58.39</c:v>
                </c:pt>
                <c:pt idx="3">
                  <c:v>29.01</c:v>
                </c:pt>
                <c:pt idx="4">
                  <c:v>22.25</c:v>
                </c:pt>
                <c:pt idx="5">
                  <c:v>17.900000000000006</c:v>
                </c:pt>
                <c:pt idx="6">
                  <c:v>17.878840909090925</c:v>
                </c:pt>
                <c:pt idx="7">
                  <c:v>17.878840909090925</c:v>
                </c:pt>
                <c:pt idx="8">
                  <c:v>17.878840909090925</c:v>
                </c:pt>
                <c:pt idx="9">
                  <c:v>17.878840909090925</c:v>
                </c:pt>
                <c:pt idx="10">
                  <c:v>17.878840909090925</c:v>
                </c:pt>
                <c:pt idx="11">
                  <c:v>17.878840909090925</c:v>
                </c:pt>
                <c:pt idx="12">
                  <c:v>14.742477272726939</c:v>
                </c:pt>
                <c:pt idx="13">
                  <c:v>14.742477272726939</c:v>
                </c:pt>
                <c:pt idx="14">
                  <c:v>11.606113636363647</c:v>
                </c:pt>
                <c:pt idx="15">
                  <c:v>11.606113636363647</c:v>
                </c:pt>
                <c:pt idx="16">
                  <c:v>11.606113636363647</c:v>
                </c:pt>
                <c:pt idx="17">
                  <c:v>11.606113636363647</c:v>
                </c:pt>
                <c:pt idx="18">
                  <c:v>11.606113636363647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75-4D3E-9B67-604B84324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229269973501101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27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8"/>
  <sheetViews>
    <sheetView topLeftCell="A4" zoomScaleNormal="100" workbookViewId="0">
      <selection activeCell="D5" sqref="D5:D17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49" t="s">
        <v>3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</row>
    <row r="2" spans="1:25" ht="24.6" customHeight="1" x14ac:dyDescent="0.25">
      <c r="A2" s="50" t="s">
        <v>4</v>
      </c>
      <c r="B2" s="53" t="s">
        <v>5</v>
      </c>
      <c r="C2" s="53" t="s">
        <v>6</v>
      </c>
      <c r="D2" s="53" t="s">
        <v>7</v>
      </c>
      <c r="E2" s="56" t="s">
        <v>8</v>
      </c>
      <c r="F2" s="56" t="s">
        <v>9</v>
      </c>
      <c r="G2" s="56" t="s">
        <v>10</v>
      </c>
      <c r="H2" s="56" t="s">
        <v>11</v>
      </c>
      <c r="I2" s="57" t="s">
        <v>12</v>
      </c>
      <c r="J2" s="60" t="s">
        <v>13</v>
      </c>
      <c r="K2" s="60"/>
      <c r="L2" s="60"/>
      <c r="M2" s="60"/>
      <c r="N2" s="60"/>
      <c r="O2" s="60"/>
      <c r="P2" s="60"/>
      <c r="Q2" s="60" t="s">
        <v>0</v>
      </c>
      <c r="R2" s="60"/>
      <c r="S2" s="60"/>
      <c r="T2" s="60"/>
      <c r="U2" s="60"/>
      <c r="V2" s="60"/>
      <c r="W2" s="59" t="s">
        <v>14</v>
      </c>
      <c r="X2" s="59" t="s">
        <v>15</v>
      </c>
      <c r="Y2" s="59" t="s">
        <v>16</v>
      </c>
    </row>
    <row r="3" spans="1:25" ht="40.5" customHeight="1" x14ac:dyDescent="0.25">
      <c r="A3" s="51"/>
      <c r="B3" s="54"/>
      <c r="C3" s="54"/>
      <c r="D3" s="54"/>
      <c r="E3" s="56"/>
      <c r="F3" s="56"/>
      <c r="G3" s="56"/>
      <c r="H3" s="56"/>
      <c r="I3" s="58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9"/>
      <c r="X3" s="59"/>
      <c r="Y3" s="59"/>
    </row>
    <row r="4" spans="1:25" ht="21.6" customHeight="1" x14ac:dyDescent="0.25">
      <c r="A4" s="52"/>
      <c r="B4" s="55"/>
      <c r="C4" s="55"/>
      <c r="D4" s="55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60" t="s">
        <v>20</v>
      </c>
      <c r="K4" s="60"/>
      <c r="L4" s="60"/>
      <c r="M4" s="60"/>
      <c r="N4" s="60"/>
      <c r="O4" s="60"/>
      <c r="P4" s="60"/>
      <c r="Q4" s="60" t="s">
        <v>20</v>
      </c>
      <c r="R4" s="60"/>
      <c r="S4" s="60"/>
      <c r="T4" s="60"/>
      <c r="U4" s="60"/>
      <c r="V4" s="60"/>
      <c r="W4" s="61" t="s">
        <v>21</v>
      </c>
      <c r="X4" s="62"/>
      <c r="Y4" s="62"/>
    </row>
    <row r="5" spans="1:25" ht="30" customHeight="1" x14ac:dyDescent="0.25">
      <c r="A5" s="10">
        <v>1</v>
      </c>
      <c r="B5" s="63" t="s">
        <v>50</v>
      </c>
      <c r="C5" s="65">
        <v>14.76</v>
      </c>
      <c r="D5" s="67"/>
      <c r="E5" s="47" t="s">
        <v>51</v>
      </c>
      <c r="F5" s="47">
        <v>0.5</v>
      </c>
      <c r="G5" s="47" t="s">
        <v>52</v>
      </c>
      <c r="H5" s="47">
        <v>100</v>
      </c>
      <c r="I5" s="26">
        <f>SUM(J5:O5)</f>
        <v>72.509999999999991</v>
      </c>
      <c r="J5" s="26">
        <v>0</v>
      </c>
      <c r="K5" s="26">
        <v>0.17</v>
      </c>
      <c r="L5" s="26">
        <v>2.72</v>
      </c>
      <c r="M5" s="26">
        <v>56.69</v>
      </c>
      <c r="N5" s="26">
        <v>7.75</v>
      </c>
      <c r="O5" s="26">
        <v>5.18</v>
      </c>
      <c r="P5" s="26" t="s">
        <v>18</v>
      </c>
      <c r="Q5" s="11">
        <f t="shared" ref="Q5:Q16" si="0">((H5-(SUM(J5)))/H5)*100</f>
        <v>100</v>
      </c>
      <c r="R5" s="11">
        <f t="shared" ref="R5:R16" si="1">((H5-(SUM(J5:K5)))/H5)*100</f>
        <v>99.83</v>
      </c>
      <c r="S5" s="11">
        <f t="shared" ref="S5:S16" si="2">((H5-(SUM(J5:L5)))/H5)*100</f>
        <v>97.11</v>
      </c>
      <c r="T5" s="11">
        <f t="shared" ref="T5:T16" si="3">((H5-(SUM(J5:M5)))/H5)*100</f>
        <v>40.42</v>
      </c>
      <c r="U5" s="11">
        <f t="shared" ref="U5:U16" si="4">((H5-(SUM(J5:N5)))/H5)*100</f>
        <v>32.67</v>
      </c>
      <c r="V5" s="11">
        <f t="shared" ref="V5:V16" si="5">((H5-(SUM(J5:O5)))/H5)*100</f>
        <v>27.490000000000009</v>
      </c>
      <c r="W5" s="11">
        <f>100-Q5</f>
        <v>0</v>
      </c>
      <c r="X5" s="11">
        <f>Q5-V5</f>
        <v>72.509999999999991</v>
      </c>
      <c r="Y5" s="11">
        <f>V5</f>
        <v>27.490000000000009</v>
      </c>
    </row>
    <row r="6" spans="1:25" ht="30" customHeight="1" x14ac:dyDescent="0.25">
      <c r="A6" s="46">
        <v>2</v>
      </c>
      <c r="B6" s="64"/>
      <c r="C6" s="66"/>
      <c r="D6" s="68"/>
      <c r="E6" s="47" t="s">
        <v>47</v>
      </c>
      <c r="F6" s="47">
        <v>1.5</v>
      </c>
      <c r="G6" s="47">
        <v>21</v>
      </c>
      <c r="H6" s="47">
        <v>100</v>
      </c>
      <c r="I6" s="26">
        <f t="shared" ref="I6:I17" si="6">SUM(J6:O6)</f>
        <v>71.34</v>
      </c>
      <c r="J6" s="26">
        <v>2.27</v>
      </c>
      <c r="K6" s="26">
        <v>3.37</v>
      </c>
      <c r="L6" s="26">
        <v>32.25</v>
      </c>
      <c r="M6" s="26">
        <v>20.22</v>
      </c>
      <c r="N6" s="26">
        <v>7.8</v>
      </c>
      <c r="O6" s="26">
        <v>5.43</v>
      </c>
      <c r="P6" s="26" t="s">
        <v>18</v>
      </c>
      <c r="Q6" s="11">
        <f t="shared" si="0"/>
        <v>97.73</v>
      </c>
      <c r="R6" s="11">
        <f t="shared" si="1"/>
        <v>94.36</v>
      </c>
      <c r="S6" s="11">
        <f t="shared" si="2"/>
        <v>62.11</v>
      </c>
      <c r="T6" s="11">
        <f t="shared" si="3"/>
        <v>41.89</v>
      </c>
      <c r="U6" s="11">
        <f t="shared" si="4"/>
        <v>34.090000000000003</v>
      </c>
      <c r="V6" s="11">
        <f t="shared" si="5"/>
        <v>28.659999999999997</v>
      </c>
      <c r="W6" s="11">
        <f t="shared" ref="W6:W16" si="7">100-Q6</f>
        <v>2.269999999999996</v>
      </c>
      <c r="X6" s="11">
        <f t="shared" ref="X6:X16" si="8">Q6-V6</f>
        <v>69.070000000000007</v>
      </c>
      <c r="Y6" s="11">
        <f t="shared" ref="Y6:Y16" si="9">V6</f>
        <v>28.659999999999997</v>
      </c>
    </row>
    <row r="7" spans="1:25" ht="30" customHeight="1" x14ac:dyDescent="0.25">
      <c r="A7" s="46">
        <v>3</v>
      </c>
      <c r="B7" s="64"/>
      <c r="C7" s="66"/>
      <c r="D7" s="68"/>
      <c r="E7" s="47" t="s">
        <v>48</v>
      </c>
      <c r="F7" s="47">
        <v>3</v>
      </c>
      <c r="G7" s="47">
        <v>72</v>
      </c>
      <c r="H7" s="47">
        <v>200</v>
      </c>
      <c r="I7" s="26">
        <f t="shared" si="6"/>
        <v>129.13000000000002</v>
      </c>
      <c r="J7" s="26">
        <v>14.64</v>
      </c>
      <c r="K7" s="26">
        <v>11.6</v>
      </c>
      <c r="L7" s="26">
        <v>27.74</v>
      </c>
      <c r="M7" s="26">
        <v>55.25</v>
      </c>
      <c r="N7" s="26">
        <v>12.54</v>
      </c>
      <c r="O7" s="26">
        <v>7.36</v>
      </c>
      <c r="P7" s="26" t="s">
        <v>18</v>
      </c>
      <c r="Q7" s="11">
        <f t="shared" si="0"/>
        <v>92.68</v>
      </c>
      <c r="R7" s="11">
        <f t="shared" si="1"/>
        <v>86.88</v>
      </c>
      <c r="S7" s="11">
        <f t="shared" si="2"/>
        <v>73.009999999999991</v>
      </c>
      <c r="T7" s="11">
        <f t="shared" si="3"/>
        <v>45.384999999999998</v>
      </c>
      <c r="U7" s="11">
        <f t="shared" si="4"/>
        <v>39.114999999999995</v>
      </c>
      <c r="V7" s="11">
        <f t="shared" si="5"/>
        <v>35.434999999999988</v>
      </c>
      <c r="W7" s="11">
        <f t="shared" si="7"/>
        <v>7.3199999999999932</v>
      </c>
      <c r="X7" s="11">
        <f t="shared" si="8"/>
        <v>57.245000000000019</v>
      </c>
      <c r="Y7" s="11">
        <f t="shared" si="9"/>
        <v>35.434999999999988</v>
      </c>
    </row>
    <row r="8" spans="1:25" ht="30" customHeight="1" x14ac:dyDescent="0.25">
      <c r="A8" s="46">
        <v>4</v>
      </c>
      <c r="B8" s="64"/>
      <c r="C8" s="66"/>
      <c r="D8" s="68"/>
      <c r="E8" s="47" t="s">
        <v>47</v>
      </c>
      <c r="F8" s="47">
        <v>4.5</v>
      </c>
      <c r="G8" s="47">
        <v>45</v>
      </c>
      <c r="H8" s="47">
        <v>100</v>
      </c>
      <c r="I8" s="26">
        <f t="shared" si="6"/>
        <v>70.399999999999991</v>
      </c>
      <c r="J8" s="26">
        <v>2.7</v>
      </c>
      <c r="K8" s="26">
        <v>5.46</v>
      </c>
      <c r="L8" s="26">
        <v>35.92</v>
      </c>
      <c r="M8" s="26">
        <v>17.440000000000001</v>
      </c>
      <c r="N8" s="26">
        <v>6</v>
      </c>
      <c r="O8" s="26">
        <v>2.88</v>
      </c>
      <c r="P8" s="26" t="s">
        <v>18</v>
      </c>
      <c r="Q8" s="11">
        <f t="shared" si="0"/>
        <v>97.3</v>
      </c>
      <c r="R8" s="11">
        <f t="shared" si="1"/>
        <v>91.84</v>
      </c>
      <c r="S8" s="11">
        <f t="shared" si="2"/>
        <v>55.92</v>
      </c>
      <c r="T8" s="11">
        <f t="shared" si="3"/>
        <v>38.480000000000004</v>
      </c>
      <c r="U8" s="11">
        <f t="shared" si="4"/>
        <v>32.480000000000004</v>
      </c>
      <c r="V8" s="11">
        <f t="shared" si="5"/>
        <v>29.600000000000009</v>
      </c>
      <c r="W8" s="11">
        <f t="shared" si="7"/>
        <v>2.7000000000000028</v>
      </c>
      <c r="X8" s="11">
        <f t="shared" si="8"/>
        <v>67.699999999999989</v>
      </c>
      <c r="Y8" s="11">
        <f t="shared" si="9"/>
        <v>29.600000000000009</v>
      </c>
    </row>
    <row r="9" spans="1:25" ht="30" customHeight="1" x14ac:dyDescent="0.25">
      <c r="A9" s="46">
        <v>5</v>
      </c>
      <c r="B9" s="64"/>
      <c r="C9" s="66"/>
      <c r="D9" s="68"/>
      <c r="E9" s="47" t="s">
        <v>48</v>
      </c>
      <c r="F9" s="47">
        <v>6</v>
      </c>
      <c r="G9" s="47" t="s">
        <v>53</v>
      </c>
      <c r="H9" s="47">
        <v>200</v>
      </c>
      <c r="I9" s="26">
        <f t="shared" si="6"/>
        <v>39.42</v>
      </c>
      <c r="J9" s="26">
        <v>3.34</v>
      </c>
      <c r="K9" s="26">
        <v>2.72</v>
      </c>
      <c r="L9" s="26">
        <v>7.04</v>
      </c>
      <c r="M9" s="26">
        <v>11.8</v>
      </c>
      <c r="N9" s="26">
        <v>6.26</v>
      </c>
      <c r="O9" s="26">
        <v>8.26</v>
      </c>
      <c r="P9" s="26" t="s">
        <v>18</v>
      </c>
      <c r="Q9" s="11">
        <f t="shared" si="0"/>
        <v>98.33</v>
      </c>
      <c r="R9" s="11">
        <f t="shared" si="1"/>
        <v>96.97</v>
      </c>
      <c r="S9" s="11">
        <f t="shared" si="2"/>
        <v>93.45</v>
      </c>
      <c r="T9" s="11">
        <f t="shared" si="3"/>
        <v>87.55</v>
      </c>
      <c r="U9" s="11">
        <f t="shared" si="4"/>
        <v>84.42</v>
      </c>
      <c r="V9" s="11">
        <f t="shared" si="5"/>
        <v>80.289999999999992</v>
      </c>
      <c r="W9" s="11">
        <f t="shared" si="7"/>
        <v>1.6700000000000017</v>
      </c>
      <c r="X9" s="11">
        <f t="shared" si="8"/>
        <v>18.040000000000006</v>
      </c>
      <c r="Y9" s="11">
        <f t="shared" si="9"/>
        <v>80.289999999999992</v>
      </c>
    </row>
    <row r="10" spans="1:25" ht="30" customHeight="1" x14ac:dyDescent="0.25">
      <c r="A10" s="46">
        <v>6</v>
      </c>
      <c r="B10" s="64"/>
      <c r="C10" s="66"/>
      <c r="D10" s="68"/>
      <c r="E10" s="47" t="s">
        <v>47</v>
      </c>
      <c r="F10" s="47">
        <v>7.5</v>
      </c>
      <c r="G10" s="47">
        <v>14</v>
      </c>
      <c r="H10" s="47">
        <v>100</v>
      </c>
      <c r="I10" s="26">
        <f t="shared" si="6"/>
        <v>10.67</v>
      </c>
      <c r="J10" s="26">
        <v>1.99</v>
      </c>
      <c r="K10" s="26">
        <v>0.37</v>
      </c>
      <c r="L10" s="26">
        <v>1.48</v>
      </c>
      <c r="M10" s="26">
        <v>2.82</v>
      </c>
      <c r="N10" s="26">
        <v>1.76</v>
      </c>
      <c r="O10" s="26">
        <v>2.25</v>
      </c>
      <c r="P10" s="26" t="s">
        <v>18</v>
      </c>
      <c r="Q10" s="11">
        <f t="shared" si="0"/>
        <v>98.01</v>
      </c>
      <c r="R10" s="11">
        <f t="shared" si="1"/>
        <v>97.64</v>
      </c>
      <c r="S10" s="11">
        <f t="shared" si="2"/>
        <v>96.16</v>
      </c>
      <c r="T10" s="11">
        <f t="shared" si="3"/>
        <v>93.34</v>
      </c>
      <c r="U10" s="11">
        <f t="shared" si="4"/>
        <v>91.58</v>
      </c>
      <c r="V10" s="11">
        <f t="shared" si="5"/>
        <v>89.33</v>
      </c>
      <c r="W10" s="11">
        <f t="shared" si="7"/>
        <v>1.9899999999999949</v>
      </c>
      <c r="X10" s="11">
        <f t="shared" si="8"/>
        <v>8.6800000000000068</v>
      </c>
      <c r="Y10" s="11">
        <f t="shared" si="9"/>
        <v>89.33</v>
      </c>
    </row>
    <row r="11" spans="1:25" ht="30" customHeight="1" x14ac:dyDescent="0.25">
      <c r="A11" s="46">
        <v>7</v>
      </c>
      <c r="B11" s="64"/>
      <c r="C11" s="66"/>
      <c r="D11" s="68"/>
      <c r="E11" s="47" t="s">
        <v>48</v>
      </c>
      <c r="F11" s="47">
        <v>9</v>
      </c>
      <c r="G11" s="47" t="s">
        <v>54</v>
      </c>
      <c r="H11" s="47">
        <v>200</v>
      </c>
      <c r="I11" s="26">
        <f t="shared" si="6"/>
        <v>82.05</v>
      </c>
      <c r="J11" s="26">
        <v>15.3</v>
      </c>
      <c r="K11" s="26">
        <v>13.6</v>
      </c>
      <c r="L11" s="26">
        <v>27.48</v>
      </c>
      <c r="M11" s="26">
        <v>21.44</v>
      </c>
      <c r="N11" s="26">
        <v>2.93</v>
      </c>
      <c r="O11" s="26">
        <v>1.3</v>
      </c>
      <c r="P11" s="26" t="s">
        <v>18</v>
      </c>
      <c r="Q11" s="11">
        <f t="shared" si="0"/>
        <v>92.35</v>
      </c>
      <c r="R11" s="11">
        <f t="shared" si="1"/>
        <v>85.55</v>
      </c>
      <c r="S11" s="11">
        <f t="shared" si="2"/>
        <v>71.81</v>
      </c>
      <c r="T11" s="11">
        <f t="shared" si="3"/>
        <v>61.09</v>
      </c>
      <c r="U11" s="11">
        <f t="shared" si="4"/>
        <v>59.624999999999993</v>
      </c>
      <c r="V11" s="11">
        <f t="shared" si="5"/>
        <v>58.975000000000001</v>
      </c>
      <c r="W11" s="11">
        <f t="shared" si="7"/>
        <v>7.6500000000000057</v>
      </c>
      <c r="X11" s="11">
        <f t="shared" si="8"/>
        <v>33.374999999999993</v>
      </c>
      <c r="Y11" s="11">
        <f t="shared" si="9"/>
        <v>58.975000000000001</v>
      </c>
    </row>
    <row r="12" spans="1:25" ht="30" customHeight="1" x14ac:dyDescent="0.25">
      <c r="A12" s="46">
        <v>8</v>
      </c>
      <c r="B12" s="64"/>
      <c r="C12" s="66"/>
      <c r="D12" s="68"/>
      <c r="E12" s="47" t="s">
        <v>47</v>
      </c>
      <c r="F12" s="47">
        <v>10.5</v>
      </c>
      <c r="G12" s="47">
        <v>0.27</v>
      </c>
      <c r="H12" s="47">
        <v>100</v>
      </c>
      <c r="I12" s="26">
        <f t="shared" si="6"/>
        <v>19.170000000000002</v>
      </c>
      <c r="J12" s="26">
        <v>0.26</v>
      </c>
      <c r="K12" s="26">
        <v>0.79</v>
      </c>
      <c r="L12" s="26">
        <v>5.49</v>
      </c>
      <c r="M12" s="26">
        <v>6.53</v>
      </c>
      <c r="N12" s="26">
        <v>2.58</v>
      </c>
      <c r="O12" s="26">
        <v>3.52</v>
      </c>
      <c r="P12" s="26" t="s">
        <v>18</v>
      </c>
      <c r="Q12" s="11">
        <f t="shared" si="0"/>
        <v>99.74</v>
      </c>
      <c r="R12" s="11">
        <f t="shared" si="1"/>
        <v>98.95</v>
      </c>
      <c r="S12" s="11">
        <f t="shared" si="2"/>
        <v>93.46</v>
      </c>
      <c r="T12" s="11">
        <f t="shared" si="3"/>
        <v>86.93</v>
      </c>
      <c r="U12" s="11">
        <f t="shared" si="4"/>
        <v>84.35</v>
      </c>
      <c r="V12" s="11">
        <f t="shared" si="5"/>
        <v>80.83</v>
      </c>
      <c r="W12" s="11">
        <f t="shared" si="7"/>
        <v>0.26000000000000512</v>
      </c>
      <c r="X12" s="11">
        <f t="shared" si="8"/>
        <v>18.909999999999997</v>
      </c>
      <c r="Y12" s="11">
        <f t="shared" si="9"/>
        <v>80.83</v>
      </c>
    </row>
    <row r="13" spans="1:25" ht="30" customHeight="1" x14ac:dyDescent="0.25">
      <c r="A13" s="46">
        <v>9</v>
      </c>
      <c r="B13" s="64"/>
      <c r="C13" s="66"/>
      <c r="D13" s="68"/>
      <c r="E13" s="47" t="s">
        <v>48</v>
      </c>
      <c r="F13" s="47">
        <v>12</v>
      </c>
      <c r="G13" s="47">
        <v>8</v>
      </c>
      <c r="H13" s="47">
        <v>200</v>
      </c>
      <c r="I13" s="26">
        <f t="shared" si="6"/>
        <v>65.259999999999991</v>
      </c>
      <c r="J13" s="26">
        <v>10.48</v>
      </c>
      <c r="K13" s="26">
        <v>9.9499999999999993</v>
      </c>
      <c r="L13" s="26">
        <v>19.73</v>
      </c>
      <c r="M13" s="26">
        <v>21.41</v>
      </c>
      <c r="N13" s="26">
        <v>2.2000000000000002</v>
      </c>
      <c r="O13" s="26">
        <v>1.49</v>
      </c>
      <c r="P13" s="26" t="s">
        <v>18</v>
      </c>
      <c r="Q13" s="11">
        <f t="shared" si="0"/>
        <v>94.76</v>
      </c>
      <c r="R13" s="11">
        <f t="shared" si="1"/>
        <v>89.784999999999997</v>
      </c>
      <c r="S13" s="11">
        <f t="shared" si="2"/>
        <v>79.92</v>
      </c>
      <c r="T13" s="11">
        <f t="shared" si="3"/>
        <v>69.215000000000003</v>
      </c>
      <c r="U13" s="11">
        <f t="shared" si="4"/>
        <v>68.115000000000009</v>
      </c>
      <c r="V13" s="11">
        <f t="shared" si="5"/>
        <v>67.37</v>
      </c>
      <c r="W13" s="11">
        <f t="shared" si="7"/>
        <v>5.2399999999999949</v>
      </c>
      <c r="X13" s="11">
        <f t="shared" si="8"/>
        <v>27.39</v>
      </c>
      <c r="Y13" s="11">
        <f t="shared" si="9"/>
        <v>67.37</v>
      </c>
    </row>
    <row r="14" spans="1:25" ht="30" customHeight="1" x14ac:dyDescent="0.25">
      <c r="A14" s="46">
        <v>10</v>
      </c>
      <c r="B14" s="64"/>
      <c r="C14" s="66"/>
      <c r="D14" s="68"/>
      <c r="E14" s="47" t="s">
        <v>47</v>
      </c>
      <c r="F14" s="47">
        <v>13.5</v>
      </c>
      <c r="G14" s="47">
        <v>17</v>
      </c>
      <c r="H14" s="47">
        <v>100</v>
      </c>
      <c r="I14" s="26">
        <f t="shared" si="6"/>
        <v>22.759999999999998</v>
      </c>
      <c r="J14" s="26">
        <v>9.27</v>
      </c>
      <c r="K14" s="26">
        <v>1.1000000000000001</v>
      </c>
      <c r="L14" s="26">
        <v>2.97</v>
      </c>
      <c r="M14" s="26">
        <v>7.6</v>
      </c>
      <c r="N14" s="26">
        <v>0.86</v>
      </c>
      <c r="O14" s="26">
        <v>0.96</v>
      </c>
      <c r="P14" s="26" t="s">
        <v>18</v>
      </c>
      <c r="Q14" s="11">
        <f t="shared" si="0"/>
        <v>90.73</v>
      </c>
      <c r="R14" s="11">
        <f t="shared" si="1"/>
        <v>89.63</v>
      </c>
      <c r="S14" s="11">
        <f t="shared" si="2"/>
        <v>86.66</v>
      </c>
      <c r="T14" s="11">
        <f t="shared" si="3"/>
        <v>79.06</v>
      </c>
      <c r="U14" s="11">
        <f t="shared" si="4"/>
        <v>78.2</v>
      </c>
      <c r="V14" s="11">
        <f t="shared" si="5"/>
        <v>77.240000000000009</v>
      </c>
      <c r="W14" s="11">
        <f t="shared" si="7"/>
        <v>9.269999999999996</v>
      </c>
      <c r="X14" s="11">
        <f t="shared" si="8"/>
        <v>13.489999999999995</v>
      </c>
      <c r="Y14" s="11">
        <f t="shared" si="9"/>
        <v>77.240000000000009</v>
      </c>
    </row>
    <row r="15" spans="1:25" ht="30" customHeight="1" x14ac:dyDescent="0.25">
      <c r="A15" s="46">
        <v>11</v>
      </c>
      <c r="B15" s="64"/>
      <c r="C15" s="66"/>
      <c r="D15" s="68"/>
      <c r="E15" s="47" t="s">
        <v>47</v>
      </c>
      <c r="F15" s="47">
        <v>15</v>
      </c>
      <c r="G15" s="47" t="s">
        <v>55</v>
      </c>
      <c r="H15" s="47">
        <v>100</v>
      </c>
      <c r="I15" s="26">
        <f t="shared" si="6"/>
        <v>18.79</v>
      </c>
      <c r="J15" s="26">
        <v>2.1</v>
      </c>
      <c r="K15" s="26">
        <v>1.81</v>
      </c>
      <c r="L15" s="26">
        <v>2.82</v>
      </c>
      <c r="M15" s="26">
        <v>5.05</v>
      </c>
      <c r="N15" s="26">
        <v>4.33</v>
      </c>
      <c r="O15" s="26">
        <v>2.68</v>
      </c>
      <c r="P15" s="26" t="s">
        <v>18</v>
      </c>
      <c r="Q15" s="11">
        <f t="shared" si="0"/>
        <v>97.9</v>
      </c>
      <c r="R15" s="11">
        <f t="shared" si="1"/>
        <v>96.09</v>
      </c>
      <c r="S15" s="11">
        <f t="shared" si="2"/>
        <v>93.27</v>
      </c>
      <c r="T15" s="11">
        <f t="shared" si="3"/>
        <v>88.22</v>
      </c>
      <c r="U15" s="11">
        <f t="shared" si="4"/>
        <v>83.89</v>
      </c>
      <c r="V15" s="11">
        <f t="shared" si="5"/>
        <v>81.210000000000008</v>
      </c>
      <c r="W15" s="11">
        <f t="shared" si="7"/>
        <v>2.0999999999999943</v>
      </c>
      <c r="X15" s="11">
        <f t="shared" si="8"/>
        <v>16.689999999999998</v>
      </c>
      <c r="Y15" s="11">
        <f t="shared" si="9"/>
        <v>81.210000000000008</v>
      </c>
    </row>
    <row r="16" spans="1:25" ht="30" customHeight="1" x14ac:dyDescent="0.25">
      <c r="A16" s="46">
        <v>12</v>
      </c>
      <c r="B16" s="64"/>
      <c r="C16" s="66"/>
      <c r="D16" s="68"/>
      <c r="E16" s="47" t="s">
        <v>47</v>
      </c>
      <c r="F16" s="47">
        <v>16.5</v>
      </c>
      <c r="G16" s="47">
        <v>4</v>
      </c>
      <c r="H16" s="47">
        <v>100</v>
      </c>
      <c r="I16" s="26">
        <f t="shared" si="6"/>
        <v>2.8600000000000008</v>
      </c>
      <c r="J16" s="26">
        <v>1.1200000000000001</v>
      </c>
      <c r="K16" s="26">
        <v>0.66</v>
      </c>
      <c r="L16" s="26">
        <v>0.56000000000000005</v>
      </c>
      <c r="M16" s="26">
        <v>0.26</v>
      </c>
      <c r="N16" s="26">
        <v>0.1</v>
      </c>
      <c r="O16" s="26">
        <v>0.16</v>
      </c>
      <c r="P16" s="26" t="s">
        <v>18</v>
      </c>
      <c r="Q16" s="11">
        <f t="shared" si="0"/>
        <v>98.88</v>
      </c>
      <c r="R16" s="11">
        <f t="shared" si="1"/>
        <v>98.22</v>
      </c>
      <c r="S16" s="11">
        <f t="shared" si="2"/>
        <v>97.66</v>
      </c>
      <c r="T16" s="11">
        <f t="shared" si="3"/>
        <v>97.4</v>
      </c>
      <c r="U16" s="11">
        <f t="shared" si="4"/>
        <v>97.3</v>
      </c>
      <c r="V16" s="11">
        <f t="shared" si="5"/>
        <v>97.14</v>
      </c>
      <c r="W16" s="11">
        <f t="shared" si="7"/>
        <v>1.1200000000000045</v>
      </c>
      <c r="X16" s="11">
        <f t="shared" si="8"/>
        <v>1.7399999999999949</v>
      </c>
      <c r="Y16" s="11">
        <f t="shared" si="9"/>
        <v>97.14</v>
      </c>
    </row>
    <row r="17" spans="1:25" ht="30" customHeight="1" x14ac:dyDescent="0.25">
      <c r="A17" s="46">
        <v>13</v>
      </c>
      <c r="B17" s="64"/>
      <c r="C17" s="66"/>
      <c r="D17" s="68"/>
      <c r="E17" s="47" t="s">
        <v>47</v>
      </c>
      <c r="F17" s="47">
        <v>18</v>
      </c>
      <c r="G17" s="47">
        <v>89</v>
      </c>
      <c r="H17" s="47">
        <v>100</v>
      </c>
      <c r="I17" s="26">
        <f t="shared" si="6"/>
        <v>82.1</v>
      </c>
      <c r="J17" s="26">
        <v>0.94</v>
      </c>
      <c r="K17" s="26">
        <v>2.59</v>
      </c>
      <c r="L17" s="26">
        <v>38.08</v>
      </c>
      <c r="M17" s="26">
        <v>29.38</v>
      </c>
      <c r="N17" s="26">
        <v>6.76</v>
      </c>
      <c r="O17" s="26">
        <v>4.3499999999999996</v>
      </c>
      <c r="P17" s="26" t="s">
        <v>18</v>
      </c>
      <c r="Q17" s="11">
        <f t="shared" ref="Q17" si="10">((H17-(SUM(J17)))/H17)*100</f>
        <v>99.06</v>
      </c>
      <c r="R17" s="11">
        <f t="shared" ref="R17" si="11">((H17-(SUM(J17:K17)))/H17)*100</f>
        <v>96.47</v>
      </c>
      <c r="S17" s="11">
        <f t="shared" ref="S17" si="12">((H17-(SUM(J17:L17)))/H17)*100</f>
        <v>58.39</v>
      </c>
      <c r="T17" s="11">
        <f t="shared" ref="T17" si="13">((H17-(SUM(J17:M17)))/H17)*100</f>
        <v>29.01</v>
      </c>
      <c r="U17" s="11">
        <f t="shared" ref="U17" si="14">((H17-(SUM(J17:N17)))/H17)*100</f>
        <v>22.25</v>
      </c>
      <c r="V17" s="11">
        <f t="shared" ref="V17" si="15">((H17-(SUM(J17:O17)))/H17)*100</f>
        <v>17.900000000000006</v>
      </c>
      <c r="W17" s="11">
        <f t="shared" ref="W17" si="16">100-Q17</f>
        <v>0.93999999999999773</v>
      </c>
      <c r="X17" s="11">
        <f t="shared" ref="X17" si="17">Q17-V17</f>
        <v>81.16</v>
      </c>
      <c r="Y17" s="11">
        <f t="shared" ref="Y17" si="18">V17</f>
        <v>17.900000000000006</v>
      </c>
    </row>
    <row r="18" spans="1:25" ht="30" customHeight="1" x14ac:dyDescent="0.25">
      <c r="A18" s="48">
        <v>14</v>
      </c>
      <c r="B18" s="85"/>
      <c r="C18" s="86"/>
      <c r="D18" s="87"/>
      <c r="E18" s="47" t="s">
        <v>47</v>
      </c>
      <c r="F18" s="47">
        <v>19.5</v>
      </c>
      <c r="G18" s="47"/>
      <c r="H18" s="47">
        <v>100</v>
      </c>
      <c r="I18" s="26">
        <f t="shared" ref="I18" si="19">SUM(J18:O18)</f>
        <v>11.370000000000001</v>
      </c>
      <c r="J18" s="26">
        <v>0</v>
      </c>
      <c r="K18" s="26">
        <v>1.61</v>
      </c>
      <c r="L18" s="26">
        <v>2.08</v>
      </c>
      <c r="M18" s="26">
        <v>2.12</v>
      </c>
      <c r="N18" s="26">
        <v>3.15</v>
      </c>
      <c r="O18" s="26">
        <v>2.41</v>
      </c>
      <c r="P18" s="26" t="s">
        <v>18</v>
      </c>
      <c r="Q18" s="11">
        <f t="shared" ref="Q18" si="20">((H18-(SUM(J18)))/H18)*100</f>
        <v>100</v>
      </c>
      <c r="R18" s="11">
        <f t="shared" ref="R18" si="21">((H18-(SUM(J18:K18)))/H18)*100</f>
        <v>98.39</v>
      </c>
      <c r="S18" s="11">
        <f t="shared" ref="S18" si="22">((H18-(SUM(J18:L18)))/H18)*100</f>
        <v>96.31</v>
      </c>
      <c r="T18" s="11">
        <f t="shared" ref="T18" si="23">((H18-(SUM(J18:M18)))/H18)*100</f>
        <v>94.19</v>
      </c>
      <c r="U18" s="11">
        <f t="shared" ref="U18" si="24">((H18-(SUM(J18:N18)))/H18)*100</f>
        <v>91.039999999999992</v>
      </c>
      <c r="V18" s="11">
        <f t="shared" ref="V18" si="25">((H18-(SUM(J18:O18)))/H18)*100</f>
        <v>88.63</v>
      </c>
      <c r="W18" s="11">
        <f t="shared" ref="W18" si="26">100-Q18</f>
        <v>0</v>
      </c>
      <c r="X18" s="11">
        <f t="shared" ref="X18" si="27">Q18-V18</f>
        <v>11.370000000000005</v>
      </c>
      <c r="Y18" s="11">
        <f t="shared" ref="Y18" si="28">V18</f>
        <v>88.63</v>
      </c>
    </row>
  </sheetData>
  <mergeCells count="21">
    <mergeCell ref="J2:P2"/>
    <mergeCell ref="Q2:V2"/>
    <mergeCell ref="B5:B17"/>
    <mergeCell ref="C5:C17"/>
    <mergeCell ref="D5:D17"/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31"/>
  <sheetViews>
    <sheetView zoomScaleNormal="100" workbookViewId="0">
      <selection activeCell="C18" sqref="C18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69" t="s">
        <v>4</v>
      </c>
      <c r="B1" s="72" t="s">
        <v>5</v>
      </c>
      <c r="C1" s="72" t="s">
        <v>9</v>
      </c>
      <c r="D1" s="69" t="s">
        <v>8</v>
      </c>
      <c r="E1" s="69" t="s">
        <v>22</v>
      </c>
      <c r="F1" s="69" t="s">
        <v>39</v>
      </c>
      <c r="G1" s="69" t="s">
        <v>23</v>
      </c>
      <c r="H1" s="69" t="s">
        <v>24</v>
      </c>
      <c r="I1" s="78" t="s">
        <v>33</v>
      </c>
      <c r="J1" s="69" t="s">
        <v>34</v>
      </c>
      <c r="K1" s="69" t="s">
        <v>25</v>
      </c>
      <c r="L1" s="69" t="s">
        <v>26</v>
      </c>
      <c r="M1" s="76" t="s">
        <v>27</v>
      </c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6" t="s">
        <v>28</v>
      </c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 t="s">
        <v>29</v>
      </c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22"/>
      <c r="BA1" s="22"/>
    </row>
    <row r="2" spans="1:53" x14ac:dyDescent="0.25">
      <c r="A2" s="70"/>
      <c r="B2" s="73"/>
      <c r="C2" s="73"/>
      <c r="D2" s="70"/>
      <c r="E2" s="70"/>
      <c r="F2" s="70"/>
      <c r="G2" s="70"/>
      <c r="H2" s="70"/>
      <c r="I2" s="78"/>
      <c r="J2" s="70"/>
      <c r="K2" s="70"/>
      <c r="L2" s="70"/>
      <c r="M2" s="79">
        <v>0.5</v>
      </c>
      <c r="N2" s="75">
        <v>1</v>
      </c>
      <c r="O2" s="75">
        <v>2</v>
      </c>
      <c r="P2" s="75">
        <v>4</v>
      </c>
      <c r="Q2" s="75">
        <v>8</v>
      </c>
      <c r="R2" s="75">
        <v>15</v>
      </c>
      <c r="S2" s="75">
        <v>30</v>
      </c>
      <c r="T2" s="75">
        <v>60</v>
      </c>
      <c r="U2" s="75">
        <v>120</v>
      </c>
      <c r="V2" s="75">
        <v>240</v>
      </c>
      <c r="W2" s="75">
        <v>480</v>
      </c>
      <c r="X2" s="75">
        <v>960</v>
      </c>
      <c r="Y2" s="75">
        <v>1440</v>
      </c>
      <c r="Z2" s="79">
        <v>0.5</v>
      </c>
      <c r="AA2" s="75">
        <v>1</v>
      </c>
      <c r="AB2" s="75">
        <v>2</v>
      </c>
      <c r="AC2" s="75">
        <v>4</v>
      </c>
      <c r="AD2" s="75">
        <v>8</v>
      </c>
      <c r="AE2" s="75">
        <v>15</v>
      </c>
      <c r="AF2" s="75">
        <v>30</v>
      </c>
      <c r="AG2" s="75">
        <v>60</v>
      </c>
      <c r="AH2" s="75">
        <v>120</v>
      </c>
      <c r="AI2" s="75">
        <v>240</v>
      </c>
      <c r="AJ2" s="75">
        <v>480</v>
      </c>
      <c r="AK2" s="75">
        <v>960</v>
      </c>
      <c r="AL2" s="75">
        <v>1440</v>
      </c>
      <c r="AM2" s="79">
        <v>0.5</v>
      </c>
      <c r="AN2" s="75">
        <v>1</v>
      </c>
      <c r="AO2" s="75">
        <v>2</v>
      </c>
      <c r="AP2" s="75">
        <v>4</v>
      </c>
      <c r="AQ2" s="75">
        <v>8</v>
      </c>
      <c r="AR2" s="75">
        <v>15</v>
      </c>
      <c r="AS2" s="75">
        <v>30</v>
      </c>
      <c r="AT2" s="75">
        <v>60</v>
      </c>
      <c r="AU2" s="75">
        <v>120</v>
      </c>
      <c r="AV2" s="75">
        <v>240</v>
      </c>
      <c r="AW2" s="75">
        <v>480</v>
      </c>
      <c r="AX2" s="75">
        <v>960</v>
      </c>
      <c r="AY2" s="75">
        <v>1440</v>
      </c>
      <c r="AZ2" s="22"/>
      <c r="BA2" s="22"/>
    </row>
    <row r="3" spans="1:53" x14ac:dyDescent="0.25">
      <c r="A3" s="70"/>
      <c r="B3" s="73"/>
      <c r="C3" s="73"/>
      <c r="D3" s="71"/>
      <c r="E3" s="71"/>
      <c r="F3" s="71"/>
      <c r="G3" s="71"/>
      <c r="H3" s="71"/>
      <c r="I3" s="78"/>
      <c r="J3" s="71"/>
      <c r="K3" s="71"/>
      <c r="L3" s="71"/>
      <c r="M3" s="79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9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9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22"/>
      <c r="BA3" s="22"/>
    </row>
    <row r="4" spans="1:53" x14ac:dyDescent="0.25">
      <c r="A4" s="71"/>
      <c r="B4" s="74"/>
      <c r="C4" s="74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0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2"/>
      <c r="Z4" s="80" t="s">
        <v>31</v>
      </c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2"/>
      <c r="AM4" s="78" t="s">
        <v>32</v>
      </c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20"/>
      <c r="BA4" s="20"/>
    </row>
    <row r="5" spans="1:53" x14ac:dyDescent="0.25">
      <c r="A5" s="30">
        <v>1</v>
      </c>
      <c r="B5" s="30" t="str">
        <f>GSD!B5</f>
        <v>RBH-9</v>
      </c>
      <c r="C5" s="34">
        <f>GSD!F5</f>
        <v>0.5</v>
      </c>
      <c r="D5" s="37" t="str">
        <f>GSD!E5</f>
        <v>DS</v>
      </c>
      <c r="E5" s="34">
        <v>27</v>
      </c>
      <c r="F5" s="38">
        <f>(0.000000002615*E5^4) - (0.00000030607*E5^3) + (0.000016427499*E5^2) - (0.000618546309*E5) + 0.017919182437</f>
        <v>8.5594212700000009E-3</v>
      </c>
      <c r="G5" s="39"/>
      <c r="H5" s="30">
        <v>5.0000000000000001E-4</v>
      </c>
      <c r="I5" s="30">
        <v>1</v>
      </c>
      <c r="J5" s="30">
        <v>1</v>
      </c>
      <c r="K5" s="31">
        <f>(E5-27)*0.25</f>
        <v>0</v>
      </c>
      <c r="L5" s="30">
        <v>0.3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21"/>
      <c r="BA5" s="21"/>
    </row>
    <row r="6" spans="1:53" s="41" customFormat="1" x14ac:dyDescent="0.25">
      <c r="A6" s="37">
        <v>2</v>
      </c>
      <c r="B6" s="37" t="str">
        <f>B5</f>
        <v>RBH-9</v>
      </c>
      <c r="C6" s="34">
        <f>GSD!F6</f>
        <v>1.5</v>
      </c>
      <c r="D6" s="37" t="str">
        <f>GSD!E6</f>
        <v>SPT</v>
      </c>
      <c r="E6" s="34">
        <v>27</v>
      </c>
      <c r="F6" s="38">
        <f t="shared" ref="F6:F16" si="0">(0.000000002615*E6^4) - (0.00000030607*E6^3) + (0.000016427499*E6^2) - (0.000618546309*E6) + 0.017919182437</f>
        <v>8.5594212700000009E-3</v>
      </c>
      <c r="G6" s="39">
        <v>2.74</v>
      </c>
      <c r="H6" s="37">
        <v>5.0000000000000001E-4</v>
      </c>
      <c r="I6" s="37">
        <v>1</v>
      </c>
      <c r="J6" s="37">
        <v>1</v>
      </c>
      <c r="K6" s="34">
        <f t="shared" ref="K6:K16" si="1">(E6-27)*0.25</f>
        <v>0</v>
      </c>
      <c r="L6" s="37">
        <v>0.3</v>
      </c>
      <c r="M6" s="39">
        <v>1.0089999999999999</v>
      </c>
      <c r="N6" s="39">
        <v>1.0089999999999999</v>
      </c>
      <c r="O6" s="39">
        <v>1.0089999999999999</v>
      </c>
      <c r="P6" s="39">
        <v>1.0089999999999999</v>
      </c>
      <c r="Q6" s="39">
        <v>1.008</v>
      </c>
      <c r="R6" s="39">
        <v>1.008</v>
      </c>
      <c r="S6" s="39">
        <v>1.0069999999999999</v>
      </c>
      <c r="T6" s="39">
        <v>1.0069999999999999</v>
      </c>
      <c r="U6" s="39">
        <v>1.006</v>
      </c>
      <c r="V6" s="39">
        <v>1.006</v>
      </c>
      <c r="W6" s="39">
        <v>1.0049999999999999</v>
      </c>
      <c r="X6" s="39">
        <v>1.0049999999999999</v>
      </c>
      <c r="Y6" s="39">
        <v>1.004</v>
      </c>
      <c r="Z6" s="33">
        <v>6.5777610837062947E-2</v>
      </c>
      <c r="AA6" s="33">
        <v>4.6511794673136944E-2</v>
      </c>
      <c r="AB6" s="33">
        <v>3.2888805418531473E-2</v>
      </c>
      <c r="AC6" s="33">
        <v>2.3255897336568472E-2</v>
      </c>
      <c r="AD6" s="33">
        <v>1.7277240530008394E-2</v>
      </c>
      <c r="AE6" s="33">
        <v>1.2617512492970813E-2</v>
      </c>
      <c r="AF6" s="33">
        <v>9.0092688846657859E-3</v>
      </c>
      <c r="AG6" s="33">
        <v>6.3705151218801407E-3</v>
      </c>
      <c r="AH6" s="33">
        <v>4.5478852480377238E-3</v>
      </c>
      <c r="AI6" s="33">
        <v>3.2158404989457382E-3</v>
      </c>
      <c r="AJ6" s="33">
        <v>2.2953642956830733E-3</v>
      </c>
      <c r="AK6" s="33">
        <v>1.6230676587709848E-3</v>
      </c>
      <c r="AL6" s="33">
        <v>1.3374826406927676E-3</v>
      </c>
      <c r="AM6" s="34">
        <v>27.401574712643356</v>
      </c>
      <c r="AN6" s="34">
        <v>27.401574712643356</v>
      </c>
      <c r="AO6" s="34">
        <v>27.401574712643356</v>
      </c>
      <c r="AP6" s="34">
        <v>27.401574712643356</v>
      </c>
      <c r="AQ6" s="34">
        <v>24.252149425287378</v>
      </c>
      <c r="AR6" s="34">
        <v>24.252149425287378</v>
      </c>
      <c r="AS6" s="34">
        <v>21.102724137930704</v>
      </c>
      <c r="AT6" s="34">
        <v>21.102724137930704</v>
      </c>
      <c r="AU6" s="34">
        <v>17.953298850574729</v>
      </c>
      <c r="AV6" s="34">
        <v>17.953298850574729</v>
      </c>
      <c r="AW6" s="34">
        <v>14.803873563218053</v>
      </c>
      <c r="AX6" s="34">
        <v>14.803873563218053</v>
      </c>
      <c r="AY6" s="34">
        <v>11.654448275862078</v>
      </c>
      <c r="AZ6" s="40"/>
      <c r="BA6" s="40"/>
    </row>
    <row r="7" spans="1:53" s="41" customFormat="1" x14ac:dyDescent="0.25">
      <c r="A7" s="37">
        <v>3</v>
      </c>
      <c r="B7" s="37" t="str">
        <f t="shared" ref="B7:B18" si="2">B6</f>
        <v>RBH-9</v>
      </c>
      <c r="C7" s="34">
        <f>GSD!F7</f>
        <v>3</v>
      </c>
      <c r="D7" s="37" t="str">
        <f>GSD!E7</f>
        <v>UDS</v>
      </c>
      <c r="E7" s="34">
        <v>27</v>
      </c>
      <c r="F7" s="38">
        <f t="shared" si="0"/>
        <v>8.5594212700000009E-3</v>
      </c>
      <c r="G7" s="39">
        <v>2.74</v>
      </c>
      <c r="H7" s="37">
        <v>5.0000000000000001E-4</v>
      </c>
      <c r="I7" s="37">
        <v>1</v>
      </c>
      <c r="J7" s="37">
        <v>1</v>
      </c>
      <c r="K7" s="34">
        <f t="shared" si="1"/>
        <v>0</v>
      </c>
      <c r="L7" s="37">
        <v>0.3</v>
      </c>
      <c r="M7" s="39">
        <v>1.0109999999999999</v>
      </c>
      <c r="N7" s="39">
        <v>1.0109999999999999</v>
      </c>
      <c r="O7" s="39">
        <v>1.0109999999999999</v>
      </c>
      <c r="P7" s="39">
        <v>1.01</v>
      </c>
      <c r="Q7" s="39">
        <v>1.01</v>
      </c>
      <c r="R7" s="39">
        <v>1.01</v>
      </c>
      <c r="S7" s="39">
        <v>1.0089999999999999</v>
      </c>
      <c r="T7" s="39">
        <v>1.008</v>
      </c>
      <c r="U7" s="39">
        <v>1.0069999999999999</v>
      </c>
      <c r="V7" s="39">
        <v>1.0069999999999999</v>
      </c>
      <c r="W7" s="39">
        <v>1.006</v>
      </c>
      <c r="X7" s="39">
        <v>1.006</v>
      </c>
      <c r="Y7" s="39">
        <v>1.0049999999999999</v>
      </c>
      <c r="Z7" s="33">
        <v>6.4333197322251442E-2</v>
      </c>
      <c r="AA7" s="33">
        <v>4.5490440081976231E-2</v>
      </c>
      <c r="AB7" s="33">
        <v>3.2166598661125721E-2</v>
      </c>
      <c r="AC7" s="33">
        <v>2.3001975954708515E-2</v>
      </c>
      <c r="AD7" s="33">
        <v>1.6933906141931406E-2</v>
      </c>
      <c r="AE7" s="33">
        <v>1.236677650748148E-2</v>
      </c>
      <c r="AF7" s="33">
        <v>8.8337249036897093E-3</v>
      </c>
      <c r="AG7" s="33">
        <v>6.3087562464854063E-3</v>
      </c>
      <c r="AH7" s="33">
        <v>4.504634442332893E-3</v>
      </c>
      <c r="AI7" s="33">
        <v>3.1852575609400704E-3</v>
      </c>
      <c r="AJ7" s="33">
        <v>2.2739426240188619E-3</v>
      </c>
      <c r="AK7" s="33">
        <v>1.6079202494728691E-3</v>
      </c>
      <c r="AL7" s="33">
        <v>1.3252291940008783E-3</v>
      </c>
      <c r="AM7" s="34">
        <v>33.700425287356005</v>
      </c>
      <c r="AN7" s="34">
        <v>33.700425287356005</v>
      </c>
      <c r="AO7" s="34">
        <v>33.700425287356005</v>
      </c>
      <c r="AP7" s="34">
        <v>30.551000000000027</v>
      </c>
      <c r="AQ7" s="34">
        <v>30.551000000000027</v>
      </c>
      <c r="AR7" s="34">
        <v>30.551000000000027</v>
      </c>
      <c r="AS7" s="34">
        <v>27.401574712643356</v>
      </c>
      <c r="AT7" s="34">
        <v>24.252149425287378</v>
      </c>
      <c r="AU7" s="34">
        <v>21.102724137930704</v>
      </c>
      <c r="AV7" s="34">
        <v>21.102724137930704</v>
      </c>
      <c r="AW7" s="34">
        <v>17.953298850574729</v>
      </c>
      <c r="AX7" s="34">
        <v>17.953298850574729</v>
      </c>
      <c r="AY7" s="34">
        <v>14.803873563218053</v>
      </c>
      <c r="AZ7" s="40"/>
      <c r="BA7" s="40"/>
    </row>
    <row r="8" spans="1:53" s="41" customFormat="1" x14ac:dyDescent="0.25">
      <c r="A8" s="37">
        <v>4</v>
      </c>
      <c r="B8" s="37" t="str">
        <f t="shared" si="2"/>
        <v>RBH-9</v>
      </c>
      <c r="C8" s="34">
        <f>GSD!F8</f>
        <v>4.5</v>
      </c>
      <c r="D8" s="37" t="str">
        <f>GSD!E8</f>
        <v>SPT</v>
      </c>
      <c r="E8" s="34">
        <v>27</v>
      </c>
      <c r="F8" s="38">
        <f t="shared" si="0"/>
        <v>8.5594212700000009E-3</v>
      </c>
      <c r="G8" s="39">
        <v>2.72</v>
      </c>
      <c r="H8" s="37">
        <v>5.0000000000000001E-4</v>
      </c>
      <c r="I8" s="37">
        <v>1</v>
      </c>
      <c r="J8" s="37">
        <v>1</v>
      </c>
      <c r="K8" s="34">
        <f t="shared" si="1"/>
        <v>0</v>
      </c>
      <c r="L8" s="37">
        <v>0.3</v>
      </c>
      <c r="M8" s="39">
        <v>1.0089999999999999</v>
      </c>
      <c r="N8" s="39">
        <v>1.0089999999999999</v>
      </c>
      <c r="O8" s="39">
        <v>1.0089999999999999</v>
      </c>
      <c r="P8" s="39">
        <v>1.008</v>
      </c>
      <c r="Q8" s="39">
        <v>1.008</v>
      </c>
      <c r="R8" s="39">
        <v>1.0069999999999999</v>
      </c>
      <c r="S8" s="39">
        <v>1.0069999999999999</v>
      </c>
      <c r="T8" s="39">
        <v>1.0069999999999999</v>
      </c>
      <c r="U8" s="39">
        <v>1.006</v>
      </c>
      <c r="V8" s="39">
        <v>1.006</v>
      </c>
      <c r="W8" s="39">
        <v>1.0049999999999999</v>
      </c>
      <c r="X8" s="39">
        <v>1.0049999999999999</v>
      </c>
      <c r="Y8" s="39">
        <v>1.004</v>
      </c>
      <c r="Z8" s="33">
        <v>6.6158933514662926E-2</v>
      </c>
      <c r="AA8" s="33">
        <v>4.6781430524288105E-2</v>
      </c>
      <c r="AB8" s="33">
        <v>3.3079466757331463E-2</v>
      </c>
      <c r="AC8" s="33">
        <v>2.3643350088054391E-2</v>
      </c>
      <c r="AD8" s="33">
        <v>1.737739928519276E-2</v>
      </c>
      <c r="AE8" s="33">
        <v>1.2814891907419182E-2</v>
      </c>
      <c r="AF8" s="33">
        <v>9.0614969679087137E-3</v>
      </c>
      <c r="AG8" s="33">
        <v>6.4074459537095908E-3</v>
      </c>
      <c r="AH8" s="33">
        <v>4.5742500210680945E-3</v>
      </c>
      <c r="AI8" s="33">
        <v>3.2344832087399578E-3</v>
      </c>
      <c r="AJ8" s="33">
        <v>2.3086708668424521E-3</v>
      </c>
      <c r="AK8" s="33">
        <v>1.6324768254721226E-3</v>
      </c>
      <c r="AL8" s="33">
        <v>1.3452362282022898E-3</v>
      </c>
      <c r="AM8" s="34">
        <v>27.517860465115955</v>
      </c>
      <c r="AN8" s="34">
        <v>27.517860465115955</v>
      </c>
      <c r="AO8" s="34">
        <v>27.517860465115955</v>
      </c>
      <c r="AP8" s="34">
        <v>24.355069767441883</v>
      </c>
      <c r="AQ8" s="34">
        <v>24.355069767441883</v>
      </c>
      <c r="AR8" s="34">
        <v>21.19227906976711</v>
      </c>
      <c r="AS8" s="34">
        <v>21.19227906976711</v>
      </c>
      <c r="AT8" s="34">
        <v>21.19227906976711</v>
      </c>
      <c r="AU8" s="34">
        <v>18.029488372093038</v>
      </c>
      <c r="AV8" s="34">
        <v>18.029488372093038</v>
      </c>
      <c r="AW8" s="34">
        <v>14.866697674418266</v>
      </c>
      <c r="AX8" s="34">
        <v>14.866697674418266</v>
      </c>
      <c r="AY8" s="34">
        <v>11.703906976744197</v>
      </c>
      <c r="AZ8" s="40"/>
      <c r="BA8" s="40"/>
    </row>
    <row r="9" spans="1:53" s="41" customFormat="1" x14ac:dyDescent="0.25">
      <c r="A9" s="37">
        <v>5</v>
      </c>
      <c r="B9" s="37" t="str">
        <f t="shared" si="2"/>
        <v>RBH-9</v>
      </c>
      <c r="C9" s="34">
        <f>GSD!F9</f>
        <v>6</v>
      </c>
      <c r="D9" s="37" t="str">
        <f>GSD!E9</f>
        <v>UDS</v>
      </c>
      <c r="E9" s="34">
        <v>27</v>
      </c>
      <c r="F9" s="38">
        <f t="shared" si="0"/>
        <v>8.5594212700000009E-3</v>
      </c>
      <c r="G9" s="39">
        <v>2.68</v>
      </c>
      <c r="H9" s="37">
        <v>5.0000000000000001E-4</v>
      </c>
      <c r="I9" s="37">
        <v>1</v>
      </c>
      <c r="J9" s="37">
        <v>1</v>
      </c>
      <c r="K9" s="34">
        <f t="shared" si="1"/>
        <v>0</v>
      </c>
      <c r="L9" s="37">
        <v>0.3</v>
      </c>
      <c r="M9" s="39">
        <v>1.02</v>
      </c>
      <c r="N9" s="39">
        <v>1.02</v>
      </c>
      <c r="O9" s="39">
        <v>1.02</v>
      </c>
      <c r="P9" s="39">
        <v>1.02</v>
      </c>
      <c r="Q9" s="39">
        <v>1.02</v>
      </c>
      <c r="R9" s="39">
        <v>1.0209999999999999</v>
      </c>
      <c r="S9" s="39">
        <v>1.02</v>
      </c>
      <c r="T9" s="39">
        <v>1.02</v>
      </c>
      <c r="U9" s="39">
        <v>1.0189999999999999</v>
      </c>
      <c r="V9" s="39">
        <v>1.0189999999999999</v>
      </c>
      <c r="W9" s="39">
        <v>1.018</v>
      </c>
      <c r="X9" s="39">
        <v>1.0169999999999999</v>
      </c>
      <c r="Y9" s="39">
        <v>1.016</v>
      </c>
      <c r="Z9" s="33">
        <v>5.8400919110874416E-2</v>
      </c>
      <c r="AA9" s="33">
        <v>4.1295685930826338E-2</v>
      </c>
      <c r="AB9" s="33">
        <v>2.9200459555437208E-2</v>
      </c>
      <c r="AC9" s="33">
        <v>2.0647842965413169E-2</v>
      </c>
      <c r="AD9" s="33">
        <v>1.5367879290475192E-2</v>
      </c>
      <c r="AE9" s="33">
        <v>1.1077641981988894E-2</v>
      </c>
      <c r="AF9" s="33">
        <v>7.93593874113817E-3</v>
      </c>
      <c r="AG9" s="33">
        <v>5.6115560989398339E-3</v>
      </c>
      <c r="AH9" s="33">
        <v>4.0187426972137161E-3</v>
      </c>
      <c r="AI9" s="33">
        <v>2.8416802130437351E-3</v>
      </c>
      <c r="AJ9" s="33">
        <v>2.03444125050606E-3</v>
      </c>
      <c r="AK9" s="33">
        <v>1.456078498385166E-3</v>
      </c>
      <c r="AL9" s="33">
        <v>1.2030111071914113E-3</v>
      </c>
      <c r="AM9" s="34">
        <v>62.853976190476239</v>
      </c>
      <c r="AN9" s="34">
        <v>62.853976190476239</v>
      </c>
      <c r="AO9" s="34">
        <v>62.853976190476239</v>
      </c>
      <c r="AP9" s="34">
        <v>62.853976190476239</v>
      </c>
      <c r="AQ9" s="34">
        <v>62.853976190476239</v>
      </c>
      <c r="AR9" s="34">
        <v>66.04445238095208</v>
      </c>
      <c r="AS9" s="34">
        <v>62.853976190476239</v>
      </c>
      <c r="AT9" s="34">
        <v>62.853976190476239</v>
      </c>
      <c r="AU9" s="34">
        <v>59.663499999999701</v>
      </c>
      <c r="AV9" s="34">
        <v>59.663499999999701</v>
      </c>
      <c r="AW9" s="34">
        <v>56.473023809523852</v>
      </c>
      <c r="AX9" s="34">
        <v>53.282547619047307</v>
      </c>
      <c r="AY9" s="34">
        <v>50.092071428571465</v>
      </c>
      <c r="AZ9" s="40"/>
      <c r="BA9" s="40"/>
    </row>
    <row r="10" spans="1:53" s="41" customFormat="1" x14ac:dyDescent="0.25">
      <c r="A10" s="37">
        <v>6</v>
      </c>
      <c r="B10" s="37" t="str">
        <f t="shared" si="2"/>
        <v>RBH-9</v>
      </c>
      <c r="C10" s="34">
        <f>GSD!F10</f>
        <v>7.5</v>
      </c>
      <c r="D10" s="37" t="str">
        <f>GSD!E10</f>
        <v>SPT</v>
      </c>
      <c r="E10" s="34">
        <v>27</v>
      </c>
      <c r="F10" s="38">
        <f t="shared" si="0"/>
        <v>8.5594212700000009E-3</v>
      </c>
      <c r="G10" s="39">
        <v>2.76</v>
      </c>
      <c r="H10" s="37">
        <v>5.0000000000000001E-4</v>
      </c>
      <c r="I10" s="37">
        <v>1</v>
      </c>
      <c r="J10" s="37">
        <v>1</v>
      </c>
      <c r="K10" s="34">
        <f t="shared" si="1"/>
        <v>0</v>
      </c>
      <c r="L10" s="37">
        <v>0.3</v>
      </c>
      <c r="M10" s="39">
        <v>1.022</v>
      </c>
      <c r="N10" s="39">
        <v>1.022</v>
      </c>
      <c r="O10" s="39">
        <v>1.022</v>
      </c>
      <c r="P10" s="39">
        <v>1.0209999999999999</v>
      </c>
      <c r="Q10" s="39">
        <v>1.0209999999999999</v>
      </c>
      <c r="R10" s="39">
        <v>1.02</v>
      </c>
      <c r="S10" s="39">
        <v>1.02</v>
      </c>
      <c r="T10" s="39">
        <v>1.0189999999999999</v>
      </c>
      <c r="U10" s="39">
        <v>1.0189999999999999</v>
      </c>
      <c r="V10" s="39">
        <v>1.018</v>
      </c>
      <c r="W10" s="39">
        <v>1.018</v>
      </c>
      <c r="X10" s="39">
        <v>1.0169999999999999</v>
      </c>
      <c r="Y10" s="39">
        <v>1.016</v>
      </c>
      <c r="Z10" s="33">
        <v>5.5406126200210765E-2</v>
      </c>
      <c r="AA10" s="33">
        <v>3.9178047555446668E-2</v>
      </c>
      <c r="AB10" s="33">
        <v>2.7703063100105382E-2</v>
      </c>
      <c r="AC10" s="33">
        <v>1.9883215030650787E-2</v>
      </c>
      <c r="AD10" s="33">
        <v>1.4819933950164451E-2</v>
      </c>
      <c r="AE10" s="33">
        <v>1.0965075126240386E-2</v>
      </c>
      <c r="AF10" s="33">
        <v>7.7534789779845148E-3</v>
      </c>
      <c r="AG10" s="33">
        <v>5.5526909954018138E-3</v>
      </c>
      <c r="AH10" s="33">
        <v>3.9263454566821031E-3</v>
      </c>
      <c r="AI10" s="33">
        <v>2.810984545039722E-3</v>
      </c>
      <c r="AJ10" s="33">
        <v>1.9876662336081696E-3</v>
      </c>
      <c r="AK10" s="33">
        <v>1.4226009544405179E-3</v>
      </c>
      <c r="AL10" s="33">
        <v>1.1753519821843703E-3</v>
      </c>
      <c r="AM10" s="34">
        <v>68.060659090909155</v>
      </c>
      <c r="AN10" s="34">
        <v>68.060659090909155</v>
      </c>
      <c r="AO10" s="34">
        <v>68.060659090909155</v>
      </c>
      <c r="AP10" s="34">
        <v>64.92429545454516</v>
      </c>
      <c r="AQ10" s="34">
        <v>64.92429545454516</v>
      </c>
      <c r="AR10" s="34">
        <v>61.787931818181875</v>
      </c>
      <c r="AS10" s="34">
        <v>61.787931818181875</v>
      </c>
      <c r="AT10" s="34">
        <v>58.651568181817893</v>
      </c>
      <c r="AU10" s="34">
        <v>58.651568181817893</v>
      </c>
      <c r="AV10" s="34">
        <v>55.515204545454587</v>
      </c>
      <c r="AW10" s="34">
        <v>55.515204545454587</v>
      </c>
      <c r="AX10" s="34">
        <v>52.378840909090606</v>
      </c>
      <c r="AY10" s="34">
        <v>49.242477272727314</v>
      </c>
      <c r="AZ10" s="40"/>
      <c r="BA10" s="40"/>
    </row>
    <row r="11" spans="1:53" s="41" customFormat="1" x14ac:dyDescent="0.25">
      <c r="A11" s="37">
        <v>7</v>
      </c>
      <c r="B11" s="37" t="str">
        <f t="shared" si="2"/>
        <v>RBH-9</v>
      </c>
      <c r="C11" s="34">
        <f>GSD!F11</f>
        <v>9</v>
      </c>
      <c r="D11" s="37" t="str">
        <f>GSD!E11</f>
        <v>UDS</v>
      </c>
      <c r="E11" s="34">
        <v>27</v>
      </c>
      <c r="F11" s="38">
        <f t="shared" si="0"/>
        <v>8.5594212700000009E-3</v>
      </c>
      <c r="G11" s="39">
        <v>2.62</v>
      </c>
      <c r="H11" s="37">
        <v>5.0000000000000001E-4</v>
      </c>
      <c r="I11" s="37">
        <v>1</v>
      </c>
      <c r="J11" s="37">
        <v>1</v>
      </c>
      <c r="K11" s="34">
        <f t="shared" si="1"/>
        <v>0</v>
      </c>
      <c r="L11" s="37">
        <v>0.3</v>
      </c>
      <c r="M11" s="39">
        <v>1.0169999999999999</v>
      </c>
      <c r="N11" s="39">
        <v>1.0169999999999999</v>
      </c>
      <c r="O11" s="39">
        <v>1.0169999999999999</v>
      </c>
      <c r="P11" s="39">
        <v>1.016</v>
      </c>
      <c r="Q11" s="39">
        <v>1.016</v>
      </c>
      <c r="R11" s="39">
        <v>1.016</v>
      </c>
      <c r="S11" s="39">
        <v>1.0149999999999999</v>
      </c>
      <c r="T11" s="39">
        <v>1.0149999999999999</v>
      </c>
      <c r="U11" s="39">
        <v>1.014</v>
      </c>
      <c r="V11" s="39">
        <v>1.014</v>
      </c>
      <c r="W11" s="39">
        <v>1.0129999999999999</v>
      </c>
      <c r="X11" s="39">
        <v>1.0129999999999999</v>
      </c>
      <c r="Y11" s="39">
        <v>1.012</v>
      </c>
      <c r="Z11" s="33">
        <v>6.1965882670027353E-2</v>
      </c>
      <c r="AA11" s="33">
        <v>4.3816495838186309E-2</v>
      </c>
      <c r="AB11" s="33">
        <v>3.0982941335013676E-2</v>
      </c>
      <c r="AC11" s="33">
        <v>2.2194306790850625E-2</v>
      </c>
      <c r="AD11" s="33">
        <v>1.6436260781723916E-2</v>
      </c>
      <c r="AE11" s="33">
        <v>1.2003347721583579E-2</v>
      </c>
      <c r="AF11" s="33">
        <v>8.5861692196355175E-3</v>
      </c>
      <c r="AG11" s="33">
        <v>6.0713384796194812E-3</v>
      </c>
      <c r="AH11" s="33">
        <v>4.3417860804572566E-3</v>
      </c>
      <c r="AI11" s="33">
        <v>3.0701063799526869E-3</v>
      </c>
      <c r="AJ11" s="33">
        <v>2.1949736484665806E-3</v>
      </c>
      <c r="AK11" s="33">
        <v>1.5520807513564963E-3</v>
      </c>
      <c r="AL11" s="33">
        <v>1.2810206923663471E-3</v>
      </c>
      <c r="AM11" s="34">
        <v>54.018901234567586</v>
      </c>
      <c r="AN11" s="34">
        <v>54.018901234567586</v>
      </c>
      <c r="AO11" s="34">
        <v>54.018901234567586</v>
      </c>
      <c r="AP11" s="34">
        <v>50.784333333333372</v>
      </c>
      <c r="AQ11" s="34">
        <v>50.784333333333372</v>
      </c>
      <c r="AR11" s="34">
        <v>50.784333333333372</v>
      </c>
      <c r="AS11" s="34">
        <v>47.549765432098454</v>
      </c>
      <c r="AT11" s="34">
        <v>47.549765432098454</v>
      </c>
      <c r="AU11" s="34">
        <v>44.315197530864239</v>
      </c>
      <c r="AV11" s="34">
        <v>44.315197530864239</v>
      </c>
      <c r="AW11" s="34">
        <v>41.080629629629307</v>
      </c>
      <c r="AX11" s="34">
        <v>41.080629629629307</v>
      </c>
      <c r="AY11" s="34">
        <v>37.8460617283951</v>
      </c>
      <c r="AZ11" s="40"/>
      <c r="BA11" s="40"/>
    </row>
    <row r="12" spans="1:53" s="41" customFormat="1" x14ac:dyDescent="0.25">
      <c r="A12" s="37">
        <v>8</v>
      </c>
      <c r="B12" s="37" t="str">
        <f t="shared" si="2"/>
        <v>RBH-9</v>
      </c>
      <c r="C12" s="34">
        <f>GSD!F12</f>
        <v>10.5</v>
      </c>
      <c r="D12" s="37" t="str">
        <f>GSD!E12</f>
        <v>SPT</v>
      </c>
      <c r="E12" s="34">
        <v>27</v>
      </c>
      <c r="F12" s="38">
        <f t="shared" si="0"/>
        <v>8.5594212700000009E-3</v>
      </c>
      <c r="G12" s="39">
        <v>2.63</v>
      </c>
      <c r="H12" s="37">
        <v>5.0000000000000001E-4</v>
      </c>
      <c r="I12" s="37">
        <v>1</v>
      </c>
      <c r="J12" s="37">
        <v>1</v>
      </c>
      <c r="K12" s="34">
        <f t="shared" si="1"/>
        <v>0</v>
      </c>
      <c r="L12" s="37">
        <v>0.3</v>
      </c>
      <c r="M12" s="39">
        <v>1.022</v>
      </c>
      <c r="N12" s="39">
        <v>1.022</v>
      </c>
      <c r="O12" s="39">
        <v>1.0229999999999999</v>
      </c>
      <c r="P12" s="39">
        <v>1.0209999999999999</v>
      </c>
      <c r="Q12" s="39">
        <v>1.022</v>
      </c>
      <c r="R12" s="39">
        <v>1.02</v>
      </c>
      <c r="S12" s="39">
        <v>1.02</v>
      </c>
      <c r="T12" s="39">
        <v>1.0189999999999999</v>
      </c>
      <c r="U12" s="39">
        <v>1.0189999999999999</v>
      </c>
      <c r="V12" s="39">
        <v>1.0189999999999999</v>
      </c>
      <c r="W12" s="39">
        <v>1.018</v>
      </c>
      <c r="X12" s="39">
        <v>1.0169999999999999</v>
      </c>
      <c r="Y12" s="39">
        <v>1.016</v>
      </c>
      <c r="Z12" s="33">
        <v>5.7573193340954225E-2</v>
      </c>
      <c r="AA12" s="33">
        <v>4.0710395425952915E-2</v>
      </c>
      <c r="AB12" s="33">
        <v>2.8347682276257575E-2</v>
      </c>
      <c r="AC12" s="33">
        <v>2.0660895494893312E-2</v>
      </c>
      <c r="AD12" s="33">
        <v>1.5194660781698727E-2</v>
      </c>
      <c r="AE12" s="33">
        <v>1.1393945643482367E-2</v>
      </c>
      <c r="AF12" s="33">
        <v>8.0567362289773025E-3</v>
      </c>
      <c r="AG12" s="33">
        <v>5.769870123849735E-3</v>
      </c>
      <c r="AH12" s="33">
        <v>4.0799142911398124E-3</v>
      </c>
      <c r="AI12" s="33">
        <v>2.8849350619248675E-3</v>
      </c>
      <c r="AJ12" s="33">
        <v>2.0654086508645701E-3</v>
      </c>
      <c r="AK12" s="33">
        <v>1.4782423066552232E-3</v>
      </c>
      <c r="AL12" s="33">
        <v>1.2213228311514245E-3</v>
      </c>
      <c r="AM12" s="34">
        <v>70.027380368098221</v>
      </c>
      <c r="AN12" s="34">
        <v>70.027380368098221</v>
      </c>
      <c r="AO12" s="34">
        <v>73.25437423312853</v>
      </c>
      <c r="AP12" s="34">
        <v>66.800386503067188</v>
      </c>
      <c r="AQ12" s="34">
        <v>70.027380368098221</v>
      </c>
      <c r="AR12" s="34">
        <v>63.573392638036864</v>
      </c>
      <c r="AS12" s="34">
        <v>63.573392638036864</v>
      </c>
      <c r="AT12" s="34">
        <v>60.346398773005838</v>
      </c>
      <c r="AU12" s="34">
        <v>60.346398773005838</v>
      </c>
      <c r="AV12" s="34">
        <v>60.346398773005838</v>
      </c>
      <c r="AW12" s="34">
        <v>57.1194049079755</v>
      </c>
      <c r="AX12" s="34">
        <v>53.892411042944474</v>
      </c>
      <c r="AY12" s="34">
        <v>50.665417177914151</v>
      </c>
      <c r="AZ12" s="40"/>
      <c r="BA12" s="40"/>
    </row>
    <row r="13" spans="1:53" s="41" customFormat="1" x14ac:dyDescent="0.25">
      <c r="A13" s="37">
        <v>9</v>
      </c>
      <c r="B13" s="37" t="str">
        <f t="shared" si="2"/>
        <v>RBH-9</v>
      </c>
      <c r="C13" s="34">
        <f>GSD!F13</f>
        <v>12</v>
      </c>
      <c r="D13" s="37" t="str">
        <f>GSD!E13</f>
        <v>UDS</v>
      </c>
      <c r="E13" s="34">
        <v>27</v>
      </c>
      <c r="F13" s="38">
        <f t="shared" si="0"/>
        <v>8.5594212700000009E-3</v>
      </c>
      <c r="G13" s="39">
        <v>2.6</v>
      </c>
      <c r="H13" s="37">
        <v>5.0000000000000001E-4</v>
      </c>
      <c r="I13" s="37">
        <v>1</v>
      </c>
      <c r="J13" s="37">
        <v>1</v>
      </c>
      <c r="K13" s="34">
        <f t="shared" si="1"/>
        <v>0</v>
      </c>
      <c r="L13" s="37">
        <v>0.3</v>
      </c>
      <c r="M13" s="39">
        <v>1.0209999999999999</v>
      </c>
      <c r="N13" s="39">
        <v>1.0209999999999999</v>
      </c>
      <c r="O13" s="39">
        <v>1.0209999999999999</v>
      </c>
      <c r="P13" s="39">
        <v>1.02</v>
      </c>
      <c r="Q13" s="39">
        <v>1.02</v>
      </c>
      <c r="R13" s="39">
        <v>1.0189999999999999</v>
      </c>
      <c r="S13" s="39">
        <v>1.0189999999999999</v>
      </c>
      <c r="T13" s="39">
        <v>1.018</v>
      </c>
      <c r="U13" s="39">
        <v>1.0169999999999999</v>
      </c>
      <c r="V13" s="39">
        <v>1.016</v>
      </c>
      <c r="W13" s="39">
        <v>1.0149999999999999</v>
      </c>
      <c r="X13" s="39">
        <v>1.014</v>
      </c>
      <c r="Y13" s="39">
        <v>1.0129999999999999</v>
      </c>
      <c r="Z13" s="33">
        <v>5.8983147691564042E-2</v>
      </c>
      <c r="AA13" s="33">
        <v>4.1707383708432591E-2</v>
      </c>
      <c r="AB13" s="33">
        <v>2.9491573845782021E-2</v>
      </c>
      <c r="AC13" s="33">
        <v>2.1157743028985397E-2</v>
      </c>
      <c r="AD13" s="33">
        <v>1.5747390246670944E-2</v>
      </c>
      <c r="AE13" s="33">
        <v>1.1647422894264296E-2</v>
      </c>
      <c r="AF13" s="33">
        <v>8.2359717118817271E-3</v>
      </c>
      <c r="AG13" s="33">
        <v>5.8963709258144162E-3</v>
      </c>
      <c r="AH13" s="33">
        <v>4.2201164184250458E-3</v>
      </c>
      <c r="AI13" s="33">
        <v>3.0195339145906615E-3</v>
      </c>
      <c r="AJ13" s="33">
        <v>2.1599165296599006E-3</v>
      </c>
      <c r="AK13" s="33">
        <v>1.5446174768392513E-3</v>
      </c>
      <c r="AL13" s="33">
        <v>1.2751644578812801E-3</v>
      </c>
      <c r="AM13" s="34">
        <v>67.276624999999697</v>
      </c>
      <c r="AN13" s="34">
        <v>67.276624999999697</v>
      </c>
      <c r="AO13" s="34">
        <v>67.276624999999697</v>
      </c>
      <c r="AP13" s="34">
        <v>64.026625000000053</v>
      </c>
      <c r="AQ13" s="34">
        <v>64.026625000000053</v>
      </c>
      <c r="AR13" s="34">
        <v>60.776624999999697</v>
      </c>
      <c r="AS13" s="34">
        <v>60.776624999999697</v>
      </c>
      <c r="AT13" s="34">
        <v>57.526625000000038</v>
      </c>
      <c r="AU13" s="34">
        <v>54.276624999999683</v>
      </c>
      <c r="AV13" s="34">
        <v>51.026625000000038</v>
      </c>
      <c r="AW13" s="34">
        <v>47.776624999999683</v>
      </c>
      <c r="AX13" s="34">
        <v>44.526625000000038</v>
      </c>
      <c r="AY13" s="34">
        <v>41.276624999999676</v>
      </c>
      <c r="AZ13" s="40"/>
      <c r="BA13" s="40"/>
    </row>
    <row r="14" spans="1:53" s="41" customFormat="1" x14ac:dyDescent="0.25">
      <c r="A14" s="37">
        <v>10</v>
      </c>
      <c r="B14" s="37" t="str">
        <f t="shared" si="2"/>
        <v>RBH-9</v>
      </c>
      <c r="C14" s="34">
        <f>GSD!F14</f>
        <v>13.5</v>
      </c>
      <c r="D14" s="37" t="str">
        <f>GSD!E14</f>
        <v>SPT</v>
      </c>
      <c r="E14" s="34">
        <v>27</v>
      </c>
      <c r="F14" s="38">
        <f t="shared" si="0"/>
        <v>8.5594212700000009E-3</v>
      </c>
      <c r="G14" s="39">
        <v>2.62</v>
      </c>
      <c r="H14" s="37">
        <v>5.0000000000000001E-4</v>
      </c>
      <c r="I14" s="37">
        <v>1</v>
      </c>
      <c r="J14" s="37">
        <v>1</v>
      </c>
      <c r="K14" s="34">
        <f t="shared" si="1"/>
        <v>0</v>
      </c>
      <c r="L14" s="37">
        <v>0.3</v>
      </c>
      <c r="M14" s="39">
        <v>1.0229999999999999</v>
      </c>
      <c r="N14" s="39">
        <v>1.0229999999999999</v>
      </c>
      <c r="O14" s="39">
        <v>1.022</v>
      </c>
      <c r="P14" s="39">
        <v>1.0209999999999999</v>
      </c>
      <c r="Q14" s="39">
        <v>1.022</v>
      </c>
      <c r="R14" s="39">
        <v>1.0209999999999999</v>
      </c>
      <c r="S14" s="39">
        <v>1.0209999999999999</v>
      </c>
      <c r="T14" s="39">
        <v>1.02</v>
      </c>
      <c r="U14" s="39">
        <v>1.02</v>
      </c>
      <c r="V14" s="39">
        <v>1.0189999999999999</v>
      </c>
      <c r="W14" s="39">
        <v>1.0189999999999999</v>
      </c>
      <c r="X14" s="39">
        <v>1.018</v>
      </c>
      <c r="Y14" s="39">
        <v>1.0169999999999999</v>
      </c>
      <c r="Z14" s="33">
        <v>5.6870081036182726E-2</v>
      </c>
      <c r="AA14" s="33">
        <v>4.0213219947313285E-2</v>
      </c>
      <c r="AB14" s="33">
        <v>2.8875307502248263E-2</v>
      </c>
      <c r="AC14" s="33">
        <v>2.0724565585716122E-2</v>
      </c>
      <c r="AD14" s="33">
        <v>1.5241485733319614E-2</v>
      </c>
      <c r="AE14" s="33">
        <v>1.1280918423129943E-2</v>
      </c>
      <c r="AF14" s="33">
        <v>7.9768139150074371E-3</v>
      </c>
      <c r="AG14" s="33">
        <v>5.7145290199739759E-3</v>
      </c>
      <c r="AH14" s="33">
        <v>4.0407822213109137E-3</v>
      </c>
      <c r="AI14" s="33">
        <v>2.8938254838069234E-3</v>
      </c>
      <c r="AJ14" s="33">
        <v>2.0462436231703171E-3</v>
      </c>
      <c r="AK14" s="33">
        <v>1.464965134519378E-3</v>
      </c>
      <c r="AL14" s="33">
        <v>1.2106993042679034E-3</v>
      </c>
      <c r="AM14" s="34">
        <v>73.426308641974998</v>
      </c>
      <c r="AN14" s="34">
        <v>73.426308641974998</v>
      </c>
      <c r="AO14" s="34">
        <v>70.191740740740798</v>
      </c>
      <c r="AP14" s="34">
        <v>66.957172839505873</v>
      </c>
      <c r="AQ14" s="34">
        <v>70.191740740740798</v>
      </c>
      <c r="AR14" s="34">
        <v>66.957172839505873</v>
      </c>
      <c r="AS14" s="34">
        <v>66.957172839505873</v>
      </c>
      <c r="AT14" s="34">
        <v>63.722604938271658</v>
      </c>
      <c r="AU14" s="34">
        <v>63.722604938271658</v>
      </c>
      <c r="AV14" s="34">
        <v>60.488037037036733</v>
      </c>
      <c r="AW14" s="34">
        <v>60.488037037036733</v>
      </c>
      <c r="AX14" s="34">
        <v>57.253469135802511</v>
      </c>
      <c r="AY14" s="34">
        <v>54.018901234567586</v>
      </c>
      <c r="AZ14" s="40"/>
      <c r="BA14" s="40"/>
    </row>
    <row r="15" spans="1:53" s="41" customFormat="1" x14ac:dyDescent="0.25">
      <c r="A15" s="37">
        <v>11</v>
      </c>
      <c r="B15" s="37" t="str">
        <f t="shared" si="2"/>
        <v>RBH-9</v>
      </c>
      <c r="C15" s="34">
        <f>GSD!F15</f>
        <v>15</v>
      </c>
      <c r="D15" s="37" t="str">
        <f>GSD!E15</f>
        <v>SPT</v>
      </c>
      <c r="E15" s="34">
        <v>27</v>
      </c>
      <c r="F15" s="38">
        <f t="shared" si="0"/>
        <v>8.5594212700000009E-3</v>
      </c>
      <c r="G15" s="39">
        <v>2.74</v>
      </c>
      <c r="H15" s="37">
        <v>5.0000000000000001E-4</v>
      </c>
      <c r="I15" s="37">
        <v>1</v>
      </c>
      <c r="J15" s="37">
        <v>1</v>
      </c>
      <c r="K15" s="34">
        <f t="shared" si="1"/>
        <v>0</v>
      </c>
      <c r="L15" s="37">
        <v>0.3</v>
      </c>
      <c r="M15" s="39">
        <v>1.0229999999999999</v>
      </c>
      <c r="N15" s="39">
        <v>1.0229999999999999</v>
      </c>
      <c r="O15" s="39">
        <v>1.0229999999999999</v>
      </c>
      <c r="P15" s="39">
        <v>1.022</v>
      </c>
      <c r="Q15" s="39">
        <v>1.022</v>
      </c>
      <c r="R15" s="39">
        <v>1.0209999999999999</v>
      </c>
      <c r="S15" s="39">
        <v>1.0209999999999999</v>
      </c>
      <c r="T15" s="39">
        <v>1.02</v>
      </c>
      <c r="U15" s="39">
        <v>1.02</v>
      </c>
      <c r="V15" s="39">
        <v>1.02</v>
      </c>
      <c r="W15" s="39">
        <v>1.0189999999999999</v>
      </c>
      <c r="X15" s="39">
        <v>1.018</v>
      </c>
      <c r="Y15" s="39">
        <v>1.0169999999999999</v>
      </c>
      <c r="Z15" s="33">
        <v>5.4874014062519398E-2</v>
      </c>
      <c r="AA15" s="33">
        <v>3.8801787454533436E-2</v>
      </c>
      <c r="AB15" s="33">
        <v>2.7437007031259699E-2</v>
      </c>
      <c r="AC15" s="33">
        <v>1.9701282712674278E-2</v>
      </c>
      <c r="AD15" s="33">
        <v>1.4706529113819039E-2</v>
      </c>
      <c r="AE15" s="33">
        <v>1.08849726413282E-2</v>
      </c>
      <c r="AF15" s="33">
        <v>7.6968379677132166E-3</v>
      </c>
      <c r="AG15" s="33">
        <v>5.5139563737075948E-3</v>
      </c>
      <c r="AH15" s="33">
        <v>3.8989559430154248E-3</v>
      </c>
      <c r="AI15" s="33">
        <v>2.7569781868537974E-3</v>
      </c>
      <c r="AJ15" s="33">
        <v>1.9744230939595219E-3</v>
      </c>
      <c r="AK15" s="33">
        <v>1.4135467354367054E-3</v>
      </c>
      <c r="AL15" s="33">
        <v>1.1682053100225147E-3</v>
      </c>
      <c r="AM15" s="34">
        <v>71.493528735631884</v>
      </c>
      <c r="AN15" s="34">
        <v>71.493528735631884</v>
      </c>
      <c r="AO15" s="34">
        <v>71.493528735631884</v>
      </c>
      <c r="AP15" s="34">
        <v>68.344103448275916</v>
      </c>
      <c r="AQ15" s="34">
        <v>68.344103448275916</v>
      </c>
      <c r="AR15" s="34">
        <v>65.194678160919239</v>
      </c>
      <c r="AS15" s="34">
        <v>65.194678160919239</v>
      </c>
      <c r="AT15" s="34">
        <v>62.045252873563271</v>
      </c>
      <c r="AU15" s="34">
        <v>62.045252873563271</v>
      </c>
      <c r="AV15" s="34">
        <v>62.045252873563271</v>
      </c>
      <c r="AW15" s="34">
        <v>58.8958275862066</v>
      </c>
      <c r="AX15" s="34">
        <v>55.746402298850612</v>
      </c>
      <c r="AY15" s="34">
        <v>52.596977011493948</v>
      </c>
      <c r="AZ15" s="40"/>
      <c r="BA15" s="40"/>
    </row>
    <row r="16" spans="1:53" s="41" customFormat="1" x14ac:dyDescent="0.25">
      <c r="A16" s="37">
        <v>12</v>
      </c>
      <c r="B16" s="37" t="str">
        <f t="shared" si="2"/>
        <v>RBH-9</v>
      </c>
      <c r="C16" s="34">
        <f>GSD!F16</f>
        <v>16.5</v>
      </c>
      <c r="D16" s="37" t="str">
        <f>GSD!E16</f>
        <v>SPT</v>
      </c>
      <c r="E16" s="34">
        <v>27</v>
      </c>
      <c r="F16" s="38">
        <f t="shared" si="0"/>
        <v>8.5594212700000009E-3</v>
      </c>
      <c r="G16" s="39">
        <v>2.8</v>
      </c>
      <c r="H16" s="37">
        <v>5.0000000000000001E-4</v>
      </c>
      <c r="I16" s="37">
        <v>1</v>
      </c>
      <c r="J16" s="37">
        <v>1</v>
      </c>
      <c r="K16" s="34">
        <f t="shared" si="1"/>
        <v>0</v>
      </c>
      <c r="L16" s="37">
        <v>0.3</v>
      </c>
      <c r="M16" s="39">
        <v>1.0229999999999999</v>
      </c>
      <c r="N16" s="39">
        <v>1.0229999999999999</v>
      </c>
      <c r="O16" s="39">
        <v>1.0229999999999999</v>
      </c>
      <c r="P16" s="39">
        <v>1.022</v>
      </c>
      <c r="Q16" s="39">
        <v>1.022</v>
      </c>
      <c r="R16" s="39">
        <v>1.0209999999999999</v>
      </c>
      <c r="S16" s="39">
        <v>1.0209999999999999</v>
      </c>
      <c r="T16" s="39">
        <v>1.02</v>
      </c>
      <c r="U16" s="39">
        <v>1.02</v>
      </c>
      <c r="V16" s="39">
        <v>1.02</v>
      </c>
      <c r="W16" s="39">
        <v>1.0189999999999999</v>
      </c>
      <c r="X16" s="39">
        <v>1.018</v>
      </c>
      <c r="Y16" s="39">
        <v>1.0169999999999999</v>
      </c>
      <c r="Z16" s="33">
        <v>5.3951696037805814E-2</v>
      </c>
      <c r="AA16" s="33">
        <v>3.8149610124847876E-2</v>
      </c>
      <c r="AB16" s="33">
        <v>2.6975848018902907E-2</v>
      </c>
      <c r="AC16" s="33">
        <v>1.9370145133871038E-2</v>
      </c>
      <c r="AD16" s="33">
        <v>1.4459342952675506E-2</v>
      </c>
      <c r="AE16" s="33">
        <v>1.0702018894693717E-2</v>
      </c>
      <c r="AF16" s="33">
        <v>7.5674701328244873E-3</v>
      </c>
      <c r="AG16" s="33">
        <v>5.4212782374742823E-3</v>
      </c>
      <c r="AH16" s="33">
        <v>3.8334226044171192E-3</v>
      </c>
      <c r="AI16" s="33">
        <v>2.7106391187371411E-3</v>
      </c>
      <c r="AJ16" s="33">
        <v>1.9412371490440494E-3</v>
      </c>
      <c r="AK16" s="33">
        <v>1.3897879553448583E-3</v>
      </c>
      <c r="AL16" s="33">
        <v>1.148570208920337E-3</v>
      </c>
      <c r="AM16" s="34">
        <v>70.623777777777491</v>
      </c>
      <c r="AN16" s="34">
        <v>70.623777777777491</v>
      </c>
      <c r="AO16" s="34">
        <v>70.623777777777491</v>
      </c>
      <c r="AP16" s="34">
        <v>67.512666666666732</v>
      </c>
      <c r="AQ16" s="34">
        <v>67.512666666666732</v>
      </c>
      <c r="AR16" s="34">
        <v>64.401555555555262</v>
      </c>
      <c r="AS16" s="34">
        <v>64.401555555555262</v>
      </c>
      <c r="AT16" s="34">
        <v>61.290444444444496</v>
      </c>
      <c r="AU16" s="34">
        <v>61.290444444444496</v>
      </c>
      <c r="AV16" s="34">
        <v>61.290444444444496</v>
      </c>
      <c r="AW16" s="34">
        <v>58.179333333333041</v>
      </c>
      <c r="AX16" s="34">
        <v>55.068222222222268</v>
      </c>
      <c r="AY16" s="34">
        <v>51.957111111110812</v>
      </c>
      <c r="AZ16" s="40"/>
      <c r="BA16" s="40"/>
    </row>
    <row r="17" spans="1:53" s="41" customFormat="1" x14ac:dyDescent="0.25">
      <c r="A17" s="37">
        <v>13</v>
      </c>
      <c r="B17" s="37" t="str">
        <f t="shared" si="2"/>
        <v>RBH-9</v>
      </c>
      <c r="C17" s="34">
        <f>GSD!F17</f>
        <v>18</v>
      </c>
      <c r="D17" s="37" t="str">
        <f>GSD!E17</f>
        <v>SPT</v>
      </c>
      <c r="E17" s="34">
        <v>27</v>
      </c>
      <c r="F17" s="38">
        <f t="shared" ref="F17" si="3">(0.000000002615*E17^4) - (0.00000030607*E17^3) + (0.000016427499*E17^2) - (0.000618546309*E17) + 0.017919182437</f>
        <v>8.5594212700000009E-3</v>
      </c>
      <c r="G17" s="39">
        <v>2.76</v>
      </c>
      <c r="H17" s="37">
        <v>5.0000000000000001E-4</v>
      </c>
      <c r="I17" s="37">
        <v>1</v>
      </c>
      <c r="J17" s="37">
        <v>1</v>
      </c>
      <c r="K17" s="34">
        <f t="shared" ref="K17" si="4">(E17-27)*0.25</f>
        <v>0</v>
      </c>
      <c r="L17" s="37">
        <v>0.3</v>
      </c>
      <c r="M17" s="39">
        <v>1.006</v>
      </c>
      <c r="N17" s="39">
        <v>1.006</v>
      </c>
      <c r="O17" s="39">
        <v>1.006</v>
      </c>
      <c r="P17" s="39">
        <v>1.006</v>
      </c>
      <c r="Q17" s="39">
        <v>1.006</v>
      </c>
      <c r="R17" s="39">
        <v>1.006</v>
      </c>
      <c r="S17" s="39">
        <v>1.0049999999999999</v>
      </c>
      <c r="T17" s="39">
        <v>1.0049999999999999</v>
      </c>
      <c r="U17" s="39">
        <v>1.004</v>
      </c>
      <c r="V17" s="39">
        <v>1.004</v>
      </c>
      <c r="W17" s="39">
        <v>1.004</v>
      </c>
      <c r="X17" s="39">
        <v>1.004</v>
      </c>
      <c r="Y17" s="39">
        <v>1.004</v>
      </c>
      <c r="Z17" s="33">
        <v>6.7499810418601022E-2</v>
      </c>
      <c r="AA17" s="33">
        <v>4.7729573675799157E-2</v>
      </c>
      <c r="AB17" s="33">
        <v>3.3749905209300511E-2</v>
      </c>
      <c r="AC17" s="33">
        <v>2.3864786837899579E-2</v>
      </c>
      <c r="AD17" s="33">
        <v>1.7513518998730115E-2</v>
      </c>
      <c r="AE17" s="33">
        <v>1.2790065889199698E-2</v>
      </c>
      <c r="AF17" s="33">
        <v>9.1291407615295209E-3</v>
      </c>
      <c r="AG17" s="33">
        <v>6.4552773388840464E-3</v>
      </c>
      <c r="AH17" s="33">
        <v>4.606775698973318E-3</v>
      </c>
      <c r="AI17" s="33">
        <v>3.2574823361494307E-3</v>
      </c>
      <c r="AJ17" s="33">
        <v>2.303387849486659E-3</v>
      </c>
      <c r="AK17" s="33">
        <v>1.6287411680747153E-3</v>
      </c>
      <c r="AL17" s="33">
        <v>1.3298615949492358E-3</v>
      </c>
      <c r="AM17" s="34">
        <v>17.878840909090925</v>
      </c>
      <c r="AN17" s="34">
        <v>17.878840909090925</v>
      </c>
      <c r="AO17" s="34">
        <v>17.878840909090925</v>
      </c>
      <c r="AP17" s="34">
        <v>17.878840909090925</v>
      </c>
      <c r="AQ17" s="34">
        <v>17.878840909090925</v>
      </c>
      <c r="AR17" s="34">
        <v>17.878840909090925</v>
      </c>
      <c r="AS17" s="34">
        <v>14.742477272726939</v>
      </c>
      <c r="AT17" s="34">
        <v>14.742477272726939</v>
      </c>
      <c r="AU17" s="34">
        <v>11.606113636363647</v>
      </c>
      <c r="AV17" s="34">
        <v>11.606113636363647</v>
      </c>
      <c r="AW17" s="34">
        <v>11.606113636363647</v>
      </c>
      <c r="AX17" s="34">
        <v>11.606113636363647</v>
      </c>
      <c r="AY17" s="34">
        <v>11.606113636363647</v>
      </c>
      <c r="AZ17" s="40"/>
      <c r="BA17" s="40"/>
    </row>
    <row r="18" spans="1:53" x14ac:dyDescent="0.25">
      <c r="A18" s="37">
        <v>14</v>
      </c>
      <c r="B18" s="37" t="str">
        <f t="shared" si="2"/>
        <v>RBH-9</v>
      </c>
      <c r="C18" s="34">
        <f>GSD!F18</f>
        <v>19.5</v>
      </c>
      <c r="D18" s="37" t="str">
        <f>GSD!E18</f>
        <v>SPT</v>
      </c>
      <c r="E18" s="34">
        <v>28</v>
      </c>
      <c r="F18" s="38">
        <f t="shared" ref="F18" si="5">(0.000000002615*E18^4) - (0.00000030607*E18^3) + (0.000016427499*E18^2) - (0.000618546309*E18) + 0.017919182437</f>
        <v>8.367521801E-3</v>
      </c>
      <c r="G18" s="39">
        <v>2.76</v>
      </c>
      <c r="H18" s="37">
        <v>5.0000000000000001E-4</v>
      </c>
      <c r="I18" s="37">
        <v>1</v>
      </c>
      <c r="J18" s="37">
        <v>1</v>
      </c>
      <c r="K18" s="34">
        <f t="shared" ref="K18" si="6">(E18-27)*0.25</f>
        <v>0.25</v>
      </c>
      <c r="L18" s="37">
        <v>0.3</v>
      </c>
      <c r="M18" s="39">
        <v>1.006</v>
      </c>
      <c r="N18" s="39">
        <v>1.006</v>
      </c>
      <c r="O18" s="39">
        <v>1.006</v>
      </c>
      <c r="P18" s="39">
        <v>1.006</v>
      </c>
      <c r="Q18" s="39">
        <v>1.006</v>
      </c>
      <c r="R18" s="39">
        <v>1.006</v>
      </c>
      <c r="S18" s="39">
        <v>1.0049999999999999</v>
      </c>
      <c r="T18" s="39">
        <v>1.0049999999999999</v>
      </c>
      <c r="U18" s="39">
        <v>1.004</v>
      </c>
      <c r="V18" s="39">
        <v>1.004</v>
      </c>
      <c r="W18" s="39">
        <v>1.004</v>
      </c>
      <c r="X18" s="39">
        <v>1.004</v>
      </c>
      <c r="Y18" s="39">
        <v>1.004</v>
      </c>
      <c r="Z18" s="33">
        <v>6.7499810418601022E-2</v>
      </c>
      <c r="AA18" s="33">
        <v>4.7729573675799157E-2</v>
      </c>
      <c r="AB18" s="33">
        <v>3.3749905209300511E-2</v>
      </c>
      <c r="AC18" s="33">
        <v>2.3864786837899579E-2</v>
      </c>
      <c r="AD18" s="33">
        <v>1.7513518998730115E-2</v>
      </c>
      <c r="AE18" s="33">
        <v>1.2790065889199698E-2</v>
      </c>
      <c r="AF18" s="33">
        <v>9.1291407615295209E-3</v>
      </c>
      <c r="AG18" s="33">
        <v>6.4552773388840464E-3</v>
      </c>
      <c r="AH18" s="33">
        <v>4.606775698973318E-3</v>
      </c>
      <c r="AI18" s="33">
        <v>3.2574823361494307E-3</v>
      </c>
      <c r="AJ18" s="33">
        <v>2.303387849486659E-3</v>
      </c>
      <c r="AK18" s="33">
        <v>1.6287411680747153E-3</v>
      </c>
      <c r="AL18" s="33">
        <v>1.3298615949492358E-3</v>
      </c>
      <c r="AM18" s="34">
        <v>17.878840909090925</v>
      </c>
      <c r="AN18" s="34">
        <v>17.878840909090925</v>
      </c>
      <c r="AO18" s="34">
        <v>17.878840909090925</v>
      </c>
      <c r="AP18" s="34">
        <v>17.878840909090925</v>
      </c>
      <c r="AQ18" s="34">
        <v>17.878840909090925</v>
      </c>
      <c r="AR18" s="34">
        <v>17.878840909090925</v>
      </c>
      <c r="AS18" s="34">
        <v>14.742477272726939</v>
      </c>
      <c r="AT18" s="34">
        <v>14.742477272726939</v>
      </c>
      <c r="AU18" s="34">
        <v>11.606113636363647</v>
      </c>
      <c r="AV18" s="34">
        <v>11.606113636363647</v>
      </c>
      <c r="AW18" s="34">
        <v>11.606113636363647</v>
      </c>
      <c r="AX18" s="34">
        <v>11.606113636363647</v>
      </c>
      <c r="AY18" s="34">
        <v>11.606113636363647</v>
      </c>
    </row>
    <row r="19" spans="1:53" x14ac:dyDescent="0.25">
      <c r="G19" t="s">
        <v>49</v>
      </c>
      <c r="J19" s="18"/>
    </row>
    <row r="20" spans="1:53" x14ac:dyDescent="0.25">
      <c r="J20" s="18"/>
    </row>
    <row r="21" spans="1:53" x14ac:dyDescent="0.25">
      <c r="J21" s="18"/>
    </row>
    <row r="22" spans="1:53" x14ac:dyDescent="0.25">
      <c r="J22" s="18"/>
    </row>
    <row r="23" spans="1:53" x14ac:dyDescent="0.25">
      <c r="J23" s="18"/>
    </row>
    <row r="24" spans="1:53" x14ac:dyDescent="0.25">
      <c r="J24" s="18"/>
    </row>
    <row r="25" spans="1:53" x14ac:dyDescent="0.25">
      <c r="J25" s="18"/>
    </row>
    <row r="26" spans="1:53" x14ac:dyDescent="0.25">
      <c r="J26" s="18"/>
    </row>
    <row r="27" spans="1:53" x14ac:dyDescent="0.25">
      <c r="J27" s="18"/>
    </row>
    <row r="28" spans="1:53" x14ac:dyDescent="0.25">
      <c r="J28" s="18"/>
    </row>
    <row r="29" spans="1:53" x14ac:dyDescent="0.25">
      <c r="J29" s="18"/>
    </row>
    <row r="30" spans="1:53" x14ac:dyDescent="0.25">
      <c r="J30" s="18"/>
    </row>
    <row r="31" spans="1:53" x14ac:dyDescent="0.25">
      <c r="J31" s="18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T33"/>
  <sheetViews>
    <sheetView tabSelected="1" zoomScale="85" zoomScaleNormal="85" workbookViewId="0">
      <selection activeCell="G32" sqref="G32"/>
    </sheetView>
  </sheetViews>
  <sheetFormatPr defaultRowHeight="15" x14ac:dyDescent="0.25"/>
  <cols>
    <col min="4" max="27" width="9.140625" customWidth="1"/>
    <col min="28" max="28" width="9.140625" style="42"/>
  </cols>
  <sheetData>
    <row r="1" spans="1:45" x14ac:dyDescent="0.25">
      <c r="J1" s="25">
        <v>0.5</v>
      </c>
      <c r="K1" s="25">
        <v>1</v>
      </c>
      <c r="L1" s="25">
        <v>2</v>
      </c>
      <c r="M1" s="25">
        <v>4</v>
      </c>
      <c r="N1" s="25">
        <v>8</v>
      </c>
      <c r="O1" s="25">
        <v>15</v>
      </c>
      <c r="P1" s="25">
        <v>30</v>
      </c>
      <c r="Q1" s="25">
        <v>60</v>
      </c>
      <c r="R1" s="25">
        <v>120</v>
      </c>
      <c r="S1" s="25">
        <v>240</v>
      </c>
      <c r="T1" s="25">
        <v>480</v>
      </c>
      <c r="U1" s="25">
        <v>960</v>
      </c>
      <c r="V1" s="25">
        <v>1440</v>
      </c>
      <c r="W1" s="25">
        <v>4.75</v>
      </c>
      <c r="X1" s="43">
        <v>2</v>
      </c>
      <c r="Y1" s="28">
        <v>0.42499999999999999</v>
      </c>
      <c r="Z1" s="28">
        <v>0.21199999999999999</v>
      </c>
      <c r="AA1" s="28">
        <v>0.15</v>
      </c>
      <c r="AB1" s="25">
        <v>7.4999999999999997E-2</v>
      </c>
      <c r="AC1" s="25">
        <v>0.5</v>
      </c>
      <c r="AD1" s="25">
        <v>1</v>
      </c>
      <c r="AE1" s="25">
        <v>2</v>
      </c>
      <c r="AF1" s="25">
        <v>4</v>
      </c>
      <c r="AG1" s="25">
        <v>8</v>
      </c>
      <c r="AH1" s="25">
        <v>15</v>
      </c>
      <c r="AI1" s="25">
        <v>30</v>
      </c>
      <c r="AJ1" s="25">
        <v>60</v>
      </c>
      <c r="AK1" s="25">
        <v>120</v>
      </c>
      <c r="AL1" s="25">
        <v>240</v>
      </c>
      <c r="AM1" s="25">
        <v>480</v>
      </c>
      <c r="AN1" s="25">
        <v>960</v>
      </c>
      <c r="AO1" s="25">
        <v>1440</v>
      </c>
    </row>
    <row r="2" spans="1:45" x14ac:dyDescent="0.25">
      <c r="A2" s="29" t="s">
        <v>40</v>
      </c>
      <c r="B2" s="29" t="s">
        <v>5</v>
      </c>
      <c r="C2" s="29" t="s">
        <v>9</v>
      </c>
      <c r="D2" s="83" t="s">
        <v>41</v>
      </c>
      <c r="E2" s="83"/>
      <c r="F2" s="83"/>
      <c r="G2" s="83"/>
      <c r="H2" s="83"/>
      <c r="I2" s="83"/>
      <c r="J2" s="83" t="s">
        <v>42</v>
      </c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4" t="s">
        <v>43</v>
      </c>
      <c r="X2" s="84"/>
      <c r="Y2" s="84"/>
      <c r="Z2" s="84"/>
      <c r="AA2" s="84"/>
      <c r="AB2" s="84"/>
      <c r="AC2" s="83" t="s">
        <v>44</v>
      </c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29" t="s">
        <v>1</v>
      </c>
      <c r="AQ2" s="29" t="s">
        <v>45</v>
      </c>
      <c r="AR2" s="29" t="s">
        <v>46</v>
      </c>
      <c r="AS2" s="29" t="s">
        <v>2</v>
      </c>
    </row>
    <row r="3" spans="1:45" s="18" customFormat="1" x14ac:dyDescent="0.25">
      <c r="A3" s="35">
        <v>1</v>
      </c>
      <c r="B3" s="35" t="str">
        <f>GSD!B5</f>
        <v>RBH-9</v>
      </c>
      <c r="C3" s="27">
        <f>GSD!F5</f>
        <v>0.5</v>
      </c>
      <c r="D3" s="23">
        <v>4.75</v>
      </c>
      <c r="E3" s="23">
        <v>2</v>
      </c>
      <c r="F3" s="23">
        <v>0.42499999999999999</v>
      </c>
      <c r="G3" s="23">
        <v>0.21199999999999999</v>
      </c>
      <c r="H3" s="23">
        <v>0.15</v>
      </c>
      <c r="I3" s="23">
        <v>7.4999999999999997E-2</v>
      </c>
      <c r="J3" s="24">
        <f>HYD!Z5</f>
        <v>0</v>
      </c>
      <c r="K3" s="24">
        <f>HYD!AA5</f>
        <v>0</v>
      </c>
      <c r="L3" s="24">
        <f>HYD!AB5</f>
        <v>0</v>
      </c>
      <c r="M3" s="24">
        <f>HYD!AC5</f>
        <v>0</v>
      </c>
      <c r="N3" s="24">
        <f>HYD!AD5</f>
        <v>0</v>
      </c>
      <c r="O3" s="24">
        <f>HYD!AE5</f>
        <v>0</v>
      </c>
      <c r="P3" s="24">
        <f>HYD!AF5</f>
        <v>0</v>
      </c>
      <c r="Q3" s="24">
        <f>HYD!AG5</f>
        <v>0</v>
      </c>
      <c r="R3" s="24">
        <f>HYD!AH5</f>
        <v>0</v>
      </c>
      <c r="S3" s="24">
        <f>HYD!AI5</f>
        <v>0</v>
      </c>
      <c r="T3" s="24">
        <f>HYD!AJ5</f>
        <v>0</v>
      </c>
      <c r="U3" s="24">
        <f>HYD!AK5</f>
        <v>0</v>
      </c>
      <c r="V3" s="24">
        <f>HYD!AL5</f>
        <v>0</v>
      </c>
      <c r="W3" s="1">
        <f>GSD!Q5</f>
        <v>100</v>
      </c>
      <c r="X3" s="1">
        <f>GSD!R5</f>
        <v>99.83</v>
      </c>
      <c r="Y3" s="1">
        <f>GSD!S5</f>
        <v>97.11</v>
      </c>
      <c r="Z3" s="1">
        <f>GSD!T5</f>
        <v>40.42</v>
      </c>
      <c r="AA3" s="1">
        <f>GSD!U5</f>
        <v>32.67</v>
      </c>
      <c r="AB3" s="45">
        <f>GSD!V5</f>
        <v>27.490000000000009</v>
      </c>
      <c r="AC3" s="45">
        <f>HYD!AM5</f>
        <v>0</v>
      </c>
      <c r="AD3" s="44">
        <f>HYD!AN5</f>
        <v>0</v>
      </c>
      <c r="AE3" s="44">
        <f>HYD!AO5</f>
        <v>0</v>
      </c>
      <c r="AF3" s="44">
        <f>HYD!AP5</f>
        <v>0</v>
      </c>
      <c r="AG3" s="44">
        <f>HYD!AQ5</f>
        <v>0</v>
      </c>
      <c r="AH3" s="44">
        <f>HYD!AR5</f>
        <v>0</v>
      </c>
      <c r="AI3" s="44">
        <f>HYD!AS5</f>
        <v>0</v>
      </c>
      <c r="AJ3" s="44">
        <f>HYD!AT5</f>
        <v>0</v>
      </c>
      <c r="AK3" s="44">
        <f>HYD!AU5</f>
        <v>0</v>
      </c>
      <c r="AL3" s="44">
        <f>HYD!AV5</f>
        <v>0</v>
      </c>
      <c r="AM3" s="44">
        <f>HYD!AW5</f>
        <v>0</v>
      </c>
      <c r="AN3" s="44">
        <f>HYD!AX5</f>
        <v>0</v>
      </c>
      <c r="AO3" s="44">
        <f>HYD!AY5</f>
        <v>0</v>
      </c>
      <c r="AP3" s="1">
        <v>0</v>
      </c>
      <c r="AQ3" s="1">
        <v>72.509999999999991</v>
      </c>
      <c r="AR3" s="1"/>
      <c r="AS3" s="1"/>
    </row>
    <row r="4" spans="1:45" x14ac:dyDescent="0.25">
      <c r="A4" s="35">
        <v>2</v>
      </c>
      <c r="B4" s="35" t="str">
        <f>B3</f>
        <v>RBH-9</v>
      </c>
      <c r="C4" s="27">
        <f>GSD!F6</f>
        <v>1.5</v>
      </c>
      <c r="D4" s="23">
        <v>4.75</v>
      </c>
      <c r="E4" s="23">
        <v>2</v>
      </c>
      <c r="F4" s="23">
        <v>0.42499999999999999</v>
      </c>
      <c r="G4" s="23">
        <v>0.21199999999999999</v>
      </c>
      <c r="H4" s="23">
        <v>0.15</v>
      </c>
      <c r="I4" s="23">
        <v>7.4999999999999997E-2</v>
      </c>
      <c r="J4" s="24">
        <f>HYD!Z6</f>
        <v>6.5777610837062947E-2</v>
      </c>
      <c r="K4" s="24">
        <f>HYD!AA6</f>
        <v>4.6511794673136944E-2</v>
      </c>
      <c r="L4" s="24">
        <f>HYD!AB6</f>
        <v>3.2888805418531473E-2</v>
      </c>
      <c r="M4" s="24">
        <f>HYD!AC6</f>
        <v>2.3255897336568472E-2</v>
      </c>
      <c r="N4" s="24">
        <f>HYD!AD6</f>
        <v>1.7277240530008394E-2</v>
      </c>
      <c r="O4" s="24">
        <f>HYD!AE6</f>
        <v>1.2617512492970813E-2</v>
      </c>
      <c r="P4" s="24">
        <f>HYD!AF6</f>
        <v>9.0092688846657859E-3</v>
      </c>
      <c r="Q4" s="24">
        <f>HYD!AG6</f>
        <v>6.3705151218801407E-3</v>
      </c>
      <c r="R4" s="24">
        <f>HYD!AH6</f>
        <v>4.5478852480377238E-3</v>
      </c>
      <c r="S4" s="24">
        <f>HYD!AI6</f>
        <v>3.2158404989457382E-3</v>
      </c>
      <c r="T4" s="24">
        <f>HYD!AJ6</f>
        <v>2.2953642956830733E-3</v>
      </c>
      <c r="U4" s="24">
        <f>HYD!AK6</f>
        <v>1.6230676587709848E-3</v>
      </c>
      <c r="V4" s="24">
        <f>HYD!AL6</f>
        <v>1.3374826406927676E-3</v>
      </c>
      <c r="W4" s="1">
        <f>GSD!Q6</f>
        <v>97.73</v>
      </c>
      <c r="X4" s="1">
        <f>GSD!R6</f>
        <v>94.36</v>
      </c>
      <c r="Y4" s="1">
        <f>GSD!S6</f>
        <v>62.11</v>
      </c>
      <c r="Z4" s="1">
        <f>GSD!T6</f>
        <v>41.89</v>
      </c>
      <c r="AA4" s="1">
        <f>GSD!U6</f>
        <v>34.090000000000003</v>
      </c>
      <c r="AB4" s="45">
        <f>GSD!V6</f>
        <v>28.659999999999997</v>
      </c>
      <c r="AC4" s="45">
        <f>HYD!AM6</f>
        <v>27.401574712643356</v>
      </c>
      <c r="AD4" s="44">
        <f>HYD!AN6</f>
        <v>27.401574712643356</v>
      </c>
      <c r="AE4" s="44">
        <f>HYD!AO6</f>
        <v>27.401574712643356</v>
      </c>
      <c r="AF4" s="44">
        <f>HYD!AP6</f>
        <v>27.401574712643356</v>
      </c>
      <c r="AG4" s="44">
        <f>HYD!AQ6</f>
        <v>24.252149425287378</v>
      </c>
      <c r="AH4" s="44">
        <f>HYD!AR6</f>
        <v>24.252149425287378</v>
      </c>
      <c r="AI4" s="44">
        <f>HYD!AS6</f>
        <v>21.102724137930704</v>
      </c>
      <c r="AJ4" s="44">
        <f>HYD!AT6</f>
        <v>21.102724137930704</v>
      </c>
      <c r="AK4" s="44">
        <f>HYD!AU6</f>
        <v>17.953298850574729</v>
      </c>
      <c r="AL4" s="44">
        <f>HYD!AV6</f>
        <v>17.953298850574729</v>
      </c>
      <c r="AM4" s="44">
        <f>HYD!AW6</f>
        <v>14.803873563218053</v>
      </c>
      <c r="AN4" s="44">
        <f>HYD!AX6</f>
        <v>14.803873563218053</v>
      </c>
      <c r="AO4" s="44">
        <f>HYD!AY6</f>
        <v>11.654448275862078</v>
      </c>
      <c r="AP4" s="1">
        <v>2.269999999999996</v>
      </c>
      <c r="AQ4" s="1">
        <v>69.070000000000007</v>
      </c>
      <c r="AR4" s="1">
        <v>13.856126436781944</v>
      </c>
      <c r="AS4" s="1">
        <v>14.803873563218053</v>
      </c>
    </row>
    <row r="5" spans="1:45" x14ac:dyDescent="0.25">
      <c r="A5" s="35">
        <v>3</v>
      </c>
      <c r="B5" s="35" t="str">
        <f t="shared" ref="B5:B16" si="0">B4</f>
        <v>RBH-9</v>
      </c>
      <c r="C5" s="27">
        <f>GSD!F7</f>
        <v>3</v>
      </c>
      <c r="D5" s="23">
        <v>4.75</v>
      </c>
      <c r="E5" s="23">
        <v>2</v>
      </c>
      <c r="F5" s="23">
        <v>0.42499999999999999</v>
      </c>
      <c r="G5" s="23">
        <v>0.21199999999999999</v>
      </c>
      <c r="H5" s="23">
        <v>0.15</v>
      </c>
      <c r="I5" s="23">
        <v>7.4999999999999997E-2</v>
      </c>
      <c r="J5" s="24">
        <f>HYD!Z7</f>
        <v>6.4333197322251442E-2</v>
      </c>
      <c r="K5" s="24">
        <f>HYD!AA7</f>
        <v>4.5490440081976231E-2</v>
      </c>
      <c r="L5" s="24">
        <f>HYD!AB7</f>
        <v>3.2166598661125721E-2</v>
      </c>
      <c r="M5" s="24">
        <f>HYD!AC7</f>
        <v>2.3001975954708515E-2</v>
      </c>
      <c r="N5" s="24">
        <f>HYD!AD7</f>
        <v>1.6933906141931406E-2</v>
      </c>
      <c r="O5" s="24">
        <f>HYD!AE7</f>
        <v>1.236677650748148E-2</v>
      </c>
      <c r="P5" s="24">
        <f>HYD!AF7</f>
        <v>8.8337249036897093E-3</v>
      </c>
      <c r="Q5" s="24">
        <f>HYD!AG7</f>
        <v>6.3087562464854063E-3</v>
      </c>
      <c r="R5" s="24">
        <f>HYD!AH7</f>
        <v>4.504634442332893E-3</v>
      </c>
      <c r="S5" s="24">
        <f>HYD!AI7</f>
        <v>3.1852575609400704E-3</v>
      </c>
      <c r="T5" s="24">
        <f>HYD!AJ7</f>
        <v>2.2739426240188619E-3</v>
      </c>
      <c r="U5" s="24">
        <f>HYD!AK7</f>
        <v>1.6079202494728691E-3</v>
      </c>
      <c r="V5" s="24">
        <f>HYD!AL7</f>
        <v>1.3252291940008783E-3</v>
      </c>
      <c r="W5" s="1">
        <f>GSD!Q7</f>
        <v>92.68</v>
      </c>
      <c r="X5" s="1">
        <f>GSD!R7</f>
        <v>86.88</v>
      </c>
      <c r="Y5" s="1">
        <f>GSD!S7</f>
        <v>73.009999999999991</v>
      </c>
      <c r="Z5" s="1">
        <f>GSD!T7</f>
        <v>45.384999999999998</v>
      </c>
      <c r="AA5" s="1">
        <f>GSD!U7</f>
        <v>39.114999999999995</v>
      </c>
      <c r="AB5" s="45">
        <f>GSD!V7</f>
        <v>35.434999999999988</v>
      </c>
      <c r="AC5" s="45">
        <f>HYD!AM7</f>
        <v>33.700425287356005</v>
      </c>
      <c r="AD5" s="44">
        <f>HYD!AN7</f>
        <v>33.700425287356005</v>
      </c>
      <c r="AE5" s="44">
        <f>HYD!AO7</f>
        <v>33.700425287356005</v>
      </c>
      <c r="AF5" s="44">
        <f>HYD!AP7</f>
        <v>30.551000000000027</v>
      </c>
      <c r="AG5" s="44">
        <f>HYD!AQ7</f>
        <v>30.551000000000027</v>
      </c>
      <c r="AH5" s="44">
        <f>HYD!AR7</f>
        <v>30.551000000000027</v>
      </c>
      <c r="AI5" s="44">
        <f>HYD!AS7</f>
        <v>27.401574712643356</v>
      </c>
      <c r="AJ5" s="44">
        <f>HYD!AT7</f>
        <v>24.252149425287378</v>
      </c>
      <c r="AK5" s="44">
        <f>HYD!AU7</f>
        <v>21.102724137930704</v>
      </c>
      <c r="AL5" s="44">
        <f>HYD!AV7</f>
        <v>21.102724137930704</v>
      </c>
      <c r="AM5" s="44">
        <f>HYD!AW7</f>
        <v>17.953298850574729</v>
      </c>
      <c r="AN5" s="44">
        <f>HYD!AX7</f>
        <v>17.953298850574729</v>
      </c>
      <c r="AO5" s="44">
        <f>HYD!AY7</f>
        <v>14.803873563218053</v>
      </c>
      <c r="AP5" s="1">
        <v>7.3199999999999932</v>
      </c>
      <c r="AQ5" s="1">
        <v>57.245000000000019</v>
      </c>
      <c r="AR5" s="1">
        <v>17.481701149425259</v>
      </c>
      <c r="AS5" s="1">
        <v>17.953298850574729</v>
      </c>
    </row>
    <row r="6" spans="1:45" x14ac:dyDescent="0.25">
      <c r="A6" s="35">
        <v>4</v>
      </c>
      <c r="B6" s="35" t="str">
        <f t="shared" si="0"/>
        <v>RBH-9</v>
      </c>
      <c r="C6" s="27">
        <f>GSD!F8</f>
        <v>4.5</v>
      </c>
      <c r="D6" s="23">
        <v>4.75</v>
      </c>
      <c r="E6" s="23">
        <v>2</v>
      </c>
      <c r="F6" s="23">
        <v>0.42499999999999999</v>
      </c>
      <c r="G6" s="23">
        <v>0.21199999999999999</v>
      </c>
      <c r="H6" s="23">
        <v>0.15</v>
      </c>
      <c r="I6" s="23">
        <v>7.4999999999999997E-2</v>
      </c>
      <c r="J6" s="24">
        <f>HYD!Z8</f>
        <v>6.6158933514662926E-2</v>
      </c>
      <c r="K6" s="24">
        <f>HYD!AA8</f>
        <v>4.6781430524288105E-2</v>
      </c>
      <c r="L6" s="24">
        <f>HYD!AB8</f>
        <v>3.3079466757331463E-2</v>
      </c>
      <c r="M6" s="24">
        <f>HYD!AC8</f>
        <v>2.3643350088054391E-2</v>
      </c>
      <c r="N6" s="24">
        <f>HYD!AD8</f>
        <v>1.737739928519276E-2</v>
      </c>
      <c r="O6" s="24">
        <f>HYD!AE8</f>
        <v>1.2814891907419182E-2</v>
      </c>
      <c r="P6" s="24">
        <f>HYD!AF8</f>
        <v>9.0614969679087137E-3</v>
      </c>
      <c r="Q6" s="24">
        <f>HYD!AG8</f>
        <v>6.4074459537095908E-3</v>
      </c>
      <c r="R6" s="24">
        <f>HYD!AH8</f>
        <v>4.5742500210680945E-3</v>
      </c>
      <c r="S6" s="24">
        <f>HYD!AI8</f>
        <v>3.2344832087399578E-3</v>
      </c>
      <c r="T6" s="24">
        <f>HYD!AJ8</f>
        <v>2.3086708668424521E-3</v>
      </c>
      <c r="U6" s="24">
        <f>HYD!AK8</f>
        <v>1.6324768254721226E-3</v>
      </c>
      <c r="V6" s="24">
        <f>HYD!AL8</f>
        <v>1.3452362282022898E-3</v>
      </c>
      <c r="W6" s="1">
        <f>GSD!Q8</f>
        <v>97.3</v>
      </c>
      <c r="X6" s="1">
        <f>GSD!R8</f>
        <v>91.84</v>
      </c>
      <c r="Y6" s="1">
        <f>GSD!S8</f>
        <v>55.92</v>
      </c>
      <c r="Z6" s="1">
        <f>GSD!T8</f>
        <v>38.480000000000004</v>
      </c>
      <c r="AA6" s="1">
        <f>GSD!U8</f>
        <v>32.480000000000004</v>
      </c>
      <c r="AB6" s="45">
        <f>GSD!V8</f>
        <v>29.600000000000009</v>
      </c>
      <c r="AC6" s="45">
        <f>HYD!AM8</f>
        <v>27.517860465115955</v>
      </c>
      <c r="AD6" s="44">
        <f>HYD!AN8</f>
        <v>27.517860465115955</v>
      </c>
      <c r="AE6" s="44">
        <f>HYD!AO8</f>
        <v>27.517860465115955</v>
      </c>
      <c r="AF6" s="44">
        <f>HYD!AP8</f>
        <v>24.355069767441883</v>
      </c>
      <c r="AG6" s="44">
        <f>HYD!AQ8</f>
        <v>24.355069767441883</v>
      </c>
      <c r="AH6" s="44">
        <f>HYD!AR8</f>
        <v>21.19227906976711</v>
      </c>
      <c r="AI6" s="44">
        <f>HYD!AS8</f>
        <v>21.19227906976711</v>
      </c>
      <c r="AJ6" s="44">
        <f>HYD!AT8</f>
        <v>21.19227906976711</v>
      </c>
      <c r="AK6" s="44">
        <f>HYD!AU8</f>
        <v>18.029488372093038</v>
      </c>
      <c r="AL6" s="44">
        <f>HYD!AV8</f>
        <v>18.029488372093038</v>
      </c>
      <c r="AM6" s="44">
        <f>HYD!AW8</f>
        <v>14.866697674418266</v>
      </c>
      <c r="AN6" s="44">
        <f>HYD!AX8</f>
        <v>14.866697674418266</v>
      </c>
      <c r="AO6" s="44">
        <f>HYD!AY8</f>
        <v>11.703906976744197</v>
      </c>
      <c r="AP6" s="1">
        <v>2.7000000000000028</v>
      </c>
      <c r="AQ6" s="1">
        <v>67.699999999999989</v>
      </c>
      <c r="AR6" s="1">
        <v>14.733302325581743</v>
      </c>
      <c r="AS6" s="1">
        <v>14.866697674418266</v>
      </c>
    </row>
    <row r="7" spans="1:45" x14ac:dyDescent="0.25">
      <c r="A7" s="35">
        <v>5</v>
      </c>
      <c r="B7" s="35" t="str">
        <f t="shared" si="0"/>
        <v>RBH-9</v>
      </c>
      <c r="C7" s="27">
        <f>GSD!F9</f>
        <v>6</v>
      </c>
      <c r="D7" s="23">
        <v>4.75</v>
      </c>
      <c r="E7" s="23">
        <v>2</v>
      </c>
      <c r="F7" s="23">
        <v>0.42499999999999999</v>
      </c>
      <c r="G7" s="23">
        <v>0.21199999999999999</v>
      </c>
      <c r="H7" s="23">
        <v>0.15</v>
      </c>
      <c r="I7" s="23">
        <v>7.4999999999999997E-2</v>
      </c>
      <c r="J7" s="24">
        <f>HYD!Z9</f>
        <v>5.8400919110874416E-2</v>
      </c>
      <c r="K7" s="24">
        <f>HYD!AA9</f>
        <v>4.1295685930826338E-2</v>
      </c>
      <c r="L7" s="24">
        <f>HYD!AB9</f>
        <v>2.9200459555437208E-2</v>
      </c>
      <c r="M7" s="24">
        <f>HYD!AC9</f>
        <v>2.0647842965413169E-2</v>
      </c>
      <c r="N7" s="24">
        <f>HYD!AD9</f>
        <v>1.5367879290475192E-2</v>
      </c>
      <c r="O7" s="24">
        <f>HYD!AE9</f>
        <v>1.1077641981988894E-2</v>
      </c>
      <c r="P7" s="24">
        <f>HYD!AF9</f>
        <v>7.93593874113817E-3</v>
      </c>
      <c r="Q7" s="24">
        <f>HYD!AG9</f>
        <v>5.6115560989398339E-3</v>
      </c>
      <c r="R7" s="24">
        <f>HYD!AH9</f>
        <v>4.0187426972137161E-3</v>
      </c>
      <c r="S7" s="24">
        <f>HYD!AI9</f>
        <v>2.8416802130437351E-3</v>
      </c>
      <c r="T7" s="24">
        <f>HYD!AJ9</f>
        <v>2.03444125050606E-3</v>
      </c>
      <c r="U7" s="24">
        <f>HYD!AK9</f>
        <v>1.456078498385166E-3</v>
      </c>
      <c r="V7" s="24">
        <f>HYD!AL9</f>
        <v>1.2030111071914113E-3</v>
      </c>
      <c r="W7" s="1">
        <f>GSD!Q9</f>
        <v>98.33</v>
      </c>
      <c r="X7" s="1">
        <f>GSD!R9</f>
        <v>96.97</v>
      </c>
      <c r="Y7" s="1">
        <f>GSD!S9</f>
        <v>93.45</v>
      </c>
      <c r="Z7" s="1">
        <f>GSD!T9</f>
        <v>87.55</v>
      </c>
      <c r="AA7" s="1">
        <f>GSD!U9</f>
        <v>84.42</v>
      </c>
      <c r="AB7" s="45">
        <f>GSD!V9</f>
        <v>80.289999999999992</v>
      </c>
      <c r="AC7" s="45">
        <f>HYD!AM9</f>
        <v>62.853976190476239</v>
      </c>
      <c r="AD7" s="44">
        <f>HYD!AN9</f>
        <v>62.853976190476239</v>
      </c>
      <c r="AE7" s="44">
        <f>HYD!AO9</f>
        <v>62.853976190476239</v>
      </c>
      <c r="AF7" s="44">
        <f>HYD!AP9</f>
        <v>62.853976190476239</v>
      </c>
      <c r="AG7" s="44">
        <f>HYD!AQ9</f>
        <v>62.853976190476239</v>
      </c>
      <c r="AH7" s="44">
        <f>HYD!AR9</f>
        <v>66.04445238095208</v>
      </c>
      <c r="AI7" s="44">
        <f>HYD!AS9</f>
        <v>62.853976190476239</v>
      </c>
      <c r="AJ7" s="44">
        <f>HYD!AT9</f>
        <v>62.853976190476239</v>
      </c>
      <c r="AK7" s="44">
        <f>HYD!AU9</f>
        <v>59.663499999999701</v>
      </c>
      <c r="AL7" s="44">
        <f>HYD!AV9</f>
        <v>59.663499999999701</v>
      </c>
      <c r="AM7" s="44">
        <f>HYD!AW9</f>
        <v>56.473023809523852</v>
      </c>
      <c r="AN7" s="44">
        <f>HYD!AX9</f>
        <v>53.282547619047307</v>
      </c>
      <c r="AO7" s="44">
        <f>HYD!AY9</f>
        <v>50.092071428571465</v>
      </c>
      <c r="AP7" s="1">
        <v>1.6700000000000017</v>
      </c>
      <c r="AQ7" s="1">
        <v>18.040000000000006</v>
      </c>
      <c r="AR7" s="1">
        <v>23.979841561255725</v>
      </c>
      <c r="AS7" s="1">
        <v>56.310158438744267</v>
      </c>
    </row>
    <row r="8" spans="1:45" x14ac:dyDescent="0.25">
      <c r="A8" s="35">
        <v>6</v>
      </c>
      <c r="B8" s="35" t="str">
        <f t="shared" si="0"/>
        <v>RBH-9</v>
      </c>
      <c r="C8" s="27">
        <f>GSD!F10</f>
        <v>7.5</v>
      </c>
      <c r="D8" s="23">
        <v>4.75</v>
      </c>
      <c r="E8" s="23">
        <v>2</v>
      </c>
      <c r="F8" s="23">
        <v>0.42499999999999999</v>
      </c>
      <c r="G8" s="23">
        <v>0.21199999999999999</v>
      </c>
      <c r="H8" s="23">
        <v>0.15</v>
      </c>
      <c r="I8" s="23">
        <v>7.4999999999999997E-2</v>
      </c>
      <c r="J8" s="24">
        <f>HYD!Z10</f>
        <v>5.5406126200210765E-2</v>
      </c>
      <c r="K8" s="24">
        <f>HYD!AA10</f>
        <v>3.9178047555446668E-2</v>
      </c>
      <c r="L8" s="24">
        <f>HYD!AB10</f>
        <v>2.7703063100105382E-2</v>
      </c>
      <c r="M8" s="24">
        <f>HYD!AC10</f>
        <v>1.9883215030650787E-2</v>
      </c>
      <c r="N8" s="24">
        <f>HYD!AD10</f>
        <v>1.4819933950164451E-2</v>
      </c>
      <c r="O8" s="24">
        <f>HYD!AE10</f>
        <v>1.0965075126240386E-2</v>
      </c>
      <c r="P8" s="24">
        <f>HYD!AF10</f>
        <v>7.7534789779845148E-3</v>
      </c>
      <c r="Q8" s="24">
        <f>HYD!AG10</f>
        <v>5.5526909954018138E-3</v>
      </c>
      <c r="R8" s="24">
        <f>HYD!AH10</f>
        <v>3.9263454566821031E-3</v>
      </c>
      <c r="S8" s="24">
        <f>HYD!AI10</f>
        <v>2.810984545039722E-3</v>
      </c>
      <c r="T8" s="24">
        <f>HYD!AJ10</f>
        <v>1.9876662336081696E-3</v>
      </c>
      <c r="U8" s="24">
        <f>HYD!AK10</f>
        <v>1.4226009544405179E-3</v>
      </c>
      <c r="V8" s="24">
        <f>HYD!AL10</f>
        <v>1.1753519821843703E-3</v>
      </c>
      <c r="W8" s="1">
        <f>GSD!Q10</f>
        <v>98.01</v>
      </c>
      <c r="X8" s="1">
        <f>GSD!R10</f>
        <v>97.64</v>
      </c>
      <c r="Y8" s="1">
        <f>GSD!S10</f>
        <v>96.16</v>
      </c>
      <c r="Z8" s="1">
        <f>GSD!T10</f>
        <v>93.34</v>
      </c>
      <c r="AA8" s="1">
        <f>GSD!U10</f>
        <v>91.58</v>
      </c>
      <c r="AB8" s="45">
        <f>GSD!V10</f>
        <v>89.33</v>
      </c>
      <c r="AC8" s="45">
        <f>HYD!AM10</f>
        <v>68.060659090909155</v>
      </c>
      <c r="AD8" s="44">
        <f>HYD!AN10</f>
        <v>68.060659090909155</v>
      </c>
      <c r="AE8" s="44">
        <f>HYD!AO10</f>
        <v>68.060659090909155</v>
      </c>
      <c r="AF8" s="44">
        <f>HYD!AP10</f>
        <v>64.92429545454516</v>
      </c>
      <c r="AG8" s="44">
        <f>HYD!AQ10</f>
        <v>64.92429545454516</v>
      </c>
      <c r="AH8" s="44">
        <f>HYD!AR10</f>
        <v>61.787931818181875</v>
      </c>
      <c r="AI8" s="44">
        <f>HYD!AS10</f>
        <v>61.787931818181875</v>
      </c>
      <c r="AJ8" s="44">
        <f>HYD!AT10</f>
        <v>58.651568181817893</v>
      </c>
      <c r="AK8" s="44">
        <f>HYD!AU10</f>
        <v>58.651568181817893</v>
      </c>
      <c r="AL8" s="44">
        <f>HYD!AV10</f>
        <v>55.515204545454587</v>
      </c>
      <c r="AM8" s="44">
        <f>HYD!AW10</f>
        <v>55.515204545454587</v>
      </c>
      <c r="AN8" s="44">
        <f>HYD!AX10</f>
        <v>52.378840909090606</v>
      </c>
      <c r="AO8" s="44">
        <f>HYD!AY10</f>
        <v>49.242477272727314</v>
      </c>
      <c r="AP8" s="1">
        <v>1.9899999999999949</v>
      </c>
      <c r="AQ8" s="1">
        <v>8.6800000000000068</v>
      </c>
      <c r="AR8" s="1">
        <v>33.814795454545411</v>
      </c>
      <c r="AS8" s="1">
        <v>55.515204545454587</v>
      </c>
    </row>
    <row r="9" spans="1:45" x14ac:dyDescent="0.25">
      <c r="A9" s="35">
        <v>7</v>
      </c>
      <c r="B9" s="35" t="str">
        <f t="shared" si="0"/>
        <v>RBH-9</v>
      </c>
      <c r="C9" s="27">
        <f>GSD!F11</f>
        <v>9</v>
      </c>
      <c r="D9" s="23">
        <v>4.75</v>
      </c>
      <c r="E9" s="23">
        <v>2</v>
      </c>
      <c r="F9" s="23">
        <v>0.42499999999999999</v>
      </c>
      <c r="G9" s="23">
        <v>0.21199999999999999</v>
      </c>
      <c r="H9" s="23">
        <v>0.15</v>
      </c>
      <c r="I9" s="23">
        <v>7.4999999999999997E-2</v>
      </c>
      <c r="J9" s="24">
        <f>HYD!Z11</f>
        <v>6.1965882670027353E-2</v>
      </c>
      <c r="K9" s="24">
        <f>HYD!AA11</f>
        <v>4.3816495838186309E-2</v>
      </c>
      <c r="L9" s="24">
        <f>HYD!AB11</f>
        <v>3.0982941335013676E-2</v>
      </c>
      <c r="M9" s="24">
        <f>HYD!AC11</f>
        <v>2.2194306790850625E-2</v>
      </c>
      <c r="N9" s="24">
        <f>HYD!AD11</f>
        <v>1.6436260781723916E-2</v>
      </c>
      <c r="O9" s="24">
        <f>HYD!AE11</f>
        <v>1.2003347721583579E-2</v>
      </c>
      <c r="P9" s="24">
        <f>HYD!AF11</f>
        <v>8.5861692196355175E-3</v>
      </c>
      <c r="Q9" s="24">
        <f>HYD!AG11</f>
        <v>6.0713384796194812E-3</v>
      </c>
      <c r="R9" s="24">
        <f>HYD!AH11</f>
        <v>4.3417860804572566E-3</v>
      </c>
      <c r="S9" s="24">
        <f>HYD!AI11</f>
        <v>3.0701063799526869E-3</v>
      </c>
      <c r="T9" s="24">
        <f>HYD!AJ11</f>
        <v>2.1949736484665806E-3</v>
      </c>
      <c r="U9" s="24">
        <f>HYD!AK11</f>
        <v>1.5520807513564963E-3</v>
      </c>
      <c r="V9" s="24">
        <f>HYD!AL11</f>
        <v>1.2810206923663471E-3</v>
      </c>
      <c r="W9" s="1">
        <f>GSD!Q11</f>
        <v>92.35</v>
      </c>
      <c r="X9" s="1">
        <f>GSD!R11</f>
        <v>85.55</v>
      </c>
      <c r="Y9" s="1">
        <f>GSD!S11</f>
        <v>71.81</v>
      </c>
      <c r="Z9" s="1">
        <f>GSD!T11</f>
        <v>61.09</v>
      </c>
      <c r="AA9" s="1">
        <f>GSD!U11</f>
        <v>59.624999999999993</v>
      </c>
      <c r="AB9" s="45">
        <f>GSD!V11</f>
        <v>58.975000000000001</v>
      </c>
      <c r="AC9" s="45">
        <f>HYD!AM11</f>
        <v>54.018901234567586</v>
      </c>
      <c r="AD9" s="44">
        <f>HYD!AN11</f>
        <v>54.018901234567586</v>
      </c>
      <c r="AE9" s="44">
        <f>HYD!AO11</f>
        <v>54.018901234567586</v>
      </c>
      <c r="AF9" s="44">
        <f>HYD!AP11</f>
        <v>50.784333333333372</v>
      </c>
      <c r="AG9" s="44">
        <f>HYD!AQ11</f>
        <v>50.784333333333372</v>
      </c>
      <c r="AH9" s="44">
        <f>HYD!AR11</f>
        <v>50.784333333333372</v>
      </c>
      <c r="AI9" s="44">
        <f>HYD!AS11</f>
        <v>47.549765432098454</v>
      </c>
      <c r="AJ9" s="44">
        <f>HYD!AT11</f>
        <v>47.549765432098454</v>
      </c>
      <c r="AK9" s="44">
        <f>HYD!AU11</f>
        <v>44.315197530864239</v>
      </c>
      <c r="AL9" s="44">
        <f>HYD!AV11</f>
        <v>44.315197530864239</v>
      </c>
      <c r="AM9" s="44">
        <f>HYD!AW11</f>
        <v>41.080629629629307</v>
      </c>
      <c r="AN9" s="44">
        <f>HYD!AX11</f>
        <v>41.080629629629307</v>
      </c>
      <c r="AO9" s="44">
        <f>HYD!AY11</f>
        <v>37.8460617283951</v>
      </c>
      <c r="AP9" s="36">
        <v>7.6500000000000057</v>
      </c>
      <c r="AQ9" s="36">
        <v>33.374999999999993</v>
      </c>
      <c r="AR9" s="36">
        <v>17.894370370370694</v>
      </c>
      <c r="AS9" s="36">
        <v>41.080629629629307</v>
      </c>
    </row>
    <row r="10" spans="1:45" x14ac:dyDescent="0.25">
      <c r="A10" s="35">
        <v>8</v>
      </c>
      <c r="B10" s="35" t="str">
        <f t="shared" si="0"/>
        <v>RBH-9</v>
      </c>
      <c r="C10" s="27">
        <f>GSD!F12</f>
        <v>10.5</v>
      </c>
      <c r="D10" s="23">
        <v>4.75</v>
      </c>
      <c r="E10" s="23">
        <v>2</v>
      </c>
      <c r="F10" s="23">
        <v>0.42499999999999999</v>
      </c>
      <c r="G10" s="23">
        <v>0.21199999999999999</v>
      </c>
      <c r="H10" s="23">
        <v>0.15</v>
      </c>
      <c r="I10" s="23">
        <v>7.4999999999999997E-2</v>
      </c>
      <c r="J10" s="24">
        <f>HYD!Z12</f>
        <v>5.7573193340954225E-2</v>
      </c>
      <c r="K10" s="24">
        <f>HYD!AA12</f>
        <v>4.0710395425952915E-2</v>
      </c>
      <c r="L10" s="24">
        <f>HYD!AB12</f>
        <v>2.8347682276257575E-2</v>
      </c>
      <c r="M10" s="24">
        <f>HYD!AC12</f>
        <v>2.0660895494893312E-2</v>
      </c>
      <c r="N10" s="24">
        <f>HYD!AD12</f>
        <v>1.5194660781698727E-2</v>
      </c>
      <c r="O10" s="24">
        <f>HYD!AE12</f>
        <v>1.1393945643482367E-2</v>
      </c>
      <c r="P10" s="24">
        <f>HYD!AF12</f>
        <v>8.0567362289773025E-3</v>
      </c>
      <c r="Q10" s="24">
        <f>HYD!AG12</f>
        <v>5.769870123849735E-3</v>
      </c>
      <c r="R10" s="24">
        <f>HYD!AH12</f>
        <v>4.0799142911398124E-3</v>
      </c>
      <c r="S10" s="24">
        <f>HYD!AI12</f>
        <v>2.8849350619248675E-3</v>
      </c>
      <c r="T10" s="24">
        <f>HYD!AJ12</f>
        <v>2.0654086508645701E-3</v>
      </c>
      <c r="U10" s="24">
        <f>HYD!AK12</f>
        <v>1.4782423066552232E-3</v>
      </c>
      <c r="V10" s="24">
        <f>HYD!AL12</f>
        <v>1.2213228311514245E-3</v>
      </c>
      <c r="W10" s="1">
        <f>GSD!Q12</f>
        <v>99.74</v>
      </c>
      <c r="X10" s="1">
        <f>GSD!R12</f>
        <v>98.95</v>
      </c>
      <c r="Y10" s="1">
        <f>GSD!S12</f>
        <v>93.46</v>
      </c>
      <c r="Z10" s="1">
        <f>GSD!T12</f>
        <v>86.93</v>
      </c>
      <c r="AA10" s="1">
        <f>GSD!U12</f>
        <v>84.35</v>
      </c>
      <c r="AB10" s="45">
        <f>GSD!V12</f>
        <v>80.83</v>
      </c>
      <c r="AC10" s="45">
        <f>HYD!AM12</f>
        <v>70.027380368098221</v>
      </c>
      <c r="AD10" s="44">
        <f>HYD!AN12</f>
        <v>70.027380368098221</v>
      </c>
      <c r="AE10" s="44">
        <f>HYD!AO12</f>
        <v>73.25437423312853</v>
      </c>
      <c r="AF10" s="44">
        <f>HYD!AP12</f>
        <v>66.800386503067188</v>
      </c>
      <c r="AG10" s="44">
        <f>HYD!AQ12</f>
        <v>70.027380368098221</v>
      </c>
      <c r="AH10" s="44">
        <f>HYD!AR12</f>
        <v>63.573392638036864</v>
      </c>
      <c r="AI10" s="44">
        <f>HYD!AS12</f>
        <v>63.573392638036864</v>
      </c>
      <c r="AJ10" s="44">
        <f>HYD!AT12</f>
        <v>60.346398773005838</v>
      </c>
      <c r="AK10" s="44">
        <f>HYD!AU12</f>
        <v>60.346398773005838</v>
      </c>
      <c r="AL10" s="44">
        <f>HYD!AV12</f>
        <v>60.346398773005838</v>
      </c>
      <c r="AM10" s="44">
        <f>HYD!AW12</f>
        <v>57.1194049079755</v>
      </c>
      <c r="AN10" s="44">
        <f>HYD!AX12</f>
        <v>53.892411042944474</v>
      </c>
      <c r="AO10" s="44">
        <f>HYD!AY12</f>
        <v>50.665417177914151</v>
      </c>
      <c r="AP10" s="36">
        <v>0.26000000000000512</v>
      </c>
      <c r="AQ10" s="36">
        <v>18.909999999999997</v>
      </c>
      <c r="AR10" s="36">
        <v>24.021075199420821</v>
      </c>
      <c r="AS10" s="36">
        <v>56.808924800579177</v>
      </c>
    </row>
    <row r="11" spans="1:45" x14ac:dyDescent="0.25">
      <c r="A11" s="35">
        <v>9</v>
      </c>
      <c r="B11" s="35" t="str">
        <f t="shared" si="0"/>
        <v>RBH-9</v>
      </c>
      <c r="C11" s="27">
        <f>GSD!F13</f>
        <v>12</v>
      </c>
      <c r="D11" s="23">
        <v>4.75</v>
      </c>
      <c r="E11" s="23">
        <v>2</v>
      </c>
      <c r="F11" s="23">
        <v>0.42499999999999999</v>
      </c>
      <c r="G11" s="23">
        <v>0.21199999999999999</v>
      </c>
      <c r="H11" s="23">
        <v>0.15</v>
      </c>
      <c r="I11" s="23">
        <v>7.4999999999999997E-2</v>
      </c>
      <c r="J11" s="24">
        <f>HYD!Z13</f>
        <v>5.8983147691564042E-2</v>
      </c>
      <c r="K11" s="24">
        <f>HYD!AA13</f>
        <v>4.1707383708432591E-2</v>
      </c>
      <c r="L11" s="24">
        <f>HYD!AB13</f>
        <v>2.9491573845782021E-2</v>
      </c>
      <c r="M11" s="24">
        <f>HYD!AC13</f>
        <v>2.1157743028985397E-2</v>
      </c>
      <c r="N11" s="24">
        <f>HYD!AD13</f>
        <v>1.5747390246670944E-2</v>
      </c>
      <c r="O11" s="24">
        <f>HYD!AE13</f>
        <v>1.1647422894264296E-2</v>
      </c>
      <c r="P11" s="24">
        <f>HYD!AF13</f>
        <v>8.2359717118817271E-3</v>
      </c>
      <c r="Q11" s="24">
        <f>HYD!AG13</f>
        <v>5.8963709258144162E-3</v>
      </c>
      <c r="R11" s="24">
        <f>HYD!AH13</f>
        <v>4.2201164184250458E-3</v>
      </c>
      <c r="S11" s="24">
        <f>HYD!AI13</f>
        <v>3.0195339145906615E-3</v>
      </c>
      <c r="T11" s="24">
        <f>HYD!AJ13</f>
        <v>2.1599165296599006E-3</v>
      </c>
      <c r="U11" s="24">
        <f>HYD!AK13</f>
        <v>1.5446174768392513E-3</v>
      </c>
      <c r="V11" s="24">
        <f>HYD!AL13</f>
        <v>1.2751644578812801E-3</v>
      </c>
      <c r="W11" s="1">
        <f>GSD!Q13</f>
        <v>94.76</v>
      </c>
      <c r="X11" s="1">
        <f>GSD!R13</f>
        <v>89.784999999999997</v>
      </c>
      <c r="Y11" s="1">
        <f>GSD!S13</f>
        <v>79.92</v>
      </c>
      <c r="Z11" s="1">
        <f>GSD!T13</f>
        <v>69.215000000000003</v>
      </c>
      <c r="AA11" s="1">
        <f>GSD!U13</f>
        <v>68.115000000000009</v>
      </c>
      <c r="AB11" s="45">
        <f>GSD!V13</f>
        <v>67.37</v>
      </c>
      <c r="AC11" s="45">
        <f>HYD!AM13</f>
        <v>67.276624999999697</v>
      </c>
      <c r="AD11" s="44">
        <f>HYD!AN13</f>
        <v>67.276624999999697</v>
      </c>
      <c r="AE11" s="44">
        <f>HYD!AO13</f>
        <v>67.276624999999697</v>
      </c>
      <c r="AF11" s="44">
        <f>HYD!AP13</f>
        <v>64.026625000000053</v>
      </c>
      <c r="AG11" s="44">
        <f>HYD!AQ13</f>
        <v>64.026625000000053</v>
      </c>
      <c r="AH11" s="44">
        <f>HYD!AR13</f>
        <v>60.776624999999697</v>
      </c>
      <c r="AI11" s="44">
        <f>HYD!AS13</f>
        <v>60.776624999999697</v>
      </c>
      <c r="AJ11" s="44">
        <f>HYD!AT13</f>
        <v>57.526625000000038</v>
      </c>
      <c r="AK11" s="44">
        <f>HYD!AU13</f>
        <v>54.276624999999683</v>
      </c>
      <c r="AL11" s="44">
        <f>HYD!AV13</f>
        <v>51.026625000000038</v>
      </c>
      <c r="AM11" s="44">
        <f>HYD!AW13</f>
        <v>47.776624999999683</v>
      </c>
      <c r="AN11" s="44">
        <f>HYD!AX13</f>
        <v>44.526625000000038</v>
      </c>
      <c r="AO11" s="44">
        <f>HYD!AY13</f>
        <v>41.276624999999676</v>
      </c>
      <c r="AP11" s="36">
        <v>5.2399999999999949</v>
      </c>
      <c r="AQ11" s="36">
        <v>27.39</v>
      </c>
      <c r="AR11" s="36">
        <v>20.338984292568576</v>
      </c>
      <c r="AS11" s="36">
        <v>47.031015707431429</v>
      </c>
    </row>
    <row r="12" spans="1:45" x14ac:dyDescent="0.25">
      <c r="A12" s="35">
        <v>10</v>
      </c>
      <c r="B12" s="35" t="str">
        <f t="shared" si="0"/>
        <v>RBH-9</v>
      </c>
      <c r="C12" s="27">
        <f>GSD!F14</f>
        <v>13.5</v>
      </c>
      <c r="D12" s="23">
        <v>4.75</v>
      </c>
      <c r="E12" s="23">
        <v>2</v>
      </c>
      <c r="F12" s="23">
        <v>0.42499999999999999</v>
      </c>
      <c r="G12" s="23">
        <v>0.21199999999999999</v>
      </c>
      <c r="H12" s="23">
        <v>0.15</v>
      </c>
      <c r="I12" s="23">
        <v>7.4999999999999997E-2</v>
      </c>
      <c r="J12" s="24">
        <f>HYD!Z14</f>
        <v>5.6870081036182726E-2</v>
      </c>
      <c r="K12" s="24">
        <f>HYD!AA14</f>
        <v>4.0213219947313285E-2</v>
      </c>
      <c r="L12" s="24">
        <f>HYD!AB14</f>
        <v>2.8875307502248263E-2</v>
      </c>
      <c r="M12" s="24">
        <f>HYD!AC14</f>
        <v>2.0724565585716122E-2</v>
      </c>
      <c r="N12" s="24">
        <f>HYD!AD14</f>
        <v>1.5241485733319614E-2</v>
      </c>
      <c r="O12" s="24">
        <f>HYD!AE14</f>
        <v>1.1280918423129943E-2</v>
      </c>
      <c r="P12" s="24">
        <f>HYD!AF14</f>
        <v>7.9768139150074371E-3</v>
      </c>
      <c r="Q12" s="24">
        <f>HYD!AG14</f>
        <v>5.7145290199739759E-3</v>
      </c>
      <c r="R12" s="24">
        <f>HYD!AH14</f>
        <v>4.0407822213109137E-3</v>
      </c>
      <c r="S12" s="24">
        <f>HYD!AI14</f>
        <v>2.8938254838069234E-3</v>
      </c>
      <c r="T12" s="24">
        <f>HYD!AJ14</f>
        <v>2.0462436231703171E-3</v>
      </c>
      <c r="U12" s="24">
        <f>HYD!AK14</f>
        <v>1.464965134519378E-3</v>
      </c>
      <c r="V12" s="24">
        <f>HYD!AL14</f>
        <v>1.2106993042679034E-3</v>
      </c>
      <c r="W12" s="1">
        <f>GSD!Q14</f>
        <v>90.73</v>
      </c>
      <c r="X12" s="1">
        <f>GSD!R14</f>
        <v>89.63</v>
      </c>
      <c r="Y12" s="1">
        <f>GSD!S14</f>
        <v>86.66</v>
      </c>
      <c r="Z12" s="1">
        <f>GSD!T14</f>
        <v>79.06</v>
      </c>
      <c r="AA12" s="1">
        <f>GSD!U14</f>
        <v>78.2</v>
      </c>
      <c r="AB12" s="45">
        <f>GSD!V14</f>
        <v>77.240000000000009</v>
      </c>
      <c r="AC12" s="45">
        <f>HYD!AM14</f>
        <v>73.426308641974998</v>
      </c>
      <c r="AD12" s="44">
        <f>HYD!AN14</f>
        <v>73.426308641974998</v>
      </c>
      <c r="AE12" s="44">
        <f>HYD!AO14</f>
        <v>70.191740740740798</v>
      </c>
      <c r="AF12" s="44">
        <f>HYD!AP14</f>
        <v>66.957172839505873</v>
      </c>
      <c r="AG12" s="44">
        <f>HYD!AQ14</f>
        <v>70.191740740740798</v>
      </c>
      <c r="AH12" s="44">
        <f>HYD!AR14</f>
        <v>66.957172839505873</v>
      </c>
      <c r="AI12" s="44">
        <f>HYD!AS14</f>
        <v>66.957172839505873</v>
      </c>
      <c r="AJ12" s="44">
        <f>HYD!AT14</f>
        <v>63.722604938271658</v>
      </c>
      <c r="AK12" s="44">
        <f>HYD!AU14</f>
        <v>63.722604938271658</v>
      </c>
      <c r="AL12" s="44">
        <f>HYD!AV14</f>
        <v>60.488037037036733</v>
      </c>
      <c r="AM12" s="44">
        <f>HYD!AW14</f>
        <v>60.488037037036733</v>
      </c>
      <c r="AN12" s="44">
        <f>HYD!AX14</f>
        <v>57.253469135802511</v>
      </c>
      <c r="AO12" s="44">
        <f>HYD!AY14</f>
        <v>54.018901234567586</v>
      </c>
      <c r="AP12" s="36">
        <v>9.269999999999996</v>
      </c>
      <c r="AQ12" s="36">
        <v>13.489999999999995</v>
      </c>
      <c r="AR12" s="36">
        <v>16.97321739008428</v>
      </c>
      <c r="AS12" s="36">
        <v>60.26678260991573</v>
      </c>
    </row>
    <row r="13" spans="1:45" x14ac:dyDescent="0.25">
      <c r="A13" s="35">
        <v>11</v>
      </c>
      <c r="B13" s="35" t="str">
        <f t="shared" si="0"/>
        <v>RBH-9</v>
      </c>
      <c r="C13" s="27">
        <f>GSD!F15</f>
        <v>15</v>
      </c>
      <c r="D13" s="23">
        <v>4.75</v>
      </c>
      <c r="E13" s="23">
        <v>2</v>
      </c>
      <c r="F13" s="23">
        <v>0.42499999999999999</v>
      </c>
      <c r="G13" s="23">
        <v>0.21199999999999999</v>
      </c>
      <c r="H13" s="23">
        <v>0.15</v>
      </c>
      <c r="I13" s="23">
        <v>7.4999999999999997E-2</v>
      </c>
      <c r="J13" s="24">
        <f>HYD!Z15</f>
        <v>5.4874014062519398E-2</v>
      </c>
      <c r="K13" s="24">
        <f>HYD!AA15</f>
        <v>3.8801787454533436E-2</v>
      </c>
      <c r="L13" s="24">
        <f>HYD!AB15</f>
        <v>2.7437007031259699E-2</v>
      </c>
      <c r="M13" s="24">
        <f>HYD!AC15</f>
        <v>1.9701282712674278E-2</v>
      </c>
      <c r="N13" s="24">
        <f>HYD!AD15</f>
        <v>1.4706529113819039E-2</v>
      </c>
      <c r="O13" s="24">
        <f>HYD!AE15</f>
        <v>1.08849726413282E-2</v>
      </c>
      <c r="P13" s="24">
        <f>HYD!AF15</f>
        <v>7.6968379677132166E-3</v>
      </c>
      <c r="Q13" s="24">
        <f>HYD!AG15</f>
        <v>5.5139563737075948E-3</v>
      </c>
      <c r="R13" s="24">
        <f>HYD!AH15</f>
        <v>3.8989559430154248E-3</v>
      </c>
      <c r="S13" s="24">
        <f>HYD!AI15</f>
        <v>2.7569781868537974E-3</v>
      </c>
      <c r="T13" s="24">
        <f>HYD!AJ15</f>
        <v>1.9744230939595219E-3</v>
      </c>
      <c r="U13" s="24">
        <f>HYD!AK15</f>
        <v>1.4135467354367054E-3</v>
      </c>
      <c r="V13" s="24">
        <f>HYD!AL15</f>
        <v>1.1682053100225147E-3</v>
      </c>
      <c r="W13" s="1">
        <f>GSD!Q15</f>
        <v>97.9</v>
      </c>
      <c r="X13" s="1">
        <f>GSD!R15</f>
        <v>96.09</v>
      </c>
      <c r="Y13" s="1">
        <f>GSD!S15</f>
        <v>93.27</v>
      </c>
      <c r="Z13" s="1">
        <f>GSD!T15</f>
        <v>88.22</v>
      </c>
      <c r="AA13" s="1">
        <f>GSD!U15</f>
        <v>83.89</v>
      </c>
      <c r="AB13" s="45">
        <f>GSD!V15</f>
        <v>81.210000000000008</v>
      </c>
      <c r="AC13" s="45">
        <f>HYD!AM15</f>
        <v>71.493528735631884</v>
      </c>
      <c r="AD13" s="44">
        <f>HYD!AN15</f>
        <v>71.493528735631884</v>
      </c>
      <c r="AE13" s="44">
        <f>HYD!AO15</f>
        <v>71.493528735631884</v>
      </c>
      <c r="AF13" s="44">
        <f>HYD!AP15</f>
        <v>68.344103448275916</v>
      </c>
      <c r="AG13" s="44">
        <f>HYD!AQ15</f>
        <v>68.344103448275916</v>
      </c>
      <c r="AH13" s="44">
        <f>HYD!AR15</f>
        <v>65.194678160919239</v>
      </c>
      <c r="AI13" s="44">
        <f>HYD!AS15</f>
        <v>65.194678160919239</v>
      </c>
      <c r="AJ13" s="44">
        <f>HYD!AT15</f>
        <v>62.045252873563271</v>
      </c>
      <c r="AK13" s="44">
        <f>HYD!AU15</f>
        <v>62.045252873563271</v>
      </c>
      <c r="AL13" s="44">
        <f>HYD!AV15</f>
        <v>62.045252873563271</v>
      </c>
      <c r="AM13" s="44">
        <f>HYD!AW15</f>
        <v>58.8958275862066</v>
      </c>
      <c r="AN13" s="44">
        <f>HYD!AX15</f>
        <v>55.746402298850612</v>
      </c>
      <c r="AO13" s="44">
        <f>HYD!AY15</f>
        <v>52.596977011493948</v>
      </c>
      <c r="AP13" s="36">
        <v>2.0999999999999943</v>
      </c>
      <c r="AQ13" s="36">
        <v>16.689999999999998</v>
      </c>
      <c r="AR13" s="36">
        <v>22.192755786726316</v>
      </c>
      <c r="AS13" s="36">
        <v>59.017244213273692</v>
      </c>
    </row>
    <row r="14" spans="1:45" x14ac:dyDescent="0.25">
      <c r="A14" s="35">
        <v>12</v>
      </c>
      <c r="B14" s="35" t="str">
        <f t="shared" si="0"/>
        <v>RBH-9</v>
      </c>
      <c r="C14" s="27">
        <f>GSD!F16</f>
        <v>16.5</v>
      </c>
      <c r="D14" s="23">
        <v>4.75</v>
      </c>
      <c r="E14" s="23">
        <v>2</v>
      </c>
      <c r="F14" s="23">
        <v>0.42499999999999999</v>
      </c>
      <c r="G14" s="23">
        <v>0.21199999999999999</v>
      </c>
      <c r="H14" s="23">
        <v>0.15</v>
      </c>
      <c r="I14" s="23">
        <v>7.4999999999999997E-2</v>
      </c>
      <c r="J14" s="24">
        <f>HYD!Z16</f>
        <v>5.3951696037805814E-2</v>
      </c>
      <c r="K14" s="24">
        <f>HYD!AA16</f>
        <v>3.8149610124847876E-2</v>
      </c>
      <c r="L14" s="24">
        <f>HYD!AB16</f>
        <v>2.6975848018902907E-2</v>
      </c>
      <c r="M14" s="24">
        <f>HYD!AC16</f>
        <v>1.9370145133871038E-2</v>
      </c>
      <c r="N14" s="24">
        <f>HYD!AD16</f>
        <v>1.4459342952675506E-2</v>
      </c>
      <c r="O14" s="24">
        <f>HYD!AE16</f>
        <v>1.0702018894693717E-2</v>
      </c>
      <c r="P14" s="24">
        <f>HYD!AF16</f>
        <v>7.5674701328244873E-3</v>
      </c>
      <c r="Q14" s="24">
        <f>HYD!AG16</f>
        <v>5.4212782374742823E-3</v>
      </c>
      <c r="R14" s="24">
        <f>HYD!AH16</f>
        <v>3.8334226044171192E-3</v>
      </c>
      <c r="S14" s="24">
        <f>HYD!AI16</f>
        <v>2.7106391187371411E-3</v>
      </c>
      <c r="T14" s="24">
        <f>HYD!AJ16</f>
        <v>1.9412371490440494E-3</v>
      </c>
      <c r="U14" s="24">
        <f>HYD!AK16</f>
        <v>1.3897879553448583E-3</v>
      </c>
      <c r="V14" s="24">
        <f>HYD!AL16</f>
        <v>1.148570208920337E-3</v>
      </c>
      <c r="W14" s="1">
        <f>GSD!Q16</f>
        <v>98.88</v>
      </c>
      <c r="X14" s="1">
        <f>GSD!R16</f>
        <v>98.22</v>
      </c>
      <c r="Y14" s="1">
        <f>GSD!S16</f>
        <v>97.66</v>
      </c>
      <c r="Z14" s="1">
        <f>GSD!T16</f>
        <v>97.4</v>
      </c>
      <c r="AA14" s="1">
        <f>GSD!U16</f>
        <v>97.3</v>
      </c>
      <c r="AB14" s="45">
        <f>GSD!V16</f>
        <v>97.14</v>
      </c>
      <c r="AC14" s="45">
        <f>HYD!AM16</f>
        <v>70.623777777777491</v>
      </c>
      <c r="AD14" s="44">
        <f>HYD!AN16</f>
        <v>70.623777777777491</v>
      </c>
      <c r="AE14" s="44">
        <f>HYD!AO16</f>
        <v>70.623777777777491</v>
      </c>
      <c r="AF14" s="44">
        <f>HYD!AP16</f>
        <v>67.512666666666732</v>
      </c>
      <c r="AG14" s="44">
        <f>HYD!AQ16</f>
        <v>67.512666666666732</v>
      </c>
      <c r="AH14" s="44">
        <f>HYD!AR16</f>
        <v>64.401555555555262</v>
      </c>
      <c r="AI14" s="44">
        <f>HYD!AS16</f>
        <v>64.401555555555262</v>
      </c>
      <c r="AJ14" s="44">
        <f>HYD!AT16</f>
        <v>61.290444444444496</v>
      </c>
      <c r="AK14" s="44">
        <f>HYD!AU16</f>
        <v>61.290444444444496</v>
      </c>
      <c r="AL14" s="44">
        <f>HYD!AV16</f>
        <v>61.290444444444496</v>
      </c>
      <c r="AM14" s="44">
        <f>HYD!AW16</f>
        <v>58.179333333333041</v>
      </c>
      <c r="AN14" s="44">
        <f>HYD!AX16</f>
        <v>55.068222222222268</v>
      </c>
      <c r="AO14" s="44">
        <f>HYD!AY16</f>
        <v>51.957111111110812</v>
      </c>
      <c r="AP14" s="36">
        <v>1.1200000000000045</v>
      </c>
      <c r="AQ14" s="36">
        <v>1.7399999999999949</v>
      </c>
      <c r="AR14" s="36">
        <v>38.682768971565153</v>
      </c>
      <c r="AS14" s="36">
        <v>58.457231028434848</v>
      </c>
    </row>
    <row r="15" spans="1:45" x14ac:dyDescent="0.25">
      <c r="A15" s="35">
        <v>13</v>
      </c>
      <c r="B15" s="35" t="str">
        <f t="shared" si="0"/>
        <v>RBH-9</v>
      </c>
      <c r="C15" s="27">
        <f>GSD!F17</f>
        <v>18</v>
      </c>
      <c r="D15" s="23">
        <v>4.75</v>
      </c>
      <c r="E15" s="23">
        <v>2</v>
      </c>
      <c r="F15" s="23">
        <v>0.42499999999999999</v>
      </c>
      <c r="G15" s="23">
        <v>0.21199999999999999</v>
      </c>
      <c r="H15" s="23">
        <v>0.15</v>
      </c>
      <c r="I15" s="23">
        <v>7.4999999999999997E-2</v>
      </c>
      <c r="J15" s="24">
        <f>HYD!Z17</f>
        <v>6.7499810418601022E-2</v>
      </c>
      <c r="K15" s="24">
        <f>HYD!AA17</f>
        <v>4.7729573675799157E-2</v>
      </c>
      <c r="L15" s="24">
        <f>HYD!AB17</f>
        <v>3.3749905209300511E-2</v>
      </c>
      <c r="M15" s="24">
        <f>HYD!AC17</f>
        <v>2.3864786837899579E-2</v>
      </c>
      <c r="N15" s="24">
        <f>HYD!AD17</f>
        <v>1.7513518998730115E-2</v>
      </c>
      <c r="O15" s="24">
        <f>HYD!AE17</f>
        <v>1.2790065889199698E-2</v>
      </c>
      <c r="P15" s="24">
        <f>HYD!AF17</f>
        <v>9.1291407615295209E-3</v>
      </c>
      <c r="Q15" s="24">
        <f>HYD!AG17</f>
        <v>6.4552773388840464E-3</v>
      </c>
      <c r="R15" s="24">
        <f>HYD!AH17</f>
        <v>4.606775698973318E-3</v>
      </c>
      <c r="S15" s="24">
        <f>HYD!AI17</f>
        <v>3.2574823361494307E-3</v>
      </c>
      <c r="T15" s="24">
        <f>HYD!AJ17</f>
        <v>2.303387849486659E-3</v>
      </c>
      <c r="U15" s="24">
        <f>HYD!AK17</f>
        <v>1.6287411680747153E-3</v>
      </c>
      <c r="V15" s="24">
        <f>HYD!AL17</f>
        <v>1.3298615949492358E-3</v>
      </c>
      <c r="W15" s="1">
        <f>GSD!Q17</f>
        <v>99.06</v>
      </c>
      <c r="X15" s="1">
        <f>GSD!R17</f>
        <v>96.47</v>
      </c>
      <c r="Y15" s="1">
        <f>GSD!S17</f>
        <v>58.39</v>
      </c>
      <c r="Z15" s="1">
        <f>GSD!T17</f>
        <v>29.01</v>
      </c>
      <c r="AA15" s="1">
        <f>GSD!U17</f>
        <v>22.25</v>
      </c>
      <c r="AB15" s="45">
        <f>GSD!V17</f>
        <v>17.900000000000006</v>
      </c>
      <c r="AC15" s="45">
        <f>HYD!AM17</f>
        <v>17.878840909090925</v>
      </c>
      <c r="AD15" s="44">
        <f>HYD!AN17</f>
        <v>17.878840909090925</v>
      </c>
      <c r="AE15" s="44">
        <f>HYD!AO17</f>
        <v>17.878840909090925</v>
      </c>
      <c r="AF15" s="44">
        <f>HYD!AP17</f>
        <v>17.878840909090925</v>
      </c>
      <c r="AG15" s="44">
        <f>HYD!AQ17</f>
        <v>17.878840909090925</v>
      </c>
      <c r="AH15" s="44">
        <f>HYD!AR17</f>
        <v>17.878840909090925</v>
      </c>
      <c r="AI15" s="44">
        <f>HYD!AS17</f>
        <v>14.742477272726939</v>
      </c>
      <c r="AJ15" s="44">
        <f>HYD!AT17</f>
        <v>14.742477272726939</v>
      </c>
      <c r="AK15" s="44">
        <f>HYD!AU17</f>
        <v>11.606113636363647</v>
      </c>
      <c r="AL15" s="44">
        <f>HYD!AV17</f>
        <v>11.606113636363647</v>
      </c>
      <c r="AM15" s="44">
        <f>HYD!AW17</f>
        <v>11.606113636363647</v>
      </c>
      <c r="AN15" s="44">
        <f>HYD!AX17</f>
        <v>11.606113636363647</v>
      </c>
      <c r="AO15" s="44">
        <f>HYD!AY17</f>
        <v>11.606113636363647</v>
      </c>
      <c r="AP15" s="36">
        <v>0.93999999999999773</v>
      </c>
      <c r="AQ15" s="36">
        <v>81.16</v>
      </c>
      <c r="AR15" s="36">
        <v>6.2938863636363589</v>
      </c>
      <c r="AS15" s="36">
        <v>11.606113636363647</v>
      </c>
    </row>
    <row r="16" spans="1:45" x14ac:dyDescent="0.25">
      <c r="A16" s="35">
        <v>14</v>
      </c>
      <c r="B16" s="35" t="str">
        <f t="shared" si="0"/>
        <v>RBH-9</v>
      </c>
      <c r="C16" s="27">
        <f>GSD!F18</f>
        <v>19.5</v>
      </c>
      <c r="D16" s="23">
        <v>4.75</v>
      </c>
      <c r="E16" s="23">
        <v>2</v>
      </c>
      <c r="F16" s="23">
        <v>0.42499999999999999</v>
      </c>
      <c r="G16" s="23">
        <v>0.21199999999999999</v>
      </c>
      <c r="H16" s="23">
        <v>0.15</v>
      </c>
      <c r="I16" s="23">
        <v>7.4999999999999997E-2</v>
      </c>
      <c r="J16" s="24">
        <f>HYD!Z18</f>
        <v>6.7499810418601022E-2</v>
      </c>
      <c r="K16" s="24">
        <f>HYD!AA18</f>
        <v>4.7729573675799157E-2</v>
      </c>
      <c r="L16" s="24">
        <f>HYD!AB18</f>
        <v>3.3749905209300511E-2</v>
      </c>
      <c r="M16" s="24">
        <f>HYD!AC18</f>
        <v>2.3864786837899579E-2</v>
      </c>
      <c r="N16" s="24">
        <f>HYD!AD18</f>
        <v>1.7513518998730115E-2</v>
      </c>
      <c r="O16" s="24">
        <f>HYD!AE18</f>
        <v>1.2790065889199698E-2</v>
      </c>
      <c r="P16" s="24">
        <f>HYD!AF18</f>
        <v>9.1291407615295209E-3</v>
      </c>
      <c r="Q16" s="24">
        <f>HYD!AG18</f>
        <v>6.4552773388840464E-3</v>
      </c>
      <c r="R16" s="24">
        <f>HYD!AH18</f>
        <v>4.606775698973318E-3</v>
      </c>
      <c r="S16" s="24">
        <f>HYD!AI18</f>
        <v>3.2574823361494307E-3</v>
      </c>
      <c r="T16" s="24">
        <f>HYD!AJ18</f>
        <v>2.303387849486659E-3</v>
      </c>
      <c r="U16" s="24">
        <f>HYD!AK18</f>
        <v>1.6287411680747153E-3</v>
      </c>
      <c r="V16" s="24">
        <f>HYD!AL18</f>
        <v>1.3298615949492358E-3</v>
      </c>
      <c r="W16" s="1">
        <f>GSD!Q18</f>
        <v>100</v>
      </c>
      <c r="X16" s="1">
        <f>GSD!R18</f>
        <v>98.39</v>
      </c>
      <c r="Y16" s="1">
        <f>GSD!S18</f>
        <v>96.31</v>
      </c>
      <c r="Z16" s="1">
        <f>GSD!T18</f>
        <v>94.19</v>
      </c>
      <c r="AA16" s="1">
        <f>GSD!U18</f>
        <v>91.039999999999992</v>
      </c>
      <c r="AB16" s="45">
        <f>GSD!V18</f>
        <v>88.63</v>
      </c>
      <c r="AC16" s="45">
        <f>HYD!AM18</f>
        <v>17.878840909090925</v>
      </c>
      <c r="AD16" s="44">
        <f>HYD!AN18</f>
        <v>17.878840909090925</v>
      </c>
      <c r="AE16" s="44">
        <f>HYD!AO18</f>
        <v>17.878840909090925</v>
      </c>
      <c r="AF16" s="44">
        <f>HYD!AP18</f>
        <v>17.878840909090925</v>
      </c>
      <c r="AG16" s="44">
        <f>HYD!AQ18</f>
        <v>17.878840909090925</v>
      </c>
      <c r="AH16" s="44">
        <f>HYD!AR18</f>
        <v>17.878840909090925</v>
      </c>
      <c r="AI16" s="44">
        <f>HYD!AS18</f>
        <v>14.742477272726939</v>
      </c>
      <c r="AJ16" s="44">
        <f>HYD!AT18</f>
        <v>14.742477272726939</v>
      </c>
      <c r="AK16" s="44">
        <f>HYD!AU18</f>
        <v>11.606113636363647</v>
      </c>
      <c r="AL16" s="44">
        <f>HYD!AV18</f>
        <v>11.606113636363647</v>
      </c>
      <c r="AM16" s="44">
        <f>HYD!AW18</f>
        <v>11.606113636363647</v>
      </c>
      <c r="AN16" s="44">
        <f>HYD!AX18</f>
        <v>11.606113636363647</v>
      </c>
      <c r="AO16" s="44">
        <f>HYD!AY18</f>
        <v>11.606113636363647</v>
      </c>
    </row>
    <row r="17" spans="28:29" x14ac:dyDescent="0.25">
      <c r="AB17" s="1"/>
      <c r="AC17" s="36"/>
    </row>
    <row r="18" spans="28:29" x14ac:dyDescent="0.25">
      <c r="AB18" s="1"/>
      <c r="AC18" s="36"/>
    </row>
    <row r="19" spans="28:29" x14ac:dyDescent="0.25">
      <c r="AB19" s="1"/>
      <c r="AC19" s="36"/>
    </row>
    <row r="20" spans="28:29" x14ac:dyDescent="0.25">
      <c r="AB20" s="1"/>
      <c r="AC20" s="36"/>
    </row>
    <row r="21" spans="28:29" x14ac:dyDescent="0.25">
      <c r="AB21" s="1"/>
      <c r="AC21" s="36"/>
    </row>
    <row r="22" spans="28:29" x14ac:dyDescent="0.25">
      <c r="AB22" s="1"/>
      <c r="AC22" s="36"/>
    </row>
    <row r="23" spans="28:29" x14ac:dyDescent="0.25">
      <c r="AB23" s="1"/>
      <c r="AC23" s="36"/>
    </row>
    <row r="24" spans="28:29" x14ac:dyDescent="0.25">
      <c r="AB24" s="1"/>
      <c r="AC24" s="36"/>
    </row>
    <row r="25" spans="28:29" x14ac:dyDescent="0.25">
      <c r="AB25" s="1"/>
      <c r="AC25" s="36"/>
    </row>
    <row r="26" spans="28:29" x14ac:dyDescent="0.25">
      <c r="AB26" s="1"/>
      <c r="AC26" s="36"/>
    </row>
    <row r="27" spans="28:29" x14ac:dyDescent="0.25">
      <c r="AB27" s="1"/>
      <c r="AC27" s="36"/>
    </row>
    <row r="28" spans="28:29" x14ac:dyDescent="0.25">
      <c r="AB28" s="1"/>
      <c r="AC28" s="36"/>
    </row>
    <row r="29" spans="28:29" x14ac:dyDescent="0.25">
      <c r="AB29" s="1"/>
      <c r="AC29" s="36"/>
    </row>
    <row r="30" spans="28:29" x14ac:dyDescent="0.25">
      <c r="AB30" s="1"/>
      <c r="AC30" s="36"/>
    </row>
    <row r="33" spans="46:46" x14ac:dyDescent="0.25">
      <c r="AT33" t="s">
        <v>56</v>
      </c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2026-09-24T09:14:57Z</dcterms:modified>
</cp:coreProperties>
</file>