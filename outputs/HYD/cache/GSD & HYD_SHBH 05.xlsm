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Y:\002_WORKING DOCUMENTS\GUJARAT SECTION\02_TEST RESULTS\LOT-06\04. SH-55_CH_ 290.617 km (SBH-05 &amp; SBH-06)\"/>
    </mc:Choice>
  </mc:AlternateContent>
  <xr:revisionPtr revIDLastSave="0" documentId="13_ncr:1_{CB1982E1-4661-468B-A228-4F385D3BDA46}" xr6:coauthVersionLast="47" xr6:coauthVersionMax="47" xr10:uidLastSave="{00000000-0000-0000-0000-000000000000}"/>
  <bookViews>
    <workbookView xWindow="0" yWindow="3270" windowWidth="12555" windowHeight="10770" xr2:uid="{B0BDC4AA-E30B-4AAB-8B07-68708B915486}"/>
  </bookViews>
  <sheets>
    <sheet name="GSD" sheetId="7" r:id="rId1"/>
    <sheet name="HYD" sheetId="8" r:id="rId2"/>
    <sheet name="Sheet4" sheetId="9" state="hidden" r:id="rId3"/>
    <sheet name="PLOT" sheetId="6" r:id="rId4"/>
  </sheets>
  <functionGroups builtInGroupCount="19"/>
  <definedNames>
    <definedName name="_xlnm.Print_Area" localSheetId="0">GSD!$A$1:$AC$11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6" i="7" l="1"/>
  <c r="I7" i="7"/>
  <c r="I8" i="7"/>
  <c r="I9" i="7"/>
  <c r="I10" i="7"/>
  <c r="I11" i="7"/>
  <c r="I5" i="7"/>
  <c r="C4" i="6" l="1"/>
  <c r="C5" i="6"/>
  <c r="C6" i="6"/>
  <c r="C7" i="6"/>
  <c r="C8" i="6"/>
  <c r="C9" i="6"/>
  <c r="C3" i="6"/>
  <c r="B3" i="6"/>
  <c r="B4" i="6" s="1"/>
  <c r="B5" i="6" s="1"/>
  <c r="B6" i="6" s="1"/>
  <c r="B7" i="6" s="1"/>
  <c r="B8" i="6" s="1"/>
  <c r="B9" i="6" s="1"/>
  <c r="D6" i="8"/>
  <c r="D7" i="8"/>
  <c r="D8" i="8"/>
  <c r="D9" i="8"/>
  <c r="D10" i="8"/>
  <c r="D11" i="8"/>
  <c r="C6" i="8"/>
  <c r="C7" i="8"/>
  <c r="C8" i="8"/>
  <c r="C9" i="8"/>
  <c r="C10" i="8"/>
  <c r="C11" i="8"/>
  <c r="D5" i="8"/>
  <c r="C5" i="8"/>
  <c r="B5" i="8"/>
  <c r="B6" i="8" s="1"/>
  <c r="B7" i="8" s="1"/>
  <c r="B8" i="8" s="1"/>
  <c r="B9" i="8" s="1"/>
  <c r="B10" i="8" s="1"/>
  <c r="B11" i="8" s="1"/>
  <c r="AG5" i="6" l="1"/>
  <c r="AH5" i="6"/>
  <c r="AI5" i="6"/>
  <c r="AJ5" i="6"/>
  <c r="AK5" i="6"/>
  <c r="AL5" i="6"/>
  <c r="AM5" i="6"/>
  <c r="AN5" i="6"/>
  <c r="AO5" i="6"/>
  <c r="AP5" i="6"/>
  <c r="AQ5" i="6"/>
  <c r="AR5" i="6"/>
  <c r="AS5" i="6"/>
  <c r="AG6" i="6"/>
  <c r="AH6" i="6"/>
  <c r="AI6" i="6"/>
  <c r="AJ6" i="6"/>
  <c r="AK6" i="6"/>
  <c r="AL6" i="6"/>
  <c r="AM6" i="6"/>
  <c r="AN6" i="6"/>
  <c r="AO6" i="6"/>
  <c r="AP6" i="6"/>
  <c r="AQ6" i="6"/>
  <c r="AR6" i="6"/>
  <c r="AS6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G4" i="6"/>
  <c r="AH4" i="6"/>
  <c r="AI4" i="6"/>
  <c r="AJ4" i="6"/>
  <c r="AK4" i="6"/>
  <c r="AL4" i="6"/>
  <c r="AM4" i="6"/>
  <c r="AN4" i="6"/>
  <c r="AO4" i="6"/>
  <c r="AP4" i="6"/>
  <c r="AQ4" i="6"/>
  <c r="AR4" i="6"/>
  <c r="AS4" i="6"/>
  <c r="L4" i="6"/>
  <c r="M4" i="6"/>
  <c r="N4" i="6"/>
  <c r="O4" i="6"/>
  <c r="P4" i="6"/>
  <c r="Q4" i="6"/>
  <c r="R4" i="6"/>
  <c r="S4" i="6"/>
  <c r="T4" i="6"/>
  <c r="U4" i="6"/>
  <c r="V4" i="6"/>
  <c r="W4" i="6"/>
  <c r="X4" i="6"/>
  <c r="L5" i="6"/>
  <c r="M5" i="6"/>
  <c r="N5" i="6"/>
  <c r="O5" i="6"/>
  <c r="P5" i="6"/>
  <c r="Q5" i="6"/>
  <c r="R5" i="6"/>
  <c r="S5" i="6"/>
  <c r="T5" i="6"/>
  <c r="U5" i="6"/>
  <c r="V5" i="6"/>
  <c r="W5" i="6"/>
  <c r="X5" i="6"/>
  <c r="L6" i="6"/>
  <c r="M6" i="6"/>
  <c r="N6" i="6"/>
  <c r="O6" i="6"/>
  <c r="P6" i="6"/>
  <c r="Q6" i="6"/>
  <c r="R6" i="6"/>
  <c r="S6" i="6"/>
  <c r="T6" i="6"/>
  <c r="U6" i="6"/>
  <c r="V6" i="6"/>
  <c r="W6" i="6"/>
  <c r="X6" i="6"/>
  <c r="L7" i="6"/>
  <c r="M7" i="6"/>
  <c r="N7" i="6"/>
  <c r="O7" i="6"/>
  <c r="P7" i="6"/>
  <c r="Q7" i="6"/>
  <c r="R7" i="6"/>
  <c r="S7" i="6"/>
  <c r="T7" i="6"/>
  <c r="U7" i="6"/>
  <c r="V7" i="6"/>
  <c r="W7" i="6"/>
  <c r="X7" i="6"/>
  <c r="L8" i="6"/>
  <c r="M8" i="6"/>
  <c r="N8" i="6"/>
  <c r="O8" i="6"/>
  <c r="P8" i="6"/>
  <c r="Q8" i="6"/>
  <c r="R8" i="6"/>
  <c r="S8" i="6"/>
  <c r="T8" i="6"/>
  <c r="U8" i="6"/>
  <c r="V8" i="6"/>
  <c r="W8" i="6"/>
  <c r="X8" i="6"/>
  <c r="L9" i="6"/>
  <c r="M9" i="6"/>
  <c r="N9" i="6"/>
  <c r="O9" i="6"/>
  <c r="P9" i="6"/>
  <c r="Q9" i="6"/>
  <c r="R9" i="6"/>
  <c r="S9" i="6"/>
  <c r="T9" i="6"/>
  <c r="U9" i="6"/>
  <c r="V9" i="6"/>
  <c r="W9" i="6"/>
  <c r="X9" i="6"/>
  <c r="X3" i="6" l="1"/>
  <c r="AH3" i="6"/>
  <c r="AI3" i="6"/>
  <c r="AJ3" i="6"/>
  <c r="AK3" i="6"/>
  <c r="AL3" i="6"/>
  <c r="AM3" i="6"/>
  <c r="AN3" i="6"/>
  <c r="AO3" i="6"/>
  <c r="AP3" i="6"/>
  <c r="AQ3" i="6"/>
  <c r="AR3" i="6"/>
  <c r="AS3" i="6"/>
  <c r="AG3" i="6"/>
  <c r="M3" i="6"/>
  <c r="N3" i="6"/>
  <c r="O3" i="6"/>
  <c r="P3" i="6"/>
  <c r="Q3" i="6"/>
  <c r="R3" i="6"/>
  <c r="S3" i="6"/>
  <c r="T3" i="6"/>
  <c r="U3" i="6"/>
  <c r="V3" i="6"/>
  <c r="W3" i="6"/>
  <c r="L3" i="6"/>
  <c r="K11" i="8" l="1"/>
  <c r="F11" i="8"/>
  <c r="K10" i="8"/>
  <c r="F10" i="8"/>
  <c r="K9" i="8"/>
  <c r="F9" i="8"/>
  <c r="K8" i="8"/>
  <c r="F8" i="8"/>
  <c r="K7" i="8"/>
  <c r="F7" i="8"/>
  <c r="K6" i="8"/>
  <c r="F6" i="8"/>
  <c r="K5" i="8" l="1"/>
  <c r="F5" i="8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2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2" i="9"/>
  <c r="D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2" i="9"/>
  <c r="V6" i="7"/>
  <c r="AB4" i="6" s="1"/>
  <c r="X6" i="7"/>
  <c r="AD4" i="6" s="1"/>
  <c r="V7" i="7"/>
  <c r="AB5" i="6" s="1"/>
  <c r="X8" i="7"/>
  <c r="AD6" i="6" s="1"/>
  <c r="T11" i="7"/>
  <c r="Z9" i="6" s="1"/>
  <c r="Y5" i="7"/>
  <c r="AE3" i="6" s="1"/>
  <c r="Y10" i="7"/>
  <c r="AE8" i="6" s="1"/>
  <c r="U11" i="7"/>
  <c r="AA9" i="6" s="1"/>
  <c r="Z5" i="7"/>
  <c r="AC5" i="7" s="1"/>
  <c r="Y9" i="7"/>
  <c r="AE7" i="6" s="1"/>
  <c r="V9" i="7"/>
  <c r="AB7" i="6" s="1"/>
  <c r="Y11" i="7"/>
  <c r="AE9" i="6" s="1"/>
  <c r="T5" i="7"/>
  <c r="Z3" i="6" s="1"/>
  <c r="T9" i="7"/>
  <c r="Z7" i="6" s="1"/>
  <c r="X10" i="7"/>
  <c r="AD8" i="6" s="1"/>
  <c r="Y6" i="7"/>
  <c r="AE4" i="6" s="1"/>
  <c r="U9" i="7"/>
  <c r="AA7" i="6" s="1"/>
  <c r="Y7" i="7"/>
  <c r="AE5" i="6" s="1"/>
  <c r="V8" i="7"/>
  <c r="AB6" i="6" s="1"/>
  <c r="T7" i="7"/>
  <c r="Z5" i="6" s="1"/>
  <c r="U5" i="7"/>
  <c r="AA3" i="6" s="1"/>
  <c r="U8" i="7"/>
  <c r="AA6" i="6" s="1"/>
  <c r="V5" i="7"/>
  <c r="AB3" i="6" s="1"/>
  <c r="U7" i="7"/>
  <c r="AA5" i="6" s="1"/>
  <c r="Z9" i="7"/>
  <c r="AC9" i="7" s="1"/>
  <c r="T6" i="7"/>
  <c r="Z4" i="6" s="1"/>
  <c r="X7" i="7"/>
  <c r="AD5" i="6" s="1"/>
  <c r="U6" i="7"/>
  <c r="AA4" i="6" s="1"/>
  <c r="W9" i="7"/>
  <c r="AC7" i="6" s="1"/>
  <c r="V10" i="7"/>
  <c r="AB8" i="6" s="1"/>
  <c r="U10" i="7"/>
  <c r="AA8" i="6" s="1"/>
  <c r="W6" i="7"/>
  <c r="AC4" i="6" s="1"/>
  <c r="X5" i="7"/>
  <c r="AD3" i="6" s="1"/>
  <c r="W10" i="7"/>
  <c r="AC8" i="6" s="1"/>
  <c r="X9" i="7"/>
  <c r="AD7" i="6" s="1"/>
  <c r="Y8" i="7"/>
  <c r="AE6" i="6" s="1"/>
  <c r="Z7" i="7"/>
  <c r="AC7" i="7" s="1"/>
  <c r="Z11" i="7"/>
  <c r="AC11" i="7" s="1"/>
  <c r="S9" i="7"/>
  <c r="Y7" i="6" s="1"/>
  <c r="Z10" i="7"/>
  <c r="AF8" i="6" s="1"/>
  <c r="Z8" i="7"/>
  <c r="AC8" i="7" s="1"/>
  <c r="W8" i="7"/>
  <c r="AC6" i="6" s="1"/>
  <c r="V11" i="7"/>
  <c r="AB9" i="6" s="1"/>
  <c r="W11" i="7"/>
  <c r="AC9" i="6" s="1"/>
  <c r="S6" i="7"/>
  <c r="Z6" i="7"/>
  <c r="AC6" i="7" s="1"/>
  <c r="S5" i="7"/>
  <c r="AA5" i="7" s="1"/>
  <c r="W5" i="7"/>
  <c r="AC3" i="6" s="1"/>
  <c r="S7" i="7"/>
  <c r="W7" i="7"/>
  <c r="AC5" i="6" s="1"/>
  <c r="S8" i="7"/>
  <c r="AA8" i="7" s="1"/>
  <c r="T8" i="7"/>
  <c r="Z6" i="6" s="1"/>
  <c r="S10" i="7"/>
  <c r="Y8" i="6" s="1"/>
  <c r="T10" i="7"/>
  <c r="Z8" i="6" s="1"/>
  <c r="S11" i="7"/>
  <c r="Y9" i="6" s="1"/>
  <c r="X11" i="7"/>
  <c r="AD9" i="6" s="1"/>
  <c r="AB7" i="7" l="1"/>
  <c r="AF4" i="6"/>
  <c r="AF7" i="6"/>
  <c r="AB6" i="7"/>
  <c r="AA9" i="7"/>
  <c r="AB10" i="7"/>
  <c r="AB9" i="7"/>
  <c r="AF6" i="6"/>
  <c r="Y6" i="6"/>
  <c r="AA10" i="7"/>
  <c r="AF9" i="6"/>
  <c r="AF5" i="6"/>
  <c r="AB11" i="7"/>
  <c r="AF3" i="6"/>
  <c r="AC10" i="7"/>
  <c r="Y5" i="6"/>
  <c r="Y4" i="6"/>
  <c r="AB5" i="7"/>
  <c r="AA11" i="7"/>
  <c r="AA7" i="7"/>
  <c r="AA6" i="7"/>
  <c r="Y3" i="6"/>
  <c r="AB8" i="7"/>
</calcChain>
</file>

<file path=xl/sharedStrings.xml><?xml version="1.0" encoding="utf-8"?>
<sst xmlns="http://schemas.openxmlformats.org/spreadsheetml/2006/main" count="78" uniqueCount="57">
  <si>
    <t>% Passing</t>
  </si>
  <si>
    <t>% Gravel</t>
  </si>
  <si>
    <t>% Clay</t>
  </si>
  <si>
    <t>Grain Size Analysis (Sieve Analysis)</t>
  </si>
  <si>
    <t>Sr No.</t>
  </si>
  <si>
    <t>BH ID</t>
  </si>
  <si>
    <t>Chainage</t>
  </si>
  <si>
    <t>Sample ID</t>
  </si>
  <si>
    <t>Sample Type</t>
  </si>
  <si>
    <t>Depth</t>
  </si>
  <si>
    <t>Container No.</t>
  </si>
  <si>
    <t>Weight of Sample taken for Sieve Analysis</t>
  </si>
  <si>
    <r>
      <t>Weight of Sample Remain after washing through 75</t>
    </r>
    <r>
      <rPr>
        <b/>
        <sz val="10"/>
        <color theme="1"/>
        <rFont val="Calibri"/>
        <family val="2"/>
      </rPr>
      <t>µ sieve</t>
    </r>
  </si>
  <si>
    <t>Weight Retained on IS Sieve</t>
  </si>
  <si>
    <t xml:space="preserve">Gravel </t>
  </si>
  <si>
    <t>Sand</t>
  </si>
  <si>
    <t>Fines</t>
  </si>
  <si>
    <t>Pan</t>
  </si>
  <si>
    <t>-</t>
  </si>
  <si>
    <t>(m)</t>
  </si>
  <si>
    <t>(gm)</t>
  </si>
  <si>
    <t>%</t>
  </si>
  <si>
    <t>SPT</t>
  </si>
  <si>
    <t xml:space="preserve">Temperature </t>
  </si>
  <si>
    <t>SPGR</t>
  </si>
  <si>
    <t xml:space="preserve"> Meniscus Correction (Cm)</t>
  </si>
  <si>
    <t>Mt (temperature correction)</t>
  </si>
  <si>
    <t>X (dispersion correction)</t>
  </si>
  <si>
    <t xml:space="preserve"> Hydrometer Reading at Elapsed Time (min)</t>
  </si>
  <si>
    <t>Diameter of the particle at Elapsed Time</t>
  </si>
  <si>
    <t>Percentge finer than Diameter of the particle at Elapsed Time</t>
  </si>
  <si>
    <t>(°C)</t>
  </si>
  <si>
    <t>(mm)</t>
  </si>
  <si>
    <t>(%)</t>
  </si>
  <si>
    <t>Hydrometer No.</t>
  </si>
  <si>
    <t>Cylinder Type</t>
  </si>
  <si>
    <t>Temperature (°C)</t>
  </si>
  <si>
    <t>Viscosity (mP)</t>
  </si>
  <si>
    <t>Viscosity (P)</t>
  </si>
  <si>
    <t>Poise</t>
  </si>
  <si>
    <t xml:space="preserve">Coefficent of Viscosity </t>
  </si>
  <si>
    <t>SR No.</t>
  </si>
  <si>
    <t>Particle Size in mm (GSD)</t>
  </si>
  <si>
    <t>Particle Size in mm (HYD)</t>
  </si>
  <si>
    <t>% Passing (GSD)</t>
  </si>
  <si>
    <t>% Passing (HYD)</t>
  </si>
  <si>
    <t>% Sand</t>
  </si>
  <si>
    <t>% Silt</t>
  </si>
  <si>
    <t>UDS</t>
  </si>
  <si>
    <t>SHBH-05</t>
  </si>
  <si>
    <t>A166</t>
  </si>
  <si>
    <t>A049</t>
  </si>
  <si>
    <t>A016</t>
  </si>
  <si>
    <t>A008</t>
  </si>
  <si>
    <t>A115</t>
  </si>
  <si>
    <t>A001</t>
  </si>
  <si>
    <t>A013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</si>
</sst>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"/>
    <numFmt numFmtId="168" formatCode="0.00000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b/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F8F8F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88">
    <xf numFmtId="0" fontId="0" fillId="0" borderId="0" xfId="0"/>
    <xf numFmtId="0" fontId="3" fillId="0" borderId="0" xfId="1"/>
    <xf numFmtId="0" fontId="5" fillId="0" borderId="8" xfId="1" applyFont="1" applyBorder="1" applyAlignment="1">
      <alignment horizontal="center" vertical="center" wrapText="1"/>
    </xf>
    <xf numFmtId="2" fontId="5" fillId="0" borderId="8" xfId="1" applyNumberFormat="1" applyFont="1" applyBorder="1" applyAlignment="1">
      <alignment horizontal="center" vertical="center" wrapText="1"/>
    </xf>
    <xf numFmtId="165" fontId="5" fillId="0" borderId="8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 wrapText="1"/>
    </xf>
    <xf numFmtId="2" fontId="5" fillId="0" borderId="1" xfId="1" applyNumberFormat="1" applyFont="1" applyBorder="1" applyAlignment="1">
      <alignment horizontal="center" vertical="center" wrapText="1"/>
    </xf>
    <xf numFmtId="165" fontId="5" fillId="0" borderId="1" xfId="1" applyNumberFormat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2" fontId="1" fillId="0" borderId="1" xfId="1" applyNumberFormat="1" applyFont="1" applyBorder="1" applyAlignment="1">
      <alignment horizontal="center" vertical="center"/>
    </xf>
    <xf numFmtId="2" fontId="3" fillId="2" borderId="1" xfId="1" applyNumberFormat="1" applyFill="1" applyBorder="1" applyAlignment="1">
      <alignment horizontal="center" vertical="center"/>
    </xf>
    <xf numFmtId="0" fontId="3" fillId="0" borderId="0" xfId="1" applyAlignment="1">
      <alignment horizontal="center" vertical="center"/>
    </xf>
    <xf numFmtId="0" fontId="7" fillId="0" borderId="8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0" borderId="0" xfId="0" applyFont="1" applyAlignment="1">
      <alignment horizontal="right" vertical="center" wrapText="1"/>
    </xf>
    <xf numFmtId="0" fontId="0" fillId="0" borderId="0" xfId="0" applyAlignment="1">
      <alignment horizontal="center" vertical="center"/>
    </xf>
    <xf numFmtId="10" fontId="0" fillId="0" borderId="0" xfId="0" applyNumberFormat="1"/>
    <xf numFmtId="0" fontId="8" fillId="0" borderId="0" xfId="0" applyFont="1" applyBorder="1" applyAlignment="1">
      <alignment horizontal="center" vertical="center"/>
    </xf>
    <xf numFmtId="2" fontId="9" fillId="0" borderId="0" xfId="0" applyNumberFormat="1" applyFont="1" applyBorder="1" applyAlignment="1">
      <alignment horizontal="center" vertical="center"/>
    </xf>
    <xf numFmtId="1" fontId="7" fillId="0" borderId="0" xfId="0" applyNumberFormat="1" applyFont="1" applyBorder="1" applyAlignment="1">
      <alignment vertical="center" wrapText="1"/>
    </xf>
    <xf numFmtId="0" fontId="2" fillId="0" borderId="0" xfId="0" applyFont="1" applyAlignment="1">
      <alignment horizontal="center" vertical="center"/>
    </xf>
    <xf numFmtId="2" fontId="1" fillId="0" borderId="1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2" fontId="11" fillId="0" borderId="1" xfId="0" applyNumberFormat="1" applyFont="1" applyBorder="1" applyAlignment="1">
      <alignment horizontal="center" vertical="center"/>
    </xf>
    <xf numFmtId="167" fontId="11" fillId="0" borderId="1" xfId="0" applyNumberFormat="1" applyFont="1" applyBorder="1" applyAlignment="1">
      <alignment horizontal="center" vertical="center"/>
    </xf>
    <xf numFmtId="165" fontId="11" fillId="0" borderId="1" xfId="0" applyNumberFormat="1" applyFont="1" applyBorder="1" applyAlignment="1">
      <alignment horizontal="center" vertical="center"/>
    </xf>
    <xf numFmtId="166" fontId="11" fillId="4" borderId="1" xfId="0" applyNumberFormat="1" applyFont="1" applyFill="1" applyBorder="1" applyAlignment="1">
      <alignment horizontal="center" vertical="center"/>
    </xf>
    <xf numFmtId="2" fontId="11" fillId="4" borderId="1" xfId="0" applyNumberFormat="1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3" fillId="3" borderId="0" xfId="1" applyFill="1"/>
    <xf numFmtId="0" fontId="11" fillId="0" borderId="1" xfId="0" applyFont="1" applyFill="1" applyBorder="1" applyAlignment="1">
      <alignment horizontal="center" vertical="center"/>
    </xf>
    <xf numFmtId="2" fontId="11" fillId="0" borderId="1" xfId="0" applyNumberFormat="1" applyFont="1" applyFill="1" applyBorder="1" applyAlignment="1">
      <alignment horizontal="center" vertical="center"/>
    </xf>
    <xf numFmtId="167" fontId="11" fillId="0" borderId="1" xfId="0" applyNumberFormat="1" applyFont="1" applyFill="1" applyBorder="1" applyAlignment="1">
      <alignment horizontal="center" vertical="center"/>
    </xf>
    <xf numFmtId="165" fontId="11" fillId="0" borderId="1" xfId="0" applyNumberFormat="1" applyFont="1" applyFill="1" applyBorder="1" applyAlignment="1">
      <alignment horizontal="center" vertical="center"/>
    </xf>
    <xf numFmtId="166" fontId="11" fillId="0" borderId="1" xfId="0" applyNumberFormat="1" applyFont="1" applyFill="1" applyBorder="1" applyAlignment="1">
      <alignment horizontal="center" vertical="center"/>
    </xf>
    <xf numFmtId="2" fontId="9" fillId="0" borderId="0" xfId="0" applyNumberFormat="1" applyFont="1" applyFill="1" applyBorder="1" applyAlignment="1">
      <alignment horizontal="center" vertical="center"/>
    </xf>
    <xf numFmtId="0" fontId="0" fillId="0" borderId="0" xfId="0" applyFill="1"/>
    <xf numFmtId="0" fontId="1" fillId="0" borderId="1" xfId="0" applyFont="1" applyFill="1" applyBorder="1" applyAlignment="1">
      <alignment horizontal="center" vertical="center"/>
    </xf>
    <xf numFmtId="0" fontId="12" fillId="0" borderId="1" xfId="1" applyFont="1" applyFill="1" applyBorder="1" applyAlignment="1">
      <alignment horizontal="center" vertical="center"/>
    </xf>
    <xf numFmtId="2" fontId="1" fillId="0" borderId="1" xfId="0" applyNumberFormat="1" applyFont="1" applyFill="1" applyBorder="1" applyAlignment="1">
      <alignment horizontal="center" vertical="center"/>
    </xf>
    <xf numFmtId="2" fontId="1" fillId="0" borderId="1" xfId="1" applyNumberFormat="1" applyFont="1" applyFill="1" applyBorder="1" applyAlignment="1">
      <alignment horizontal="center" vertical="center"/>
    </xf>
    <xf numFmtId="2" fontId="3" fillId="0" borderId="1" xfId="1" applyNumberForma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2" fontId="1" fillId="0" borderId="0" xfId="0" applyNumberFormat="1" applyFont="1" applyFill="1" applyBorder="1" applyAlignment="1">
      <alignment horizontal="center" vertical="center"/>
    </xf>
    <xf numFmtId="165" fontId="0" fillId="0" borderId="0" xfId="0" applyNumberFormat="1" applyFill="1" applyAlignment="1">
      <alignment horizontal="center" vertical="center"/>
    </xf>
    <xf numFmtId="168" fontId="0" fillId="0" borderId="0" xfId="0" applyNumberFormat="1" applyFill="1" applyAlignment="1">
      <alignment horizontal="center" vertical="center"/>
    </xf>
    <xf numFmtId="2" fontId="0" fillId="0" borderId="0" xfId="0" applyNumberFormat="1" applyFill="1" applyAlignment="1">
      <alignment horizontal="center" vertical="center"/>
    </xf>
    <xf numFmtId="0" fontId="0" fillId="0" borderId="0" xfId="0" applyFill="1" applyAlignment="1">
      <alignment horizontal="center" vertical="center"/>
    </xf>
    <xf numFmtId="2" fontId="0" fillId="0" borderId="0" xfId="0" applyNumberFormat="1" applyFill="1" applyAlignment="1">
      <alignment horizontal="center"/>
    </xf>
    <xf numFmtId="0" fontId="5" fillId="0" borderId="1" xfId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 textRotation="90"/>
    </xf>
    <xf numFmtId="0" fontId="1" fillId="0" borderId="1" xfId="0" applyFont="1" applyBorder="1" applyAlignment="1">
      <alignment horizontal="center" vertical="center"/>
    </xf>
    <xf numFmtId="0" fontId="4" fillId="0" borderId="5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textRotation="90" wrapText="1"/>
    </xf>
    <xf numFmtId="0" fontId="5" fillId="0" borderId="7" xfId="1" applyFont="1" applyBorder="1" applyAlignment="1">
      <alignment horizontal="center" vertical="center" textRotation="90" wrapText="1"/>
    </xf>
    <xf numFmtId="0" fontId="5" fillId="0" borderId="8" xfId="1" applyFont="1" applyBorder="1" applyAlignment="1">
      <alignment horizontal="center" vertical="center" textRotation="90" wrapText="1"/>
    </xf>
    <xf numFmtId="0" fontId="5" fillId="0" borderId="6" xfId="1" applyFont="1" applyBorder="1" applyAlignment="1">
      <alignment horizontal="center" vertical="center" textRotation="90"/>
    </xf>
    <xf numFmtId="0" fontId="5" fillId="0" borderId="7" xfId="1" applyFont="1" applyBorder="1" applyAlignment="1">
      <alignment horizontal="center" vertical="center" textRotation="90"/>
    </xf>
    <xf numFmtId="0" fontId="5" fillId="0" borderId="8" xfId="1" applyFont="1" applyBorder="1" applyAlignment="1">
      <alignment horizontal="center" vertical="center" textRotation="90"/>
    </xf>
    <xf numFmtId="0" fontId="5" fillId="0" borderId="1" xfId="1" applyFont="1" applyBorder="1" applyAlignment="1">
      <alignment horizontal="center" vertical="center" wrapText="1"/>
    </xf>
    <xf numFmtId="0" fontId="5" fillId="0" borderId="6" xfId="1" applyFont="1" applyBorder="1" applyAlignment="1">
      <alignment horizontal="center" vertical="center" wrapText="1"/>
    </xf>
    <xf numFmtId="0" fontId="5" fillId="0" borderId="8" xfId="1" applyFont="1" applyBorder="1" applyAlignment="1">
      <alignment horizontal="center" vertical="center" wrapText="1"/>
    </xf>
    <xf numFmtId="0" fontId="2" fillId="0" borderId="1" xfId="1" applyFont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3" fillId="0" borderId="1" xfId="1" applyBorder="1" applyAlignment="1">
      <alignment horizontal="center" vertical="center"/>
    </xf>
    <xf numFmtId="1" fontId="7" fillId="0" borderId="1" xfId="0" applyNumberFormat="1" applyFont="1" applyBorder="1" applyAlignment="1">
      <alignment horizontal="center" vertical="center" wrapText="1"/>
    </xf>
    <xf numFmtId="0" fontId="7" fillId="0" borderId="2" xfId="0" applyFont="1" applyBorder="1" applyAlignment="1">
      <alignment horizontal="center" vertical="center" wrapText="1"/>
    </xf>
    <xf numFmtId="0" fontId="7" fillId="0" borderId="3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0" fontId="7" fillId="0" borderId="1" xfId="0" applyFont="1" applyBorder="1" applyAlignment="1">
      <alignment horizontal="center" vertical="center" wrapText="1"/>
    </xf>
    <xf numFmtId="164" fontId="7" fillId="0" borderId="1" xfId="0" applyNumberFormat="1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6" xfId="0" applyFont="1" applyBorder="1" applyAlignment="1">
      <alignment horizontal="center" vertical="center" wrapText="1"/>
    </xf>
    <xf numFmtId="0" fontId="7" fillId="0" borderId="7" xfId="0" applyFont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/>
    </xf>
    <xf numFmtId="0" fontId="7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 vertical="center"/>
    </xf>
  </cellXfs>
  <cellStyles count="2">
    <cellStyle name="Normal" xfId="0" builtinId="0"/>
    <cellStyle name="Normal 2" xfId="1" xr:uid="{13B726F5-1599-4C07-92E9-3289F274DDE0}"/>
  </cellStyles>
  <dxfs count="0"/>
  <tableStyles count="0" defaultTableStyle="TableStyleMedium2" defaultPivotStyle="PivotStyleLight16"/>
  <colors>
    <mruColors>
      <color rgb="FFF8F8F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0.13532842234499692"/>
          <c:w val="0.86660686810700405"/>
          <c:h val="0.71917339752420451"/>
        </c:manualLayout>
      </c:layout>
      <c:scatterChart>
        <c:scatterStyle val="smoothMarker"/>
        <c:varyColors val="0"/>
        <c:ser>
          <c:idx val="18"/>
          <c:order val="0"/>
          <c:tx>
            <c:strRef>
              <c:f>GSD!$F$5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GSD!$S$5:$Z$5</c:f>
            </c:numRef>
          </c:yVal>
          <c:smooth val="1"/>
          <c:extLst>
            <c:ext xmlns:c16="http://schemas.microsoft.com/office/drawing/2014/chart" uri="{C3380CC4-5D6E-409C-BE32-E72D297353CC}">
              <c16:uniqueId val="{00000000-1F1B-4A58-AF1A-008074CF6D76}"/>
            </c:ext>
          </c:extLst>
        </c:ser>
        <c:ser>
          <c:idx val="0"/>
          <c:order val="1"/>
          <c:tx>
            <c:strRef>
              <c:f>GSD!$F$6</c:f>
              <c:strCache>
                <c:ptCount val="1"/>
                <c:pt idx="0">
                  <c:v>2.00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GSD!$S$6:$Z$6</c:f>
            </c:numRef>
          </c:yVal>
          <c:smooth val="1"/>
          <c:extLst>
            <c:ext xmlns:c16="http://schemas.microsoft.com/office/drawing/2014/chart" uri="{C3380CC4-5D6E-409C-BE32-E72D297353CC}">
              <c16:uniqueId val="{00000001-1F1B-4A58-AF1A-008074CF6D76}"/>
            </c:ext>
          </c:extLst>
        </c:ser>
        <c:ser>
          <c:idx val="1"/>
          <c:order val="2"/>
          <c:tx>
            <c:strRef>
              <c:f>GSD!$F$7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GSD!$S$7:$Z$7</c:f>
            </c:numRef>
          </c:yVal>
          <c:smooth val="1"/>
          <c:extLst>
            <c:ext xmlns:c16="http://schemas.microsoft.com/office/drawing/2014/chart" uri="{C3380CC4-5D6E-409C-BE32-E72D297353CC}">
              <c16:uniqueId val="{00000002-1F1B-4A58-AF1A-008074CF6D76}"/>
            </c:ext>
          </c:extLst>
        </c:ser>
        <c:ser>
          <c:idx val="2"/>
          <c:order val="3"/>
          <c:tx>
            <c:strRef>
              <c:f>GSD!$F$8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GSD!$S$8:$Z$8</c:f>
            </c:numRef>
          </c:yVal>
          <c:smooth val="1"/>
          <c:extLst>
            <c:ext xmlns:c16="http://schemas.microsoft.com/office/drawing/2014/chart" uri="{C3380CC4-5D6E-409C-BE32-E72D297353CC}">
              <c16:uniqueId val="{00000003-1F1B-4A58-AF1A-008074CF6D76}"/>
            </c:ext>
          </c:extLst>
        </c:ser>
        <c:ser>
          <c:idx val="3"/>
          <c:order val="4"/>
          <c:tx>
            <c:strRef>
              <c:f>GSD!$F$9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GSD!$S$9:$Z$9</c:f>
            </c:numRef>
          </c:yVal>
          <c:smooth val="1"/>
          <c:extLst>
            <c:ext xmlns:c16="http://schemas.microsoft.com/office/drawing/2014/chart" uri="{C3380CC4-5D6E-409C-BE32-E72D297353CC}">
              <c16:uniqueId val="{00000004-1F1B-4A58-AF1A-008074CF6D76}"/>
            </c:ext>
          </c:extLst>
        </c:ser>
        <c:ser>
          <c:idx val="4"/>
          <c:order val="5"/>
          <c:tx>
            <c:strRef>
              <c:f>GSD!$F$10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GSD!$S$10:$Z$10</c:f>
            </c:numRef>
          </c:yVal>
          <c:smooth val="1"/>
          <c:extLst>
            <c:ext xmlns:c16="http://schemas.microsoft.com/office/drawing/2014/chart" uri="{C3380CC4-5D6E-409C-BE32-E72D297353CC}">
              <c16:uniqueId val="{00000005-1F1B-4A58-AF1A-008074CF6D76}"/>
            </c:ext>
          </c:extLst>
        </c:ser>
        <c:ser>
          <c:idx val="5"/>
          <c:order val="6"/>
          <c:tx>
            <c:strRef>
              <c:f>GSD!$F$11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GSD!$S$11:$Z$11</c:f>
            </c:numRef>
          </c:yVal>
          <c:smooth val="1"/>
          <c:extLst>
            <c:ext xmlns:c16="http://schemas.microsoft.com/office/drawing/2014/chart" uri="{C3380CC4-5D6E-409C-BE32-E72D297353CC}">
              <c16:uniqueId val="{00000006-1F1B-4A58-AF1A-008074CF6D76}"/>
            </c:ext>
          </c:extLst>
        </c:ser>
        <c:ser>
          <c:idx val="6"/>
          <c:order val="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1F1B-4A58-AF1A-008074CF6D76}"/>
            </c:ext>
          </c:extLst>
        </c:ser>
        <c:ser>
          <c:idx val="7"/>
          <c:order val="8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1F1B-4A58-AF1A-008074CF6D76}"/>
            </c:ext>
          </c:extLst>
        </c:ser>
        <c:ser>
          <c:idx val="8"/>
          <c:order val="9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1F1B-4A58-AF1A-008074CF6D76}"/>
            </c:ext>
          </c:extLst>
        </c:ser>
        <c:ser>
          <c:idx val="9"/>
          <c:order val="10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1F1B-4A58-AF1A-008074CF6D76}"/>
            </c:ext>
          </c:extLst>
        </c:ser>
        <c:ser>
          <c:idx val="10"/>
          <c:order val="11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1F1B-4A58-AF1A-008074CF6D76}"/>
            </c:ext>
          </c:extLst>
        </c:ser>
        <c:ser>
          <c:idx val="11"/>
          <c:order val="12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1F1B-4A58-AF1A-008074CF6D76}"/>
            </c:ext>
          </c:extLst>
        </c:ser>
        <c:ser>
          <c:idx val="12"/>
          <c:order val="13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1F1B-4A58-AF1A-008074CF6D76}"/>
            </c:ext>
          </c:extLst>
        </c:ser>
        <c:ser>
          <c:idx val="13"/>
          <c:order val="14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1F1B-4A58-AF1A-008074CF6D76}"/>
            </c:ext>
          </c:extLst>
        </c:ser>
        <c:ser>
          <c:idx val="14"/>
          <c:order val="15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1F1B-4A58-AF1A-008074CF6D76}"/>
            </c:ext>
          </c:extLst>
        </c:ser>
        <c:ser>
          <c:idx val="15"/>
          <c:order val="16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1F1B-4A58-AF1A-008074CF6D76}"/>
            </c:ext>
          </c:extLst>
        </c:ser>
        <c:ser>
          <c:idx val="16"/>
          <c:order val="17"/>
          <c:tx>
            <c:strRef>
              <c:f>GSD!#REF!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GSD!$S$3:$Z$3</c:f>
            </c:numRef>
          </c:xVal>
          <c:yVal>
            <c:numRef>
              <c:f>GSD!#REF!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1F1B-4A58-AF1A-008074CF6D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2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0018472906403941"/>
          <c:y val="0.15502578752241605"/>
          <c:w val="7.0818810724615572E-2"/>
          <c:h val="0.680911798081731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Sheet4!$C$1</c:f>
              <c:strCache>
                <c:ptCount val="1"/>
                <c:pt idx="0">
                  <c:v>Viscosity (P)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4"/>
            <c:dispRSqr val="1"/>
            <c:dispEq val="1"/>
            <c:trendlineLbl>
              <c:layout>
                <c:manualLayout>
                  <c:x val="5.9948179554478766E-2"/>
                  <c:y val="-0.33520972490648931"/>
                </c:manualLayout>
              </c:layout>
              <c:numFmt formatCode="#,##0.000000000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Sheet4!$A$2:$A$41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Sheet4!$C$2:$C$41</c:f>
              <c:numCache>
                <c:formatCode>General</c:formatCode>
                <c:ptCount val="40"/>
                <c:pt idx="0">
                  <c:v>1.7940000000000001E-2</c:v>
                </c:pt>
                <c:pt idx="1">
                  <c:v>1.7319999999999999E-2</c:v>
                </c:pt>
                <c:pt idx="2">
                  <c:v>1.6740000000000001E-2</c:v>
                </c:pt>
                <c:pt idx="3">
                  <c:v>1.619E-2</c:v>
                </c:pt>
                <c:pt idx="4">
                  <c:v>1.5679999999999999E-2</c:v>
                </c:pt>
                <c:pt idx="5">
                  <c:v>1.519E-2</c:v>
                </c:pt>
                <c:pt idx="6">
                  <c:v>1.473E-2</c:v>
                </c:pt>
                <c:pt idx="7">
                  <c:v>1.4290000000000001E-2</c:v>
                </c:pt>
                <c:pt idx="8">
                  <c:v>1.387E-2</c:v>
                </c:pt>
                <c:pt idx="9">
                  <c:v>1.3480000000000001E-2</c:v>
                </c:pt>
                <c:pt idx="10">
                  <c:v>1.3100000000000001E-2</c:v>
                </c:pt>
                <c:pt idx="11">
                  <c:v>1.274E-2</c:v>
                </c:pt>
                <c:pt idx="12">
                  <c:v>1.239E-2</c:v>
                </c:pt>
                <c:pt idx="13">
                  <c:v>1.206E-2</c:v>
                </c:pt>
                <c:pt idx="14">
                  <c:v>1.175E-2</c:v>
                </c:pt>
                <c:pt idx="15">
                  <c:v>1.145E-2</c:v>
                </c:pt>
                <c:pt idx="16">
                  <c:v>1.116E-2</c:v>
                </c:pt>
                <c:pt idx="17">
                  <c:v>1.0880000000000001E-2</c:v>
                </c:pt>
                <c:pt idx="18">
                  <c:v>1.06E-2</c:v>
                </c:pt>
                <c:pt idx="19">
                  <c:v>1.034E-2</c:v>
                </c:pt>
                <c:pt idx="20">
                  <c:v>1.009E-2</c:v>
                </c:pt>
                <c:pt idx="21">
                  <c:v>9.8399999999999998E-3</c:v>
                </c:pt>
                <c:pt idx="22">
                  <c:v>9.6100000000000005E-3</c:v>
                </c:pt>
                <c:pt idx="23">
                  <c:v>9.3799999999999994E-3</c:v>
                </c:pt>
                <c:pt idx="24">
                  <c:v>9.1599999999999997E-3</c:v>
                </c:pt>
                <c:pt idx="25">
                  <c:v>8.9499999999999996E-3</c:v>
                </c:pt>
                <c:pt idx="26">
                  <c:v>8.7500000000000008E-3</c:v>
                </c:pt>
                <c:pt idx="27">
                  <c:v>8.5500000000000003E-3</c:v>
                </c:pt>
                <c:pt idx="28">
                  <c:v>8.3599999999999994E-3</c:v>
                </c:pt>
                <c:pt idx="29">
                  <c:v>8.1799999999999998E-3</c:v>
                </c:pt>
                <c:pt idx="30">
                  <c:v>8.0000000000000002E-3</c:v>
                </c:pt>
                <c:pt idx="31">
                  <c:v>7.8300000000000002E-3</c:v>
                </c:pt>
                <c:pt idx="32">
                  <c:v>7.6699999999999997E-3</c:v>
                </c:pt>
                <c:pt idx="33">
                  <c:v>7.5100000000000002E-3</c:v>
                </c:pt>
                <c:pt idx="34">
                  <c:v>7.3600000000000002E-3</c:v>
                </c:pt>
                <c:pt idx="35">
                  <c:v>7.2100000000000003E-3</c:v>
                </c:pt>
                <c:pt idx="36">
                  <c:v>7.0600000000000003E-3</c:v>
                </c:pt>
                <c:pt idx="37">
                  <c:v>6.9199999999999999E-3</c:v>
                </c:pt>
                <c:pt idx="38">
                  <c:v>6.79E-3</c:v>
                </c:pt>
                <c:pt idx="39">
                  <c:v>6.6600000000000001E-3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D33-42F5-A11F-31019B276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0991296"/>
        <c:axId val="190989632"/>
      </c:scatterChart>
      <c:valAx>
        <c:axId val="1909912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89632"/>
        <c:crosses val="autoZero"/>
        <c:crossBetween val="midCat"/>
      </c:valAx>
      <c:valAx>
        <c:axId val="190989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09912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> SIZE DISTRIBUTION CURVE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766365411220156E-2"/>
          <c:y val="8.152827477428419E-2"/>
          <c:w val="0.86660686810700405"/>
          <c:h val="0.77297344716306171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PLOT!$C$3</c:f>
              <c:strCache>
                <c:ptCount val="1"/>
                <c:pt idx="0">
                  <c:v>0.50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PLOT!$D$3:$X$3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PLOT!$Y$3:$AS$3</c:f>
              <c:numCache>
                <c:formatCode>0.00</c:formatCode>
                <c:ptCount val="21"/>
                <c:pt idx="0">
                  <c:v>61.58</c:v>
                </c:pt>
                <c:pt idx="1">
                  <c:v>57.11999999999999</c:v>
                </c:pt>
                <c:pt idx="2">
                  <c:v>51.78</c:v>
                </c:pt>
                <c:pt idx="3">
                  <c:v>43.39</c:v>
                </c:pt>
                <c:pt idx="4">
                  <c:v>41.47</c:v>
                </c:pt>
                <c:pt idx="5">
                  <c:v>36.65</c:v>
                </c:pt>
                <c:pt idx="6">
                  <c:v>25.230000000000004</c:v>
                </c:pt>
                <c:pt idx="7">
                  <c:v>17.310000000000002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879-4931-8728-0D7C2F66F5E2}"/>
            </c:ext>
          </c:extLst>
        </c:ser>
        <c:ser>
          <c:idx val="1"/>
          <c:order val="1"/>
          <c:tx>
            <c:strRef>
              <c:f>PLOT!$C$4</c:f>
              <c:strCache>
                <c:ptCount val="1"/>
                <c:pt idx="0">
                  <c:v>2.00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PLOT!$D$4:$X$4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PLOT!$Y$4:$AS$4</c:f>
              <c:numCache>
                <c:formatCode>0.00</c:formatCode>
                <c:ptCount val="21"/>
                <c:pt idx="0">
                  <c:v>89.86</c:v>
                </c:pt>
                <c:pt idx="1">
                  <c:v>85.06</c:v>
                </c:pt>
                <c:pt idx="2">
                  <c:v>78.53</c:v>
                </c:pt>
                <c:pt idx="3">
                  <c:v>65.31</c:v>
                </c:pt>
                <c:pt idx="4">
                  <c:v>62.289999999999992</c:v>
                </c:pt>
                <c:pt idx="5">
                  <c:v>54.25</c:v>
                </c:pt>
                <c:pt idx="6">
                  <c:v>35.889999999999986</c:v>
                </c:pt>
                <c:pt idx="7">
                  <c:v>24.489999999999981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879-4931-8728-0D7C2F66F5E2}"/>
            </c:ext>
          </c:extLst>
        </c:ser>
        <c:ser>
          <c:idx val="2"/>
          <c:order val="2"/>
          <c:tx>
            <c:strRef>
              <c:f>PLOT!$C$5</c:f>
              <c:strCache>
                <c:ptCount val="1"/>
                <c:pt idx="0">
                  <c:v>3.50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PLOT!$D$5:$X$5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PLOT!$Y$5:$AS$5</c:f>
              <c:numCache>
                <c:formatCode>0.00</c:formatCode>
                <c:ptCount val="21"/>
                <c:pt idx="0">
                  <c:v>87.72</c:v>
                </c:pt>
                <c:pt idx="1">
                  <c:v>82.05</c:v>
                </c:pt>
                <c:pt idx="2">
                  <c:v>79.31</c:v>
                </c:pt>
                <c:pt idx="3">
                  <c:v>69.7</c:v>
                </c:pt>
                <c:pt idx="4">
                  <c:v>61.08</c:v>
                </c:pt>
                <c:pt idx="5">
                  <c:v>56.510000000000005</c:v>
                </c:pt>
                <c:pt idx="6">
                  <c:v>34.92</c:v>
                </c:pt>
                <c:pt idx="7">
                  <c:v>24.620000000000005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879-4931-8728-0D7C2F66F5E2}"/>
            </c:ext>
          </c:extLst>
        </c:ser>
        <c:ser>
          <c:idx val="3"/>
          <c:order val="3"/>
          <c:tx>
            <c:strRef>
              <c:f>PLOT!$C$6</c:f>
              <c:strCache>
                <c:ptCount val="1"/>
                <c:pt idx="0">
                  <c:v>4.50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PLOT!$D$6:$X$6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PLOT!$Y$6:$AS$6</c:f>
              <c:numCache>
                <c:formatCode>0.00</c:formatCode>
                <c:ptCount val="21"/>
                <c:pt idx="0">
                  <c:v>98.075000000000003</c:v>
                </c:pt>
                <c:pt idx="1">
                  <c:v>95.52</c:v>
                </c:pt>
                <c:pt idx="2">
                  <c:v>92.01</c:v>
                </c:pt>
                <c:pt idx="3">
                  <c:v>87.85</c:v>
                </c:pt>
                <c:pt idx="4">
                  <c:v>86.93</c:v>
                </c:pt>
                <c:pt idx="5">
                  <c:v>83.355000000000004</c:v>
                </c:pt>
                <c:pt idx="6">
                  <c:v>69.14</c:v>
                </c:pt>
                <c:pt idx="7">
                  <c:v>59.914999999999999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879-4931-8728-0D7C2F66F5E2}"/>
            </c:ext>
          </c:extLst>
        </c:ser>
        <c:ser>
          <c:idx val="4"/>
          <c:order val="4"/>
          <c:tx>
            <c:strRef>
              <c:f>PLOT!$C$7</c:f>
              <c:strCache>
                <c:ptCount val="1"/>
                <c:pt idx="0">
                  <c:v>6.50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PLOT!$D$7:$X$7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PLOT!$Y$7:$AS$7</c:f>
              <c:numCache>
                <c:formatCode>0.00</c:formatCode>
                <c:ptCount val="21"/>
                <c:pt idx="0">
                  <c:v>97.6</c:v>
                </c:pt>
                <c:pt idx="1">
                  <c:v>71.91</c:v>
                </c:pt>
                <c:pt idx="2">
                  <c:v>59.660000000000004</c:v>
                </c:pt>
                <c:pt idx="3">
                  <c:v>41.649999999999991</c:v>
                </c:pt>
                <c:pt idx="4">
                  <c:v>32.609999999999985</c:v>
                </c:pt>
                <c:pt idx="5">
                  <c:v>29.169999999999984</c:v>
                </c:pt>
                <c:pt idx="6">
                  <c:v>23.22999999999999</c:v>
                </c:pt>
                <c:pt idx="7">
                  <c:v>21.109999999999985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3879-4931-8728-0D7C2F66F5E2}"/>
            </c:ext>
          </c:extLst>
        </c:ser>
        <c:ser>
          <c:idx val="5"/>
          <c:order val="5"/>
          <c:tx>
            <c:strRef>
              <c:f>PLOT!$C$8</c:f>
              <c:strCache>
                <c:ptCount val="1"/>
                <c:pt idx="0">
                  <c:v>7.50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PLOT!$D$8:$X$8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PLOT!$Y$8:$AS$8</c:f>
              <c:numCache>
                <c:formatCode>0.00</c:formatCode>
                <c:ptCount val="21"/>
                <c:pt idx="0">
                  <c:v>99.75</c:v>
                </c:pt>
                <c:pt idx="1">
                  <c:v>93.34</c:v>
                </c:pt>
                <c:pt idx="2">
                  <c:v>73.400000000000006</c:v>
                </c:pt>
                <c:pt idx="3">
                  <c:v>39.46</c:v>
                </c:pt>
                <c:pt idx="4">
                  <c:v>33.36</c:v>
                </c:pt>
                <c:pt idx="5">
                  <c:v>26.08</c:v>
                </c:pt>
                <c:pt idx="6">
                  <c:v>22.659999999999997</c:v>
                </c:pt>
                <c:pt idx="7">
                  <c:v>21.019999999999996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879-4931-8728-0D7C2F66F5E2}"/>
            </c:ext>
          </c:extLst>
        </c:ser>
        <c:ser>
          <c:idx val="6"/>
          <c:order val="6"/>
          <c:tx>
            <c:strRef>
              <c:f>PLOT!$C$9</c:f>
              <c:strCache>
                <c:ptCount val="1"/>
                <c:pt idx="0">
                  <c:v>10.50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PLOT!$D$9:$X$9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PLOT!$Y$9:$AS$9</c:f>
              <c:numCache>
                <c:formatCode>0.00</c:formatCode>
                <c:ptCount val="21"/>
                <c:pt idx="0">
                  <c:v>100</c:v>
                </c:pt>
                <c:pt idx="1">
                  <c:v>99.91</c:v>
                </c:pt>
                <c:pt idx="2">
                  <c:v>99.83</c:v>
                </c:pt>
                <c:pt idx="3">
                  <c:v>99.5</c:v>
                </c:pt>
                <c:pt idx="4">
                  <c:v>98.23</c:v>
                </c:pt>
                <c:pt idx="5">
                  <c:v>90.85</c:v>
                </c:pt>
                <c:pt idx="6">
                  <c:v>46.18</c:v>
                </c:pt>
                <c:pt idx="7">
                  <c:v>33.709999999999994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3879-4931-8728-0D7C2F66F5E2}"/>
            </c:ext>
          </c:extLst>
        </c:ser>
        <c:ser>
          <c:idx val="7"/>
          <c:order val="7"/>
          <c:tx>
            <c:strRef>
              <c:f>PLOT!$C$10</c:f>
              <c:strCache>
                <c:ptCount val="1"/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PLOT!$D$10:$X$10</c:f>
              <c:numCache>
                <c:formatCode>0.000</c:formatCode>
                <c:ptCount val="21"/>
              </c:numCache>
            </c:numRef>
          </c:xVal>
          <c:yVal>
            <c:numRef>
              <c:f>PLOT!$Y$10:$AS$10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879-4931-8728-0D7C2F66F5E2}"/>
            </c:ext>
          </c:extLst>
        </c:ser>
        <c:ser>
          <c:idx val="8"/>
          <c:order val="8"/>
          <c:tx>
            <c:strRef>
              <c:f>PLOT!$C$11</c:f>
              <c:strCache>
                <c:ptCount val="1"/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PLOT!$D$11:$X$11</c:f>
              <c:numCache>
                <c:formatCode>0.000</c:formatCode>
                <c:ptCount val="21"/>
              </c:numCache>
            </c:numRef>
          </c:xVal>
          <c:yVal>
            <c:numRef>
              <c:f>PLOT!$Y$11:$AS$11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3879-4931-8728-0D7C2F66F5E2}"/>
            </c:ext>
          </c:extLst>
        </c:ser>
        <c:ser>
          <c:idx val="9"/>
          <c:order val="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7.3696656406441977E-2</c:v>
                </c:pt>
                <c:pt idx="9" formatCode="0.00000">
                  <c:v>5.2111405495770147E-2</c:v>
                </c:pt>
                <c:pt idx="10" formatCode="0.00000">
                  <c:v>3.6848328203220988E-2</c:v>
                </c:pt>
                <c:pt idx="11" formatCode="0.00000">
                  <c:v>2.6598588194217419E-2</c:v>
                </c:pt>
                <c:pt idx="12" formatCode="0.00000">
                  <c:v>1.9612852661697554E-2</c:v>
                </c:pt>
                <c:pt idx="13" formatCode="0.00000">
                  <c:v>1.4323202426449319E-2</c:v>
                </c:pt>
                <c:pt idx="14" formatCode="0.00000">
                  <c:v>1.0033512877280845E-2</c:v>
                </c:pt>
                <c:pt idx="15" formatCode="0.00000">
                  <c:v>7.0947649946478328E-3</c:v>
                </c:pt>
                <c:pt idx="16" formatCode="0.00000">
                  <c:v>5.0640167820249623E-3</c:v>
                </c:pt>
                <c:pt idx="17" formatCode="0.00000">
                  <c:v>3.5808006066123297E-3</c:v>
                </c:pt>
                <c:pt idx="18" formatCode="0.00000">
                  <c:v>2.5320083910124812E-3</c:v>
                </c:pt>
                <c:pt idx="19" formatCode="0.00000">
                  <c:v>1.7904003033061648E-3</c:v>
                </c:pt>
                <c:pt idx="20" formatCode="0.00000">
                  <c:v>1.475372460675063E-3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94.35</c:v>
                </c:pt>
                <c:pt idx="1">
                  <c:v>92.015000000000001</c:v>
                </c:pt>
                <c:pt idx="2">
                  <c:v>91.394999999999996</c:v>
                </c:pt>
                <c:pt idx="3">
                  <c:v>90.075000000000003</c:v>
                </c:pt>
                <c:pt idx="4">
                  <c:v>85.4</c:v>
                </c:pt>
                <c:pt idx="5">
                  <c:v>79.099999999999994</c:v>
                </c:pt>
                <c:pt idx="6">
                  <c:v>63.334999999999994</c:v>
                </c:pt>
                <c:pt idx="7">
                  <c:v>59.359999999999992</c:v>
                </c:pt>
                <c:pt idx="8">
                  <c:v>22.772627028578604</c:v>
                </c:pt>
                <c:pt idx="9">
                  <c:v>22.772627028578604</c:v>
                </c:pt>
                <c:pt idx="10">
                  <c:v>22.772627028578604</c:v>
                </c:pt>
                <c:pt idx="11">
                  <c:v>15.975335176155955</c:v>
                </c:pt>
                <c:pt idx="12">
                  <c:v>15.975335176155955</c:v>
                </c:pt>
                <c:pt idx="13">
                  <c:v>15.975335176155955</c:v>
                </c:pt>
                <c:pt idx="14">
                  <c:v>19.373981102367658</c:v>
                </c:pt>
                <c:pt idx="15">
                  <c:v>19.373981102367658</c:v>
                </c:pt>
                <c:pt idx="16">
                  <c:v>15.975335176155955</c:v>
                </c:pt>
                <c:pt idx="17">
                  <c:v>15.975335176155955</c:v>
                </c:pt>
                <c:pt idx="18">
                  <c:v>15.975335176155955</c:v>
                </c:pt>
                <c:pt idx="19">
                  <c:v>15.975335176155955</c:v>
                </c:pt>
                <c:pt idx="20">
                  <c:v>12.576689249945007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879-4931-8728-0D7C2F66F5E2}"/>
            </c:ext>
          </c:extLst>
        </c:ser>
        <c:ser>
          <c:idx val="10"/>
          <c:order val="1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6.9565677143029012E-2</c:v>
                </c:pt>
                <c:pt idx="9" formatCode="0.00000">
                  <c:v>4.919036204566983E-2</c:v>
                </c:pt>
                <c:pt idx="10" formatCode="0.00000">
                  <c:v>3.5180369633886863E-2</c:v>
                </c:pt>
                <c:pt idx="11" formatCode="0.00000">
                  <c:v>2.48762779327707E-2</c:v>
                </c:pt>
                <c:pt idx="12" formatCode="0.00000">
                  <c:v>1.8425533679137698E-2</c:v>
                </c:pt>
                <c:pt idx="13" formatCode="0.00000">
                  <c:v>1.3593202781434685E-2</c:v>
                </c:pt>
                <c:pt idx="14" formatCode="0.00000">
                  <c:v>9.8028526831012344E-3</c:v>
                </c:pt>
                <c:pt idx="15" formatCode="0.00000">
                  <c:v>6.9982172953394527E-3</c:v>
                </c:pt>
                <c:pt idx="16" formatCode="0.00000">
                  <c:v>4.948486905751507E-3</c:v>
                </c:pt>
                <c:pt idx="17" formatCode="0.00000">
                  <c:v>3.5320719932599109E-3</c:v>
                </c:pt>
                <c:pt idx="18" formatCode="0.00000">
                  <c:v>2.4975520580731683E-3</c:v>
                </c:pt>
                <c:pt idx="19" formatCode="0.00000">
                  <c:v>1.7660359966299554E-3</c:v>
                </c:pt>
                <c:pt idx="20" formatCode="0.00000">
                  <c:v>1.4552951477818836E-3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93.09</c:v>
                </c:pt>
                <c:pt idx="1">
                  <c:v>84.23</c:v>
                </c:pt>
                <c:pt idx="2">
                  <c:v>83.43</c:v>
                </c:pt>
                <c:pt idx="3">
                  <c:v>82.460000000000008</c:v>
                </c:pt>
                <c:pt idx="4">
                  <c:v>81.7</c:v>
                </c:pt>
                <c:pt idx="5">
                  <c:v>81.22</c:v>
                </c:pt>
                <c:pt idx="6">
                  <c:v>72.72999999999999</c:v>
                </c:pt>
                <c:pt idx="7">
                  <c:v>64.63</c:v>
                </c:pt>
                <c:pt idx="8">
                  <c:v>35.962652855763132</c:v>
                </c:pt>
                <c:pt idx="9">
                  <c:v>35.962652855763132</c:v>
                </c:pt>
                <c:pt idx="10">
                  <c:v>32.60181431029708</c:v>
                </c:pt>
                <c:pt idx="11">
                  <c:v>32.60181431029708</c:v>
                </c:pt>
                <c:pt idx="12">
                  <c:v>32.60181431029708</c:v>
                </c:pt>
                <c:pt idx="13">
                  <c:v>29.240975764830278</c:v>
                </c:pt>
                <c:pt idx="14">
                  <c:v>22.519298673897421</c:v>
                </c:pt>
                <c:pt idx="15">
                  <c:v>19.158460128431365</c:v>
                </c:pt>
                <c:pt idx="16">
                  <c:v>19.158460128431365</c:v>
                </c:pt>
                <c:pt idx="17">
                  <c:v>15.797621582964567</c:v>
                </c:pt>
                <c:pt idx="18">
                  <c:v>15.797621582964567</c:v>
                </c:pt>
                <c:pt idx="19">
                  <c:v>15.797621582964567</c:v>
                </c:pt>
                <c:pt idx="20">
                  <c:v>12.436783037498513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C-3879-4931-8728-0D7C2F66F5E2}"/>
            </c:ext>
          </c:extLst>
        </c:ser>
        <c:ser>
          <c:idx val="11"/>
          <c:order val="11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PLOT!#REF!</c:f>
              <c:numCache>
                <c:formatCode>0.000</c:formatCode>
                <c:ptCount val="21"/>
                <c:pt idx="0">
                  <c:v>4.75</c:v>
                </c:pt>
                <c:pt idx="1">
                  <c:v>2</c:v>
                </c:pt>
                <c:pt idx="2">
                  <c:v>1.18</c:v>
                </c:pt>
                <c:pt idx="3">
                  <c:v>0.6</c:v>
                </c:pt>
                <c:pt idx="4">
                  <c:v>0.42499999999999999</c:v>
                </c:pt>
                <c:pt idx="5">
                  <c:v>0.3</c:v>
                </c:pt>
                <c:pt idx="6">
                  <c:v>0.15</c:v>
                </c:pt>
                <c:pt idx="7">
                  <c:v>7.4999999999999997E-2</c:v>
                </c:pt>
                <c:pt idx="8" formatCode="0.00000">
                  <c:v>0</c:v>
                </c:pt>
                <c:pt idx="9" formatCode="0.00000">
                  <c:v>0</c:v>
                </c:pt>
                <c:pt idx="10" formatCode="0.00000">
                  <c:v>0</c:v>
                </c:pt>
                <c:pt idx="11" formatCode="0.00000">
                  <c:v>0</c:v>
                </c:pt>
                <c:pt idx="12" formatCode="0.00000">
                  <c:v>0</c:v>
                </c:pt>
                <c:pt idx="13" formatCode="0.00000">
                  <c:v>0</c:v>
                </c:pt>
                <c:pt idx="14" formatCode="0.00000">
                  <c:v>0</c:v>
                </c:pt>
                <c:pt idx="15" formatCode="0.00000">
                  <c:v>0</c:v>
                </c:pt>
                <c:pt idx="16" formatCode="0.00000">
                  <c:v>0</c:v>
                </c:pt>
                <c:pt idx="17" formatCode="0.00000">
                  <c:v>0</c:v>
                </c:pt>
                <c:pt idx="18" formatCode="0.00000">
                  <c:v>0</c:v>
                </c:pt>
                <c:pt idx="19" formatCode="0.00000">
                  <c:v>0</c:v>
                </c:pt>
                <c:pt idx="20" formatCode="0.00000">
                  <c:v>0</c:v>
                </c:pt>
              </c:numCache>
            </c:numRef>
          </c:xVal>
          <c:yVal>
            <c:numRef>
              <c:f>PLOT!#REF!</c:f>
              <c:numCache>
                <c:formatCode>0.00</c:formatCode>
                <c:ptCount val="21"/>
                <c:pt idx="0">
                  <c:v>93.56</c:v>
                </c:pt>
                <c:pt idx="1">
                  <c:v>89.545000000000002</c:v>
                </c:pt>
                <c:pt idx="2">
                  <c:v>88.575000000000003</c:v>
                </c:pt>
                <c:pt idx="3">
                  <c:v>86.385000000000005</c:v>
                </c:pt>
                <c:pt idx="4">
                  <c:v>81.555000000000007</c:v>
                </c:pt>
                <c:pt idx="5">
                  <c:v>76.015000000000001</c:v>
                </c:pt>
                <c:pt idx="6">
                  <c:v>54.894999999999996</c:v>
                </c:pt>
                <c:pt idx="7">
                  <c:v>51.97999999999999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879-4931-8728-0D7C2F66F5E2}"/>
            </c:ext>
          </c:extLst>
        </c:ser>
        <c:ser>
          <c:idx val="12"/>
          <c:order val="12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3879-4931-8728-0D7C2F66F5E2}"/>
            </c:ext>
          </c:extLst>
        </c:ser>
        <c:ser>
          <c:idx val="13"/>
          <c:order val="13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3879-4931-8728-0D7C2F66F5E2}"/>
            </c:ext>
          </c:extLst>
        </c:ser>
        <c:ser>
          <c:idx val="14"/>
          <c:order val="14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3879-4931-8728-0D7C2F66F5E2}"/>
            </c:ext>
          </c:extLst>
        </c:ser>
        <c:ser>
          <c:idx val="15"/>
          <c:order val="15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3879-4931-8728-0D7C2F66F5E2}"/>
            </c:ext>
          </c:extLst>
        </c:ser>
        <c:ser>
          <c:idx val="16"/>
          <c:order val="16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3879-4931-8728-0D7C2F66F5E2}"/>
            </c:ext>
          </c:extLst>
        </c:ser>
        <c:ser>
          <c:idx val="17"/>
          <c:order val="17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6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3879-4931-8728-0D7C2F66F5E2}"/>
            </c:ext>
          </c:extLst>
        </c:ser>
        <c:ser>
          <c:idx val="18"/>
          <c:order val="18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4-3879-4931-8728-0D7C2F66F5E2}"/>
            </c:ext>
          </c:extLst>
        </c:ser>
        <c:ser>
          <c:idx val="19"/>
          <c:order val="19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3879-4931-8728-0D7C2F66F5E2}"/>
            </c:ext>
          </c:extLst>
        </c:ser>
        <c:ser>
          <c:idx val="20"/>
          <c:order val="20"/>
          <c:tx>
            <c:strRef>
              <c:f>PLOT!#REF!</c:f>
              <c:strCache>
                <c:ptCount val="1"/>
                <c:pt idx="0">
                  <c:v>#REF!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</a:ln>
              <a:effectLst/>
            </c:spPr>
          </c:marker>
          <c:xVal>
            <c:numRef>
              <c:f>PLOT!#REF!</c:f>
            </c:numRef>
          </c:xVal>
          <c:yVal>
            <c:numRef>
              <c:f>PLOT!#REF!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3879-4931-8728-0D7C2F66F5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27082448"/>
        <c:axId val="1587523856"/>
      </c:scatterChart>
      <c:valAx>
        <c:axId val="1427082448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> Size (mm)</a:t>
                </a:r>
                <a:endParaRPr lang="en-IN" b="1"/>
              </a:p>
            </c:rich>
          </c:tx>
          <c:layout>
            <c:manualLayout>
              <c:xMode val="edge"/>
              <c:yMode val="edge"/>
              <c:x val="0.44033671437622024"/>
              <c:y val="0.925705833732109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87523856"/>
        <c:crosses val="autoZero"/>
        <c:crossBetween val="midCat"/>
      </c:valAx>
      <c:valAx>
        <c:axId val="158752385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c:rich>
          </c:tx>
          <c:layout>
            <c:manualLayout>
              <c:xMode val="edge"/>
              <c:yMode val="edge"/>
              <c:x val="1.4367816091954023E-2"/>
              <c:y val="0.422109598178680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082448"/>
        <c:crossesAt val="1.0000000000000002E-3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7666975439362329"/>
          <c:y val="0.52938448881380584"/>
          <c:w val="0.16707255335531551"/>
          <c:h val="0.314679879924192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424253</xdr:colOff>
      <xdr:row>3</xdr:row>
      <xdr:rowOff>224960</xdr:rowOff>
    </xdr:from>
    <xdr:to>
      <xdr:col>44</xdr:col>
      <xdr:colOff>501540</xdr:colOff>
      <xdr:row>11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A7F6B18-97E9-4105-BC8D-14BCCAF3B8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533400</xdr:colOff>
      <xdr:row>9</xdr:row>
      <xdr:rowOff>128587</xdr:rowOff>
    </xdr:from>
    <xdr:to>
      <xdr:col>20</xdr:col>
      <xdr:colOff>381000</xdr:colOff>
      <xdr:row>30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A9696D1-2E45-4696-98EC-4FFA8214FDD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51</xdr:col>
      <xdr:colOff>28575</xdr:colOff>
      <xdr:row>3</xdr:row>
      <xdr:rowOff>161925</xdr:rowOff>
    </xdr:from>
    <xdr:to>
      <xdr:col>66</xdr:col>
      <xdr:colOff>121143</xdr:colOff>
      <xdr:row>20</xdr:row>
      <xdr:rowOff>112346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1FAFB0D-6382-4263-B4FE-A1317291245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CDB927-E823-4E28-8217-F6BE74ECA4FC}">
  <sheetPr codeName="Sheet2"/>
  <dimension ref="A1:AC11"/>
  <sheetViews>
    <sheetView tabSelected="1" view="pageBreakPreview" zoomScale="130" zoomScaleNormal="85" zoomScaleSheetLayoutView="130" zoomScalePageLayoutView="85" workbookViewId="0">
      <selection activeCell="AC14" sqref="AC14"/>
    </sheetView>
  </sheetViews>
  <sheetFormatPr defaultColWidth="9" defaultRowHeight="15" x14ac:dyDescent="0.25"/>
  <cols>
    <col min="1" max="1" width="6.5703125" style="1" customWidth="1"/>
    <col min="2" max="2" width="4.85546875" style="1" customWidth="1"/>
    <col min="3" max="4" width="5.5703125" style="1" customWidth="1"/>
    <col min="5" max="5" width="7.7109375" style="1" customWidth="1"/>
    <col min="6" max="6" width="7.7109375" style="12" customWidth="1"/>
    <col min="7" max="7" width="9.7109375" style="1" hidden="1" customWidth="1"/>
    <col min="8" max="8" width="11.28515625" style="1" hidden="1" customWidth="1"/>
    <col min="9" max="9" width="13" style="1" hidden="1" customWidth="1"/>
    <col min="10" max="18" width="7.7109375" style="1" hidden="1" customWidth="1"/>
    <col min="19" max="26" width="0" style="1" hidden="1" customWidth="1"/>
    <col min="27" max="16384" width="9" style="1"/>
  </cols>
  <sheetData>
    <row r="1" spans="1:29" ht="25.15" customHeight="1" x14ac:dyDescent="0.25">
      <c r="A1" s="59" t="s">
        <v>3</v>
      </c>
      <c r="B1" s="59"/>
      <c r="C1" s="59"/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</row>
    <row r="2" spans="1:29" ht="24.6" customHeight="1" x14ac:dyDescent="0.25">
      <c r="A2" s="60" t="s">
        <v>4</v>
      </c>
      <c r="B2" s="63" t="s">
        <v>5</v>
      </c>
      <c r="C2" s="63" t="s">
        <v>6</v>
      </c>
      <c r="D2" s="63" t="s">
        <v>7</v>
      </c>
      <c r="E2" s="66" t="s">
        <v>8</v>
      </c>
      <c r="F2" s="66" t="s">
        <v>9</v>
      </c>
      <c r="G2" s="66" t="s">
        <v>10</v>
      </c>
      <c r="H2" s="66" t="s">
        <v>11</v>
      </c>
      <c r="I2" s="67" t="s">
        <v>12</v>
      </c>
      <c r="J2" s="56" t="s">
        <v>13</v>
      </c>
      <c r="K2" s="56"/>
      <c r="L2" s="56"/>
      <c r="M2" s="56"/>
      <c r="N2" s="56"/>
      <c r="O2" s="56"/>
      <c r="P2" s="56"/>
      <c r="Q2" s="56"/>
      <c r="R2" s="56"/>
      <c r="S2" s="56" t="s">
        <v>0</v>
      </c>
      <c r="T2" s="56"/>
      <c r="U2" s="56"/>
      <c r="V2" s="56"/>
      <c r="W2" s="56"/>
      <c r="X2" s="56"/>
      <c r="Y2" s="56"/>
      <c r="Z2" s="56"/>
      <c r="AA2" s="69" t="s">
        <v>14</v>
      </c>
      <c r="AB2" s="69" t="s">
        <v>15</v>
      </c>
      <c r="AC2" s="69" t="s">
        <v>16</v>
      </c>
    </row>
    <row r="3" spans="1:29" ht="40.5" customHeight="1" x14ac:dyDescent="0.25">
      <c r="A3" s="61"/>
      <c r="B3" s="64"/>
      <c r="C3" s="64"/>
      <c r="D3" s="64"/>
      <c r="E3" s="66"/>
      <c r="F3" s="66"/>
      <c r="G3" s="66"/>
      <c r="H3" s="66"/>
      <c r="I3" s="68"/>
      <c r="J3" s="2">
        <v>4.75</v>
      </c>
      <c r="K3" s="3">
        <v>2</v>
      </c>
      <c r="L3" s="3">
        <v>1.18</v>
      </c>
      <c r="M3" s="4">
        <v>0.6</v>
      </c>
      <c r="N3" s="2">
        <v>0.42499999999999999</v>
      </c>
      <c r="O3" s="4">
        <v>0.3</v>
      </c>
      <c r="P3" s="4">
        <v>0.15</v>
      </c>
      <c r="Q3" s="2">
        <v>7.4999999999999997E-2</v>
      </c>
      <c r="R3" s="2" t="s">
        <v>17</v>
      </c>
      <c r="S3" s="5">
        <v>4.75</v>
      </c>
      <c r="T3" s="6">
        <v>2</v>
      </c>
      <c r="U3" s="6">
        <v>1.18</v>
      </c>
      <c r="V3" s="7">
        <v>0.6</v>
      </c>
      <c r="W3" s="5">
        <v>0.42499999999999999</v>
      </c>
      <c r="X3" s="7">
        <v>0.3</v>
      </c>
      <c r="Y3" s="7">
        <v>0.15</v>
      </c>
      <c r="Z3" s="7">
        <v>7.4999999999999997E-2</v>
      </c>
      <c r="AA3" s="69"/>
      <c r="AB3" s="69"/>
      <c r="AC3" s="69"/>
    </row>
    <row r="4" spans="1:29" ht="21.6" customHeight="1" x14ac:dyDescent="0.25">
      <c r="A4" s="62"/>
      <c r="B4" s="65"/>
      <c r="C4" s="65"/>
      <c r="D4" s="65"/>
      <c r="E4" s="2" t="s">
        <v>18</v>
      </c>
      <c r="F4" s="8" t="s">
        <v>19</v>
      </c>
      <c r="G4" s="8" t="s">
        <v>18</v>
      </c>
      <c r="H4" s="8" t="s">
        <v>20</v>
      </c>
      <c r="I4" s="8" t="s">
        <v>20</v>
      </c>
      <c r="J4" s="56" t="s">
        <v>20</v>
      </c>
      <c r="K4" s="56"/>
      <c r="L4" s="56"/>
      <c r="M4" s="56"/>
      <c r="N4" s="56"/>
      <c r="O4" s="56"/>
      <c r="P4" s="56"/>
      <c r="Q4" s="56"/>
      <c r="R4" s="56"/>
      <c r="S4" s="56" t="s">
        <v>20</v>
      </c>
      <c r="T4" s="56"/>
      <c r="U4" s="56"/>
      <c r="V4" s="56"/>
      <c r="W4" s="56"/>
      <c r="X4" s="56"/>
      <c r="Y4" s="56"/>
      <c r="Z4" s="56"/>
      <c r="AA4" s="70" t="s">
        <v>21</v>
      </c>
      <c r="AB4" s="71"/>
      <c r="AC4" s="71"/>
    </row>
    <row r="5" spans="1:29" ht="30" customHeight="1" x14ac:dyDescent="0.25">
      <c r="A5" s="9">
        <v>1</v>
      </c>
      <c r="B5" s="57" t="s">
        <v>49</v>
      </c>
      <c r="C5" s="57"/>
      <c r="D5" s="58"/>
      <c r="E5" s="47" t="s">
        <v>22</v>
      </c>
      <c r="F5" s="24">
        <v>0.5</v>
      </c>
      <c r="G5" s="47" t="s">
        <v>50</v>
      </c>
      <c r="H5" s="33">
        <v>100</v>
      </c>
      <c r="I5" s="24">
        <f>H5-SUM(J5:Q5)</f>
        <v>17.310000000000002</v>
      </c>
      <c r="J5" s="24">
        <v>38.42</v>
      </c>
      <c r="K5" s="24">
        <v>4.46</v>
      </c>
      <c r="L5" s="24">
        <v>5.34</v>
      </c>
      <c r="M5" s="24">
        <v>8.39</v>
      </c>
      <c r="N5" s="24">
        <v>1.92</v>
      </c>
      <c r="O5" s="24">
        <v>4.82</v>
      </c>
      <c r="P5" s="24">
        <v>11.42</v>
      </c>
      <c r="Q5" s="24">
        <v>7.92</v>
      </c>
      <c r="R5" s="10"/>
      <c r="S5" s="11">
        <f t="shared" ref="S5:S11" si="0">((H5-(SUM(J5)))/H5)*100</f>
        <v>61.58</v>
      </c>
      <c r="T5" s="11">
        <f t="shared" ref="T5:T11" si="1">((H5-(SUM(J5:K5)))/H5)*100</f>
        <v>57.11999999999999</v>
      </c>
      <c r="U5" s="11">
        <f t="shared" ref="U5:U11" si="2">((H5-(SUM(J5:L5)))/H5)*100</f>
        <v>51.78</v>
      </c>
      <c r="V5" s="11">
        <f t="shared" ref="V5:V11" si="3">((H5-(SUM(J5:M5)))/H5)*100</f>
        <v>43.39</v>
      </c>
      <c r="W5" s="11">
        <f t="shared" ref="W5:W11" si="4">((H5-(SUM(J5:N5)))/H5)*100</f>
        <v>41.47</v>
      </c>
      <c r="X5" s="11">
        <f t="shared" ref="X5:X11" si="5">((H5-(SUM(J5:O5)))/H5)*100</f>
        <v>36.65</v>
      </c>
      <c r="Y5" s="11">
        <f t="shared" ref="Y5:Y11" si="6">((H5-(SUM(J5:P5)))/H5)*100</f>
        <v>25.230000000000004</v>
      </c>
      <c r="Z5" s="11">
        <f t="shared" ref="Z5:Z11" si="7">((H5-(SUM(J5:Q5)))/H5)*100</f>
        <v>17.310000000000002</v>
      </c>
      <c r="AA5" s="11">
        <f t="shared" ref="AA5:AA11" si="8">100-S5</f>
        <v>38.42</v>
      </c>
      <c r="AB5" s="11">
        <f t="shared" ref="AB5:AB11" si="9">S5-Z5</f>
        <v>44.269999999999996</v>
      </c>
      <c r="AC5" s="11">
        <f t="shared" ref="AC5:AC11" si="10">Z5</f>
        <v>17.310000000000002</v>
      </c>
    </row>
    <row r="6" spans="1:29" ht="30" customHeight="1" x14ac:dyDescent="0.25">
      <c r="A6" s="9">
        <v>2</v>
      </c>
      <c r="B6" s="57"/>
      <c r="C6" s="57"/>
      <c r="D6" s="58"/>
      <c r="E6" s="47" t="s">
        <v>22</v>
      </c>
      <c r="F6" s="24">
        <v>2</v>
      </c>
      <c r="G6" s="47" t="s">
        <v>51</v>
      </c>
      <c r="H6" s="33">
        <v>100</v>
      </c>
      <c r="I6" s="24">
        <f t="shared" ref="I6:I11" si="11">H6-SUM(J6:Q6)</f>
        <v>24.489999999999981</v>
      </c>
      <c r="J6" s="24">
        <v>10.14</v>
      </c>
      <c r="K6" s="24">
        <v>4.8</v>
      </c>
      <c r="L6" s="24">
        <v>6.53</v>
      </c>
      <c r="M6" s="24">
        <v>13.22</v>
      </c>
      <c r="N6" s="24">
        <v>3.02</v>
      </c>
      <c r="O6" s="24">
        <v>8.0399999999999991</v>
      </c>
      <c r="P6" s="24">
        <v>18.36</v>
      </c>
      <c r="Q6" s="24">
        <v>11.4</v>
      </c>
      <c r="R6" s="10"/>
      <c r="S6" s="11">
        <f t="shared" si="0"/>
        <v>89.86</v>
      </c>
      <c r="T6" s="11">
        <f t="shared" si="1"/>
        <v>85.06</v>
      </c>
      <c r="U6" s="11">
        <f t="shared" si="2"/>
        <v>78.53</v>
      </c>
      <c r="V6" s="11">
        <f t="shared" si="3"/>
        <v>65.31</v>
      </c>
      <c r="W6" s="11">
        <f t="shared" si="4"/>
        <v>62.289999999999992</v>
      </c>
      <c r="X6" s="11">
        <f t="shared" si="5"/>
        <v>54.25</v>
      </c>
      <c r="Y6" s="11">
        <f t="shared" si="6"/>
        <v>35.889999999999986</v>
      </c>
      <c r="Z6" s="11">
        <f t="shared" si="7"/>
        <v>24.489999999999981</v>
      </c>
      <c r="AA6" s="11">
        <f t="shared" si="8"/>
        <v>10.14</v>
      </c>
      <c r="AB6" s="11">
        <f t="shared" si="9"/>
        <v>65.370000000000019</v>
      </c>
      <c r="AC6" s="11">
        <f t="shared" si="10"/>
        <v>24.489999999999981</v>
      </c>
    </row>
    <row r="7" spans="1:29" ht="30" customHeight="1" x14ac:dyDescent="0.25">
      <c r="A7" s="9">
        <v>3</v>
      </c>
      <c r="B7" s="57"/>
      <c r="C7" s="57"/>
      <c r="D7" s="58"/>
      <c r="E7" s="47" t="s">
        <v>22</v>
      </c>
      <c r="F7" s="24">
        <v>3.5</v>
      </c>
      <c r="G7" s="47" t="s">
        <v>52</v>
      </c>
      <c r="H7" s="33">
        <v>100</v>
      </c>
      <c r="I7" s="24">
        <f t="shared" si="11"/>
        <v>24.620000000000005</v>
      </c>
      <c r="J7" s="24">
        <v>12.28</v>
      </c>
      <c r="K7" s="24">
        <v>5.67</v>
      </c>
      <c r="L7" s="24">
        <v>2.74</v>
      </c>
      <c r="M7" s="24">
        <v>9.61</v>
      </c>
      <c r="N7" s="24">
        <v>8.6199999999999992</v>
      </c>
      <c r="O7" s="24">
        <v>4.57</v>
      </c>
      <c r="P7" s="24">
        <v>21.59</v>
      </c>
      <c r="Q7" s="24">
        <v>10.3</v>
      </c>
      <c r="R7" s="10"/>
      <c r="S7" s="11">
        <f t="shared" si="0"/>
        <v>87.72</v>
      </c>
      <c r="T7" s="11">
        <f t="shared" si="1"/>
        <v>82.05</v>
      </c>
      <c r="U7" s="11">
        <f t="shared" si="2"/>
        <v>79.31</v>
      </c>
      <c r="V7" s="11">
        <f t="shared" si="3"/>
        <v>69.7</v>
      </c>
      <c r="W7" s="11">
        <f t="shared" si="4"/>
        <v>61.08</v>
      </c>
      <c r="X7" s="11">
        <f t="shared" si="5"/>
        <v>56.510000000000005</v>
      </c>
      <c r="Y7" s="11">
        <f t="shared" si="6"/>
        <v>34.92</v>
      </c>
      <c r="Z7" s="11">
        <f t="shared" si="7"/>
        <v>24.620000000000005</v>
      </c>
      <c r="AA7" s="11">
        <f t="shared" si="8"/>
        <v>12.280000000000001</v>
      </c>
      <c r="AB7" s="11">
        <f t="shared" si="9"/>
        <v>63.099999999999994</v>
      </c>
      <c r="AC7" s="11">
        <f t="shared" si="10"/>
        <v>24.620000000000005</v>
      </c>
    </row>
    <row r="8" spans="1:29" ht="30" customHeight="1" x14ac:dyDescent="0.25">
      <c r="A8" s="9">
        <v>4</v>
      </c>
      <c r="B8" s="57"/>
      <c r="C8" s="57"/>
      <c r="D8" s="58"/>
      <c r="E8" s="47" t="s">
        <v>48</v>
      </c>
      <c r="F8" s="24">
        <v>4.5</v>
      </c>
      <c r="G8" s="47" t="s">
        <v>53</v>
      </c>
      <c r="H8" s="33">
        <v>200</v>
      </c>
      <c r="I8" s="24">
        <f t="shared" si="11"/>
        <v>119.83</v>
      </c>
      <c r="J8" s="24">
        <v>3.85</v>
      </c>
      <c r="K8" s="24">
        <v>5.1100000000000003</v>
      </c>
      <c r="L8" s="24">
        <v>7.02</v>
      </c>
      <c r="M8" s="24">
        <v>8.32</v>
      </c>
      <c r="N8" s="24">
        <v>1.84</v>
      </c>
      <c r="O8" s="24">
        <v>7.15</v>
      </c>
      <c r="P8" s="24">
        <v>28.43</v>
      </c>
      <c r="Q8" s="24">
        <v>18.45</v>
      </c>
      <c r="R8" s="10"/>
      <c r="S8" s="11">
        <f t="shared" si="0"/>
        <v>98.075000000000003</v>
      </c>
      <c r="T8" s="11">
        <f t="shared" si="1"/>
        <v>95.52</v>
      </c>
      <c r="U8" s="11">
        <f t="shared" si="2"/>
        <v>92.01</v>
      </c>
      <c r="V8" s="11">
        <f t="shared" si="3"/>
        <v>87.85</v>
      </c>
      <c r="W8" s="11">
        <f t="shared" si="4"/>
        <v>86.93</v>
      </c>
      <c r="X8" s="11">
        <f t="shared" si="5"/>
        <v>83.355000000000004</v>
      </c>
      <c r="Y8" s="11">
        <f t="shared" si="6"/>
        <v>69.14</v>
      </c>
      <c r="Z8" s="11">
        <f t="shared" si="7"/>
        <v>59.914999999999999</v>
      </c>
      <c r="AA8" s="11">
        <f t="shared" si="8"/>
        <v>1.9249999999999972</v>
      </c>
      <c r="AB8" s="11">
        <f t="shared" si="9"/>
        <v>38.160000000000004</v>
      </c>
      <c r="AC8" s="11">
        <f t="shared" si="10"/>
        <v>59.914999999999999</v>
      </c>
    </row>
    <row r="9" spans="1:29" ht="30" customHeight="1" x14ac:dyDescent="0.25">
      <c r="A9" s="9">
        <v>5</v>
      </c>
      <c r="B9" s="57"/>
      <c r="C9" s="57"/>
      <c r="D9" s="58"/>
      <c r="E9" s="47" t="s">
        <v>22</v>
      </c>
      <c r="F9" s="24">
        <v>6.5</v>
      </c>
      <c r="G9" s="47" t="s">
        <v>54</v>
      </c>
      <c r="H9" s="33">
        <v>100</v>
      </c>
      <c r="I9" s="24">
        <f t="shared" si="11"/>
        <v>21.109999999999985</v>
      </c>
      <c r="J9" s="24">
        <v>2.4</v>
      </c>
      <c r="K9" s="24">
        <v>25.69</v>
      </c>
      <c r="L9" s="24">
        <v>12.25</v>
      </c>
      <c r="M9" s="24">
        <v>18.010000000000002</v>
      </c>
      <c r="N9" s="24">
        <v>9.0399999999999991</v>
      </c>
      <c r="O9" s="24">
        <v>3.44</v>
      </c>
      <c r="P9" s="24">
        <v>5.94</v>
      </c>
      <c r="Q9" s="24">
        <v>2.12</v>
      </c>
      <c r="R9" s="10"/>
      <c r="S9" s="11">
        <f t="shared" si="0"/>
        <v>97.6</v>
      </c>
      <c r="T9" s="11">
        <f t="shared" si="1"/>
        <v>71.91</v>
      </c>
      <c r="U9" s="11">
        <f t="shared" si="2"/>
        <v>59.660000000000004</v>
      </c>
      <c r="V9" s="11">
        <f t="shared" si="3"/>
        <v>41.649999999999991</v>
      </c>
      <c r="W9" s="11">
        <f t="shared" si="4"/>
        <v>32.609999999999985</v>
      </c>
      <c r="X9" s="11">
        <f>((H9-(SUM(J9:O9)))/H9)*100</f>
        <v>29.169999999999984</v>
      </c>
      <c r="Y9" s="11">
        <f t="shared" si="6"/>
        <v>23.22999999999999</v>
      </c>
      <c r="Z9" s="11">
        <f t="shared" si="7"/>
        <v>21.109999999999985</v>
      </c>
      <c r="AA9" s="11">
        <f t="shared" si="8"/>
        <v>2.4000000000000057</v>
      </c>
      <c r="AB9" s="11">
        <f t="shared" si="9"/>
        <v>76.490000000000009</v>
      </c>
      <c r="AC9" s="11">
        <f t="shared" si="10"/>
        <v>21.109999999999985</v>
      </c>
    </row>
    <row r="10" spans="1:29" s="34" customFormat="1" ht="30" customHeight="1" x14ac:dyDescent="0.25">
      <c r="A10" s="43"/>
      <c r="B10" s="57"/>
      <c r="C10" s="57"/>
      <c r="D10" s="58"/>
      <c r="E10" s="47" t="s">
        <v>22</v>
      </c>
      <c r="F10" s="44">
        <v>7.5</v>
      </c>
      <c r="G10" s="48" t="s">
        <v>55</v>
      </c>
      <c r="H10" s="42">
        <v>100</v>
      </c>
      <c r="I10" s="24">
        <f t="shared" si="11"/>
        <v>21.019999999999996</v>
      </c>
      <c r="J10" s="44">
        <v>0.25</v>
      </c>
      <c r="K10" s="44">
        <v>6.41</v>
      </c>
      <c r="L10" s="44">
        <v>19.940000000000001</v>
      </c>
      <c r="M10" s="44">
        <v>33.94</v>
      </c>
      <c r="N10" s="44">
        <v>6.1</v>
      </c>
      <c r="O10" s="44">
        <v>7.28</v>
      </c>
      <c r="P10" s="44">
        <v>3.42</v>
      </c>
      <c r="Q10" s="44">
        <v>1.64</v>
      </c>
      <c r="R10" s="45"/>
      <c r="S10" s="46">
        <f t="shared" si="0"/>
        <v>99.75</v>
      </c>
      <c r="T10" s="46">
        <f t="shared" si="1"/>
        <v>93.34</v>
      </c>
      <c r="U10" s="46">
        <f t="shared" si="2"/>
        <v>73.400000000000006</v>
      </c>
      <c r="V10" s="46">
        <f t="shared" si="3"/>
        <v>39.46</v>
      </c>
      <c r="W10" s="46">
        <f t="shared" si="4"/>
        <v>33.36</v>
      </c>
      <c r="X10" s="46">
        <f t="shared" si="5"/>
        <v>26.08</v>
      </c>
      <c r="Y10" s="46">
        <f t="shared" si="6"/>
        <v>22.659999999999997</v>
      </c>
      <c r="Z10" s="46">
        <f t="shared" si="7"/>
        <v>21.019999999999996</v>
      </c>
      <c r="AA10" s="46">
        <f t="shared" si="8"/>
        <v>0.25</v>
      </c>
      <c r="AB10" s="46">
        <f t="shared" si="9"/>
        <v>78.73</v>
      </c>
      <c r="AC10" s="46">
        <f t="shared" si="10"/>
        <v>21.019999999999996</v>
      </c>
    </row>
    <row r="11" spans="1:29" ht="30" customHeight="1" x14ac:dyDescent="0.25">
      <c r="A11" s="9">
        <v>7</v>
      </c>
      <c r="B11" s="57"/>
      <c r="C11" s="57"/>
      <c r="D11" s="58"/>
      <c r="E11" s="47" t="s">
        <v>22</v>
      </c>
      <c r="F11" s="24">
        <v>10.5</v>
      </c>
      <c r="G11" s="47" t="s">
        <v>56</v>
      </c>
      <c r="H11" s="33">
        <v>100</v>
      </c>
      <c r="I11" s="24">
        <f t="shared" si="11"/>
        <v>33.709999999999994</v>
      </c>
      <c r="J11" s="24">
        <v>0</v>
      </c>
      <c r="K11" s="24">
        <v>0.09</v>
      </c>
      <c r="L11" s="24">
        <v>0.08</v>
      </c>
      <c r="M11" s="24">
        <v>0.33</v>
      </c>
      <c r="N11" s="24">
        <v>1.27</v>
      </c>
      <c r="O11" s="24">
        <v>7.38</v>
      </c>
      <c r="P11" s="24">
        <v>44.67</v>
      </c>
      <c r="Q11" s="24">
        <v>12.47</v>
      </c>
      <c r="R11" s="10"/>
      <c r="S11" s="11">
        <f t="shared" si="0"/>
        <v>100</v>
      </c>
      <c r="T11" s="11">
        <f t="shared" si="1"/>
        <v>99.91</v>
      </c>
      <c r="U11" s="11">
        <f t="shared" si="2"/>
        <v>99.83</v>
      </c>
      <c r="V11" s="11">
        <f t="shared" si="3"/>
        <v>99.5</v>
      </c>
      <c r="W11" s="11">
        <f t="shared" si="4"/>
        <v>98.23</v>
      </c>
      <c r="X11" s="11">
        <f t="shared" si="5"/>
        <v>90.85</v>
      </c>
      <c r="Y11" s="11">
        <f t="shared" si="6"/>
        <v>46.18</v>
      </c>
      <c r="Z11" s="11">
        <f t="shared" si="7"/>
        <v>33.709999999999994</v>
      </c>
      <c r="AA11" s="11">
        <f t="shared" si="8"/>
        <v>0</v>
      </c>
      <c r="AB11" s="11">
        <f t="shared" si="9"/>
        <v>66.290000000000006</v>
      </c>
      <c r="AC11" s="11">
        <f t="shared" si="10"/>
        <v>33.709999999999994</v>
      </c>
    </row>
  </sheetData>
  <mergeCells count="21">
    <mergeCell ref="A1:AC1"/>
    <mergeCell ref="A2:A4"/>
    <mergeCell ref="B2:B4"/>
    <mergeCell ref="C2:C4"/>
    <mergeCell ref="D2:D4"/>
    <mergeCell ref="E2:E3"/>
    <mergeCell ref="F2:F3"/>
    <mergeCell ref="G2:G3"/>
    <mergeCell ref="H2:H3"/>
    <mergeCell ref="I2:I3"/>
    <mergeCell ref="AA2:AA3"/>
    <mergeCell ref="AB2:AB3"/>
    <mergeCell ref="AC2:AC3"/>
    <mergeCell ref="J4:R4"/>
    <mergeCell ref="S4:Z4"/>
    <mergeCell ref="AA4:AC4"/>
    <mergeCell ref="J2:R2"/>
    <mergeCell ref="S2:Z2"/>
    <mergeCell ref="B5:B11"/>
    <mergeCell ref="C5:C11"/>
    <mergeCell ref="D5:D11"/>
  </mergeCells>
  <printOptions horizontalCentered="1"/>
  <pageMargins left="0" right="0" top="3.937007874015748E-2" bottom="0" header="0.19685039370078741" footer="0.19685039370078741"/>
  <pageSetup paperSize="9" scale="41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B8E62-7015-4F8E-81BC-81BF82BEC584}">
  <sheetPr codeName="Sheet8"/>
  <dimension ref="A1:BA13"/>
  <sheetViews>
    <sheetView zoomScale="145" zoomScaleNormal="145" zoomScaleSheetLayoutView="145" workbookViewId="0">
      <selection activeCell="L17" sqref="L17"/>
    </sheetView>
  </sheetViews>
  <sheetFormatPr defaultRowHeight="15" x14ac:dyDescent="0.25"/>
  <cols>
    <col min="5" max="12" width="9.7109375" customWidth="1"/>
    <col min="13" max="36" width="9.7109375" bestFit="1" customWidth="1"/>
    <col min="39" max="49" width="9.7109375" bestFit="1" customWidth="1"/>
    <col min="50" max="50" width="10.5703125" bestFit="1" customWidth="1"/>
  </cols>
  <sheetData>
    <row r="1" spans="1:53" x14ac:dyDescent="0.25">
      <c r="A1" s="80" t="s">
        <v>4</v>
      </c>
      <c r="B1" s="83" t="s">
        <v>5</v>
      </c>
      <c r="C1" s="83" t="s">
        <v>9</v>
      </c>
      <c r="D1" s="80" t="s">
        <v>8</v>
      </c>
      <c r="E1" s="80" t="s">
        <v>23</v>
      </c>
      <c r="F1" s="80" t="s">
        <v>40</v>
      </c>
      <c r="G1" s="80" t="s">
        <v>24</v>
      </c>
      <c r="H1" s="80" t="s">
        <v>25</v>
      </c>
      <c r="I1" s="76" t="s">
        <v>34</v>
      </c>
      <c r="J1" s="80" t="s">
        <v>35</v>
      </c>
      <c r="K1" s="80" t="s">
        <v>26</v>
      </c>
      <c r="L1" s="80" t="s">
        <v>27</v>
      </c>
      <c r="M1" s="78" t="s">
        <v>28</v>
      </c>
      <c r="N1" s="79"/>
      <c r="O1" s="79"/>
      <c r="P1" s="79"/>
      <c r="Q1" s="79"/>
      <c r="R1" s="79"/>
      <c r="S1" s="79"/>
      <c r="T1" s="79"/>
      <c r="U1" s="79"/>
      <c r="V1" s="79"/>
      <c r="W1" s="79"/>
      <c r="X1" s="79"/>
      <c r="Y1" s="79"/>
      <c r="Z1" s="78" t="s">
        <v>29</v>
      </c>
      <c r="AA1" s="79"/>
      <c r="AB1" s="79"/>
      <c r="AC1" s="79"/>
      <c r="AD1" s="79"/>
      <c r="AE1" s="79"/>
      <c r="AF1" s="79"/>
      <c r="AG1" s="79"/>
      <c r="AH1" s="79"/>
      <c r="AI1" s="79"/>
      <c r="AJ1" s="79"/>
      <c r="AK1" s="79"/>
      <c r="AL1" s="79"/>
      <c r="AM1" s="79" t="s">
        <v>30</v>
      </c>
      <c r="AN1" s="79"/>
      <c r="AO1" s="79"/>
      <c r="AP1" s="79"/>
      <c r="AQ1" s="79"/>
      <c r="AR1" s="79"/>
      <c r="AS1" s="79"/>
      <c r="AT1" s="79"/>
      <c r="AU1" s="79"/>
      <c r="AV1" s="79"/>
      <c r="AW1" s="79"/>
      <c r="AX1" s="79"/>
      <c r="AY1" s="79"/>
      <c r="AZ1" s="22"/>
      <c r="BA1" s="22"/>
    </row>
    <row r="2" spans="1:53" x14ac:dyDescent="0.25">
      <c r="A2" s="81"/>
      <c r="B2" s="84"/>
      <c r="C2" s="84"/>
      <c r="D2" s="81"/>
      <c r="E2" s="81"/>
      <c r="F2" s="81"/>
      <c r="G2" s="81"/>
      <c r="H2" s="81"/>
      <c r="I2" s="76"/>
      <c r="J2" s="81"/>
      <c r="K2" s="81"/>
      <c r="L2" s="81"/>
      <c r="M2" s="77">
        <v>0.5</v>
      </c>
      <c r="N2" s="72">
        <v>1</v>
      </c>
      <c r="O2" s="72">
        <v>2</v>
      </c>
      <c r="P2" s="72">
        <v>4</v>
      </c>
      <c r="Q2" s="72">
        <v>8</v>
      </c>
      <c r="R2" s="72">
        <v>15</v>
      </c>
      <c r="S2" s="72">
        <v>30</v>
      </c>
      <c r="T2" s="72">
        <v>60</v>
      </c>
      <c r="U2" s="72">
        <v>120</v>
      </c>
      <c r="V2" s="72">
        <v>240</v>
      </c>
      <c r="W2" s="72">
        <v>480</v>
      </c>
      <c r="X2" s="72">
        <v>960</v>
      </c>
      <c r="Y2" s="72">
        <v>1440</v>
      </c>
      <c r="Z2" s="77">
        <v>0.5</v>
      </c>
      <c r="AA2" s="72">
        <v>1</v>
      </c>
      <c r="AB2" s="72">
        <v>2</v>
      </c>
      <c r="AC2" s="72">
        <v>4</v>
      </c>
      <c r="AD2" s="72">
        <v>8</v>
      </c>
      <c r="AE2" s="72">
        <v>15</v>
      </c>
      <c r="AF2" s="72">
        <v>30</v>
      </c>
      <c r="AG2" s="72">
        <v>60</v>
      </c>
      <c r="AH2" s="72">
        <v>120</v>
      </c>
      <c r="AI2" s="72">
        <v>240</v>
      </c>
      <c r="AJ2" s="72">
        <v>480</v>
      </c>
      <c r="AK2" s="72">
        <v>960</v>
      </c>
      <c r="AL2" s="72">
        <v>1440</v>
      </c>
      <c r="AM2" s="77">
        <v>0.5</v>
      </c>
      <c r="AN2" s="72">
        <v>1</v>
      </c>
      <c r="AO2" s="72">
        <v>2</v>
      </c>
      <c r="AP2" s="72">
        <v>4</v>
      </c>
      <c r="AQ2" s="72">
        <v>8</v>
      </c>
      <c r="AR2" s="72">
        <v>15</v>
      </c>
      <c r="AS2" s="72">
        <v>30</v>
      </c>
      <c r="AT2" s="72">
        <v>60</v>
      </c>
      <c r="AU2" s="72">
        <v>120</v>
      </c>
      <c r="AV2" s="72">
        <v>240</v>
      </c>
      <c r="AW2" s="72">
        <v>480</v>
      </c>
      <c r="AX2" s="72">
        <v>960</v>
      </c>
      <c r="AY2" s="72">
        <v>1440</v>
      </c>
      <c r="AZ2" s="22"/>
      <c r="BA2" s="22"/>
    </row>
    <row r="3" spans="1:53" x14ac:dyDescent="0.25">
      <c r="A3" s="81"/>
      <c r="B3" s="84"/>
      <c r="C3" s="84"/>
      <c r="D3" s="82"/>
      <c r="E3" s="82"/>
      <c r="F3" s="82"/>
      <c r="G3" s="82"/>
      <c r="H3" s="82"/>
      <c r="I3" s="76"/>
      <c r="J3" s="82"/>
      <c r="K3" s="82"/>
      <c r="L3" s="82"/>
      <c r="M3" s="77"/>
      <c r="N3" s="72"/>
      <c r="O3" s="72"/>
      <c r="P3" s="72"/>
      <c r="Q3" s="72"/>
      <c r="R3" s="72"/>
      <c r="S3" s="72"/>
      <c r="T3" s="72"/>
      <c r="U3" s="72"/>
      <c r="V3" s="72"/>
      <c r="W3" s="72"/>
      <c r="X3" s="72"/>
      <c r="Y3" s="72"/>
      <c r="Z3" s="77"/>
      <c r="AA3" s="72"/>
      <c r="AB3" s="72"/>
      <c r="AC3" s="72"/>
      <c r="AD3" s="72"/>
      <c r="AE3" s="72"/>
      <c r="AF3" s="72"/>
      <c r="AG3" s="72"/>
      <c r="AH3" s="72"/>
      <c r="AI3" s="72"/>
      <c r="AJ3" s="72"/>
      <c r="AK3" s="72"/>
      <c r="AL3" s="72"/>
      <c r="AM3" s="77"/>
      <c r="AN3" s="72"/>
      <c r="AO3" s="72"/>
      <c r="AP3" s="72"/>
      <c r="AQ3" s="72"/>
      <c r="AR3" s="72"/>
      <c r="AS3" s="72"/>
      <c r="AT3" s="72"/>
      <c r="AU3" s="72"/>
      <c r="AV3" s="72"/>
      <c r="AW3" s="72"/>
      <c r="AX3" s="72"/>
      <c r="AY3" s="72"/>
      <c r="AZ3" s="22"/>
      <c r="BA3" s="22"/>
    </row>
    <row r="4" spans="1:53" x14ac:dyDescent="0.25">
      <c r="A4" s="82"/>
      <c r="B4" s="85"/>
      <c r="C4" s="85"/>
      <c r="D4" s="13" t="s">
        <v>18</v>
      </c>
      <c r="E4" s="13" t="s">
        <v>31</v>
      </c>
      <c r="F4" s="13" t="s">
        <v>39</v>
      </c>
      <c r="G4" s="13" t="s">
        <v>18</v>
      </c>
      <c r="H4" s="13" t="s">
        <v>18</v>
      </c>
      <c r="I4" s="14" t="s">
        <v>18</v>
      </c>
      <c r="J4" s="15"/>
      <c r="K4" s="15" t="s">
        <v>18</v>
      </c>
      <c r="L4" s="15" t="s">
        <v>18</v>
      </c>
      <c r="M4" s="73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5"/>
      <c r="Z4" s="73" t="s">
        <v>32</v>
      </c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5"/>
      <c r="AM4" s="76" t="s">
        <v>33</v>
      </c>
      <c r="AN4" s="76"/>
      <c r="AO4" s="76"/>
      <c r="AP4" s="76"/>
      <c r="AQ4" s="76"/>
      <c r="AR4" s="76"/>
      <c r="AS4" s="76"/>
      <c r="AT4" s="76"/>
      <c r="AU4" s="76"/>
      <c r="AV4" s="76"/>
      <c r="AW4" s="76"/>
      <c r="AX4" s="76"/>
      <c r="AY4" s="76"/>
      <c r="AZ4" s="20"/>
      <c r="BA4" s="20"/>
    </row>
    <row r="5" spans="1:53" x14ac:dyDescent="0.25">
      <c r="A5" s="27">
        <v>1</v>
      </c>
      <c r="B5" s="27" t="str">
        <f>GSD!B5</f>
        <v>SHBH-05</v>
      </c>
      <c r="C5" s="32">
        <f>GSD!F5</f>
        <v>0.5</v>
      </c>
      <c r="D5" s="27" t="str">
        <f>GSD!E5</f>
        <v>SPT</v>
      </c>
      <c r="E5" s="28">
        <v>27</v>
      </c>
      <c r="F5" s="29">
        <f>(0.000000002615*E5^4) - (0.00000030607*E5^3) + (0.000016427499*E5^2) - (0.000618546309*E5) + 0.017919182437</f>
        <v>8.5594212700000009E-3</v>
      </c>
      <c r="G5" s="30"/>
      <c r="H5" s="27">
        <v>5.0000000000000001E-4</v>
      </c>
      <c r="I5" s="27">
        <v>1</v>
      </c>
      <c r="J5" s="27">
        <v>2</v>
      </c>
      <c r="K5" s="28">
        <f>(E5-27)*0.25</f>
        <v>0</v>
      </c>
      <c r="L5" s="27">
        <v>0.3</v>
      </c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1"/>
      <c r="AA5" s="31"/>
      <c r="AB5" s="31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2"/>
      <c r="AN5" s="32"/>
      <c r="AO5" s="32"/>
      <c r="AP5" s="32"/>
      <c r="AQ5" s="32"/>
      <c r="AR5" s="32"/>
      <c r="AS5" s="32"/>
      <c r="AT5" s="32"/>
      <c r="AU5" s="32"/>
      <c r="AV5" s="32"/>
      <c r="AW5" s="32"/>
      <c r="AX5" s="32"/>
      <c r="AY5" s="32"/>
      <c r="AZ5" s="21"/>
      <c r="BA5" s="21"/>
    </row>
    <row r="6" spans="1:53" x14ac:dyDescent="0.25">
      <c r="A6" s="27">
        <v>2</v>
      </c>
      <c r="B6" s="27" t="str">
        <f>B5</f>
        <v>SHBH-05</v>
      </c>
      <c r="C6" s="32">
        <f>GSD!F6</f>
        <v>2</v>
      </c>
      <c r="D6" s="27" t="str">
        <f>GSD!E6</f>
        <v>SPT</v>
      </c>
      <c r="E6" s="28">
        <v>27</v>
      </c>
      <c r="F6" s="29">
        <f t="shared" ref="F6:F11" si="0">(0.000000002615*E6^4) - (0.00000030607*E6^3) + (0.000016427499*E6^2) - (0.000618546309*E6) + 0.017919182437</f>
        <v>8.5594212700000009E-3</v>
      </c>
      <c r="G6" s="30"/>
      <c r="H6" s="27">
        <v>5.0000000000000001E-4</v>
      </c>
      <c r="I6" s="27">
        <v>1</v>
      </c>
      <c r="J6" s="27">
        <v>2</v>
      </c>
      <c r="K6" s="28">
        <f t="shared" ref="K6:K11" si="1">(E6-27)*0.25</f>
        <v>0</v>
      </c>
      <c r="L6" s="27">
        <v>0.3</v>
      </c>
      <c r="M6" s="30"/>
      <c r="N6" s="30"/>
      <c r="O6" s="30"/>
      <c r="P6" s="30"/>
      <c r="Q6" s="30"/>
      <c r="R6" s="30"/>
      <c r="S6" s="30"/>
      <c r="T6" s="30"/>
      <c r="U6" s="30"/>
      <c r="V6" s="30"/>
      <c r="W6" s="30"/>
      <c r="X6" s="30"/>
      <c r="Y6" s="30"/>
      <c r="Z6" s="31"/>
      <c r="AA6" s="31"/>
      <c r="AB6" s="31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2"/>
      <c r="AN6" s="32"/>
      <c r="AO6" s="32"/>
      <c r="AP6" s="32"/>
      <c r="AQ6" s="32"/>
      <c r="AR6" s="32"/>
      <c r="AS6" s="32"/>
      <c r="AT6" s="32"/>
      <c r="AU6" s="32"/>
      <c r="AV6" s="32"/>
      <c r="AW6" s="32"/>
      <c r="AX6" s="32"/>
      <c r="AY6" s="32"/>
      <c r="AZ6" s="21"/>
      <c r="BA6" s="21"/>
    </row>
    <row r="7" spans="1:53" x14ac:dyDescent="0.25">
      <c r="A7" s="27">
        <v>3</v>
      </c>
      <c r="B7" s="27" t="str">
        <f t="shared" ref="B7:B11" si="2">B6</f>
        <v>SHBH-05</v>
      </c>
      <c r="C7" s="32">
        <f>GSD!F7</f>
        <v>3.5</v>
      </c>
      <c r="D7" s="27" t="str">
        <f>GSD!E7</f>
        <v>SPT</v>
      </c>
      <c r="E7" s="28">
        <v>27</v>
      </c>
      <c r="F7" s="29">
        <f t="shared" si="0"/>
        <v>8.5594212700000009E-3</v>
      </c>
      <c r="G7" s="30"/>
      <c r="H7" s="27">
        <v>5.0000000000000001E-4</v>
      </c>
      <c r="I7" s="27">
        <v>1</v>
      </c>
      <c r="J7" s="27">
        <v>2</v>
      </c>
      <c r="K7" s="28">
        <f t="shared" si="1"/>
        <v>0</v>
      </c>
      <c r="L7" s="27">
        <v>0.3</v>
      </c>
      <c r="M7" s="30"/>
      <c r="N7" s="30"/>
      <c r="O7" s="30"/>
      <c r="P7" s="30"/>
      <c r="Q7" s="30"/>
      <c r="R7" s="30"/>
      <c r="S7" s="30"/>
      <c r="T7" s="30"/>
      <c r="U7" s="30"/>
      <c r="V7" s="30"/>
      <c r="W7" s="30"/>
      <c r="X7" s="30"/>
      <c r="Y7" s="30"/>
      <c r="Z7" s="31"/>
      <c r="AA7" s="31"/>
      <c r="AB7" s="31"/>
      <c r="AC7" s="31"/>
      <c r="AD7" s="31"/>
      <c r="AE7" s="31"/>
      <c r="AF7" s="31"/>
      <c r="AG7" s="31"/>
      <c r="AH7" s="31"/>
      <c r="AI7" s="31"/>
      <c r="AJ7" s="31"/>
      <c r="AK7" s="31"/>
      <c r="AL7" s="31"/>
      <c r="AM7" s="32"/>
      <c r="AN7" s="32"/>
      <c r="AO7" s="32"/>
      <c r="AP7" s="32"/>
      <c r="AQ7" s="32"/>
      <c r="AR7" s="32"/>
      <c r="AS7" s="32"/>
      <c r="AT7" s="32"/>
      <c r="AU7" s="32"/>
      <c r="AV7" s="32"/>
      <c r="AW7" s="32"/>
      <c r="AX7" s="32"/>
      <c r="AY7" s="32"/>
      <c r="AZ7" s="21"/>
      <c r="BA7" s="21"/>
    </row>
    <row r="8" spans="1:53" x14ac:dyDescent="0.25">
      <c r="A8" s="27">
        <v>4</v>
      </c>
      <c r="B8" s="27" t="str">
        <f t="shared" si="2"/>
        <v>SHBH-05</v>
      </c>
      <c r="C8" s="32">
        <f>GSD!F8</f>
        <v>4.5</v>
      </c>
      <c r="D8" s="27" t="str">
        <f>GSD!E8</f>
        <v>UDS</v>
      </c>
      <c r="E8" s="28">
        <v>27</v>
      </c>
      <c r="F8" s="29">
        <f t="shared" si="0"/>
        <v>8.5594212700000009E-3</v>
      </c>
      <c r="G8" s="30"/>
      <c r="H8" s="27">
        <v>5.0000000000000001E-4</v>
      </c>
      <c r="I8" s="27">
        <v>1</v>
      </c>
      <c r="J8" s="27">
        <v>2</v>
      </c>
      <c r="K8" s="28">
        <f t="shared" si="1"/>
        <v>0</v>
      </c>
      <c r="L8" s="27">
        <v>0.3</v>
      </c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1"/>
      <c r="AA8" s="31"/>
      <c r="AB8" s="31"/>
      <c r="AC8" s="31"/>
      <c r="AD8" s="31"/>
      <c r="AE8" s="31"/>
      <c r="AF8" s="31"/>
      <c r="AG8" s="31"/>
      <c r="AH8" s="31"/>
      <c r="AI8" s="31"/>
      <c r="AJ8" s="31"/>
      <c r="AK8" s="31"/>
      <c r="AL8" s="31"/>
      <c r="AM8" s="32"/>
      <c r="AN8" s="32"/>
      <c r="AO8" s="32"/>
      <c r="AP8" s="32"/>
      <c r="AQ8" s="32"/>
      <c r="AR8" s="32"/>
      <c r="AS8" s="32"/>
      <c r="AT8" s="32"/>
      <c r="AU8" s="32"/>
      <c r="AV8" s="32"/>
      <c r="AW8" s="32"/>
      <c r="AX8" s="32"/>
      <c r="AY8" s="32"/>
      <c r="AZ8" s="21"/>
      <c r="BA8" s="21"/>
    </row>
    <row r="9" spans="1:53" x14ac:dyDescent="0.25">
      <c r="A9" s="27">
        <v>5</v>
      </c>
      <c r="B9" s="27" t="str">
        <f t="shared" si="2"/>
        <v>SHBH-05</v>
      </c>
      <c r="C9" s="32">
        <f>GSD!F9</f>
        <v>6.5</v>
      </c>
      <c r="D9" s="27" t="str">
        <f>GSD!E9</f>
        <v>SPT</v>
      </c>
      <c r="E9" s="28">
        <v>27</v>
      </c>
      <c r="F9" s="29">
        <f t="shared" si="0"/>
        <v>8.5594212700000009E-3</v>
      </c>
      <c r="G9" s="30"/>
      <c r="H9" s="27">
        <v>5.0000000000000001E-4</v>
      </c>
      <c r="I9" s="27">
        <v>1</v>
      </c>
      <c r="J9" s="27">
        <v>2</v>
      </c>
      <c r="K9" s="28">
        <f t="shared" si="1"/>
        <v>0</v>
      </c>
      <c r="L9" s="27">
        <v>0.3</v>
      </c>
      <c r="M9" s="30"/>
      <c r="N9" s="30"/>
      <c r="O9" s="30"/>
      <c r="P9" s="30"/>
      <c r="Q9" s="30"/>
      <c r="R9" s="30"/>
      <c r="S9" s="30"/>
      <c r="T9" s="30"/>
      <c r="U9" s="30"/>
      <c r="V9" s="30"/>
      <c r="W9" s="30"/>
      <c r="X9" s="30"/>
      <c r="Y9" s="30"/>
      <c r="Z9" s="31"/>
      <c r="AA9" s="31"/>
      <c r="AB9" s="31"/>
      <c r="AC9" s="31"/>
      <c r="AD9" s="31"/>
      <c r="AE9" s="31"/>
      <c r="AF9" s="31"/>
      <c r="AG9" s="31"/>
      <c r="AH9" s="31"/>
      <c r="AI9" s="31"/>
      <c r="AJ9" s="31"/>
      <c r="AK9" s="31"/>
      <c r="AL9" s="31"/>
      <c r="AM9" s="32"/>
      <c r="AN9" s="32"/>
      <c r="AO9" s="32"/>
      <c r="AP9" s="32"/>
      <c r="AQ9" s="32"/>
      <c r="AR9" s="32"/>
      <c r="AS9" s="32"/>
      <c r="AT9" s="32"/>
      <c r="AU9" s="32"/>
      <c r="AV9" s="32"/>
      <c r="AW9" s="32"/>
      <c r="AX9" s="32"/>
      <c r="AY9" s="32"/>
      <c r="AZ9" s="21"/>
      <c r="BA9" s="21"/>
    </row>
    <row r="10" spans="1:53" s="41" customFormat="1" x14ac:dyDescent="0.25">
      <c r="A10" s="27">
        <v>6</v>
      </c>
      <c r="B10" s="27" t="str">
        <f t="shared" si="2"/>
        <v>SHBH-05</v>
      </c>
      <c r="C10" s="36">
        <f>GSD!F10</f>
        <v>7.5</v>
      </c>
      <c r="D10" s="35" t="str">
        <f>GSD!E10</f>
        <v>SPT</v>
      </c>
      <c r="E10" s="36">
        <v>27</v>
      </c>
      <c r="F10" s="37">
        <f t="shared" si="0"/>
        <v>8.5594212700000009E-3</v>
      </c>
      <c r="G10" s="38"/>
      <c r="H10" s="35">
        <v>5.0000000000000001E-4</v>
      </c>
      <c r="I10" s="35">
        <v>1</v>
      </c>
      <c r="J10" s="35">
        <v>2</v>
      </c>
      <c r="K10" s="36">
        <f t="shared" si="1"/>
        <v>0</v>
      </c>
      <c r="L10" s="35">
        <v>0.3</v>
      </c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6"/>
      <c r="AN10" s="36"/>
      <c r="AO10" s="36"/>
      <c r="AP10" s="36"/>
      <c r="AQ10" s="36"/>
      <c r="AR10" s="36"/>
      <c r="AS10" s="36"/>
      <c r="AT10" s="36"/>
      <c r="AU10" s="36"/>
      <c r="AV10" s="36"/>
      <c r="AW10" s="36"/>
      <c r="AX10" s="36"/>
      <c r="AY10" s="36"/>
      <c r="AZ10" s="40"/>
      <c r="BA10" s="40"/>
    </row>
    <row r="11" spans="1:53" s="41" customFormat="1" x14ac:dyDescent="0.25">
      <c r="A11" s="27">
        <v>7</v>
      </c>
      <c r="B11" s="27" t="str">
        <f t="shared" si="2"/>
        <v>SHBH-05</v>
      </c>
      <c r="C11" s="36">
        <f>GSD!F11</f>
        <v>10.5</v>
      </c>
      <c r="D11" s="35" t="str">
        <f>GSD!E11</f>
        <v>SPT</v>
      </c>
      <c r="E11" s="36">
        <v>27</v>
      </c>
      <c r="F11" s="37">
        <f t="shared" si="0"/>
        <v>8.5594212700000009E-3</v>
      </c>
      <c r="G11" s="38"/>
      <c r="H11" s="35">
        <v>5.0000000000000001E-4</v>
      </c>
      <c r="I11" s="35">
        <v>1</v>
      </c>
      <c r="J11" s="35">
        <v>2</v>
      </c>
      <c r="K11" s="36">
        <f t="shared" si="1"/>
        <v>0</v>
      </c>
      <c r="L11" s="35">
        <v>0.3</v>
      </c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6"/>
      <c r="AN11" s="36"/>
      <c r="AO11" s="36"/>
      <c r="AP11" s="36"/>
      <c r="AQ11" s="36"/>
      <c r="AR11" s="36"/>
      <c r="AS11" s="36"/>
      <c r="AT11" s="36"/>
      <c r="AU11" s="36"/>
      <c r="AV11" s="36"/>
      <c r="AW11" s="36"/>
      <c r="AX11" s="36"/>
      <c r="AY11" s="36"/>
      <c r="AZ11" s="40"/>
      <c r="BA11" s="40"/>
    </row>
    <row r="12" spans="1:53" s="41" customFormat="1" x14ac:dyDescent="0.25">
      <c r="A12" s="27"/>
      <c r="B12" s="27"/>
      <c r="C12" s="36"/>
      <c r="D12" s="35"/>
      <c r="E12" s="36"/>
      <c r="F12" s="37"/>
      <c r="G12" s="38"/>
      <c r="H12" s="35"/>
      <c r="I12" s="35"/>
      <c r="J12" s="35"/>
      <c r="K12" s="36"/>
      <c r="L12" s="35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6"/>
      <c r="AN12" s="36"/>
      <c r="AO12" s="36"/>
      <c r="AP12" s="36"/>
      <c r="AQ12" s="36"/>
      <c r="AR12" s="36"/>
      <c r="AS12" s="36"/>
      <c r="AT12" s="36"/>
      <c r="AU12" s="36"/>
      <c r="AV12" s="36"/>
      <c r="AW12" s="36"/>
      <c r="AX12" s="36"/>
      <c r="AY12" s="36"/>
      <c r="AZ12" s="40"/>
      <c r="BA12" s="40"/>
    </row>
    <row r="13" spans="1:53" s="41" customFormat="1" x14ac:dyDescent="0.25">
      <c r="A13" s="27"/>
      <c r="B13" s="27"/>
      <c r="C13" s="36"/>
      <c r="D13" s="35"/>
      <c r="E13" s="36"/>
      <c r="F13" s="37"/>
      <c r="G13" s="38"/>
      <c r="H13" s="35"/>
      <c r="I13" s="35"/>
      <c r="J13" s="35"/>
      <c r="K13" s="36"/>
      <c r="L13" s="35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6"/>
      <c r="AN13" s="36"/>
      <c r="AO13" s="36"/>
      <c r="AP13" s="36"/>
      <c r="AQ13" s="36"/>
      <c r="AR13" s="36"/>
      <c r="AS13" s="36"/>
      <c r="AT13" s="36"/>
      <c r="AU13" s="36"/>
      <c r="AV13" s="36"/>
      <c r="AW13" s="36"/>
      <c r="AX13" s="36"/>
      <c r="AY13" s="36"/>
      <c r="AZ13" s="40"/>
      <c r="BA13" s="40"/>
    </row>
  </sheetData>
  <mergeCells count="57">
    <mergeCell ref="G1:G3"/>
    <mergeCell ref="F1:F3"/>
    <mergeCell ref="A1:A4"/>
    <mergeCell ref="B1:B4"/>
    <mergeCell ref="C1:C4"/>
    <mergeCell ref="D1:D3"/>
    <mergeCell ref="E1:E3"/>
    <mergeCell ref="R2:R3"/>
    <mergeCell ref="M1:Y1"/>
    <mergeCell ref="Z1:AL1"/>
    <mergeCell ref="AM1:AY1"/>
    <mergeCell ref="H1:H3"/>
    <mergeCell ref="I1:I3"/>
    <mergeCell ref="J1:J3"/>
    <mergeCell ref="K1:K3"/>
    <mergeCell ref="L1:L3"/>
    <mergeCell ref="M2:M3"/>
    <mergeCell ref="N2:N3"/>
    <mergeCell ref="O2:O3"/>
    <mergeCell ref="P2:P3"/>
    <mergeCell ref="Q2:Q3"/>
    <mergeCell ref="AD2:AD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O2:AO3"/>
    <mergeCell ref="AP2:AP3"/>
    <mergeCell ref="AE2:AE3"/>
    <mergeCell ref="AF2:AF3"/>
    <mergeCell ref="AG2:AG3"/>
    <mergeCell ref="AH2:AH3"/>
    <mergeCell ref="AI2:AI3"/>
    <mergeCell ref="AJ2:AJ3"/>
    <mergeCell ref="AW2:AW3"/>
    <mergeCell ref="AX2:AX3"/>
    <mergeCell ref="AY2:AY3"/>
    <mergeCell ref="M4:Y4"/>
    <mergeCell ref="Z4:AL4"/>
    <mergeCell ref="AM4:AY4"/>
    <mergeCell ref="AQ2:AQ3"/>
    <mergeCell ref="AR2:AR3"/>
    <mergeCell ref="AS2:AS3"/>
    <mergeCell ref="AT2:AT3"/>
    <mergeCell ref="AU2:AU3"/>
    <mergeCell ref="AV2:AV3"/>
    <mergeCell ref="AK2:AK3"/>
    <mergeCell ref="AL2:AL3"/>
    <mergeCell ref="AM2:AM3"/>
    <mergeCell ref="AN2:AN3"/>
  </mergeCells>
  <phoneticPr fontId="10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1841E-BCF8-4344-B2A8-353238E3DF02}">
  <sheetPr codeName="Sheet1"/>
  <dimension ref="A1:F41"/>
  <sheetViews>
    <sheetView zoomScale="145" zoomScaleNormal="145" workbookViewId="0">
      <selection activeCell="C27" sqref="C27"/>
    </sheetView>
  </sheetViews>
  <sheetFormatPr defaultRowHeight="15" x14ac:dyDescent="0.25"/>
  <sheetData>
    <row r="1" spans="1:6" ht="30" x14ac:dyDescent="0.25">
      <c r="A1" s="17" t="s">
        <v>36</v>
      </c>
      <c r="B1" s="17" t="s">
        <v>37</v>
      </c>
      <c r="C1" s="17" t="s">
        <v>38</v>
      </c>
    </row>
    <row r="2" spans="1:6" x14ac:dyDescent="0.25">
      <c r="A2" s="16">
        <v>0</v>
      </c>
      <c r="B2" s="16">
        <v>17.940000000000001</v>
      </c>
      <c r="C2" s="16">
        <v>1.7940000000000001E-2</v>
      </c>
      <c r="D2" s="18">
        <f>-((10^-7)*(A2^3))+((10^-5)*(A2^2))-(0.0006*A2)+0.0178</f>
        <v>1.78E-2</v>
      </c>
      <c r="E2">
        <f>C2-D2</f>
        <v>1.4000000000000123E-4</v>
      </c>
      <c r="F2" s="19">
        <f>E2/D2</f>
        <v>7.8651685393259126E-3</v>
      </c>
    </row>
    <row r="3" spans="1:6" x14ac:dyDescent="0.25">
      <c r="A3" s="16">
        <v>1</v>
      </c>
      <c r="B3" s="16">
        <v>17.32</v>
      </c>
      <c r="C3" s="16">
        <v>1.7319999999999999E-2</v>
      </c>
      <c r="D3" s="18">
        <f t="shared" ref="D3:D41" si="0">-((10^-7)*(A3^3))+((10^-5)*(A3^2))-(0.0006*A3)+0.0178</f>
        <v>1.72099E-2</v>
      </c>
      <c r="E3">
        <f t="shared" ref="E3:E41" si="1">C3-D3</f>
        <v>1.1009999999999839E-4</v>
      </c>
      <c r="F3" s="19">
        <f t="shared" ref="F3:F41" si="2">E3/D3</f>
        <v>6.3974805199332012E-3</v>
      </c>
    </row>
    <row r="4" spans="1:6" x14ac:dyDescent="0.25">
      <c r="A4" s="16">
        <v>2</v>
      </c>
      <c r="B4" s="16">
        <v>16.739999999999998</v>
      </c>
      <c r="C4" s="16">
        <v>1.6740000000000001E-2</v>
      </c>
      <c r="D4" s="18">
        <f t="shared" si="0"/>
        <v>1.66392E-2</v>
      </c>
      <c r="E4">
        <f t="shared" si="1"/>
        <v>1.0080000000000158E-4</v>
      </c>
      <c r="F4" s="19">
        <f t="shared" si="2"/>
        <v>6.0579835569018695E-3</v>
      </c>
    </row>
    <row r="5" spans="1:6" x14ac:dyDescent="0.25">
      <c r="A5" s="16">
        <v>3</v>
      </c>
      <c r="B5" s="16">
        <v>16.190000000000001</v>
      </c>
      <c r="C5" s="16">
        <v>1.619E-2</v>
      </c>
      <c r="D5" s="18">
        <f t="shared" si="0"/>
        <v>1.6087299999999999E-2</v>
      </c>
      <c r="E5">
        <f t="shared" si="1"/>
        <v>1.0270000000000071E-4</v>
      </c>
      <c r="F5" s="19">
        <f t="shared" si="2"/>
        <v>6.3839177487832457E-3</v>
      </c>
    </row>
    <row r="6" spans="1:6" x14ac:dyDescent="0.25">
      <c r="A6" s="16">
        <v>4</v>
      </c>
      <c r="B6" s="16">
        <v>15.68</v>
      </c>
      <c r="C6" s="16">
        <v>1.5679999999999999E-2</v>
      </c>
      <c r="D6" s="18">
        <f t="shared" si="0"/>
        <v>1.5553600000000001E-2</v>
      </c>
      <c r="E6">
        <f t="shared" si="1"/>
        <v>1.2639999999999874E-4</v>
      </c>
      <c r="F6" s="19">
        <f t="shared" si="2"/>
        <v>8.1267359325171498E-3</v>
      </c>
    </row>
    <row r="7" spans="1:6" x14ac:dyDescent="0.25">
      <c r="A7" s="16">
        <v>5</v>
      </c>
      <c r="B7" s="16">
        <v>15.19</v>
      </c>
      <c r="C7" s="16">
        <v>1.519E-2</v>
      </c>
      <c r="D7" s="18">
        <f t="shared" si="0"/>
        <v>1.5037500000000001E-2</v>
      </c>
      <c r="E7">
        <f t="shared" si="1"/>
        <v>1.5249999999999986E-4</v>
      </c>
      <c r="F7" s="19">
        <f t="shared" si="2"/>
        <v>1.0141313383208636E-2</v>
      </c>
    </row>
    <row r="8" spans="1:6" x14ac:dyDescent="0.25">
      <c r="A8" s="16">
        <v>6</v>
      </c>
      <c r="B8" s="16">
        <v>14.73</v>
      </c>
      <c r="C8" s="16">
        <v>1.473E-2</v>
      </c>
      <c r="D8" s="18">
        <f t="shared" si="0"/>
        <v>1.45384E-2</v>
      </c>
      <c r="E8">
        <f t="shared" si="1"/>
        <v>1.916000000000001E-4</v>
      </c>
      <c r="F8" s="19">
        <f t="shared" si="2"/>
        <v>1.3178891762504821E-2</v>
      </c>
    </row>
    <row r="9" spans="1:6" x14ac:dyDescent="0.25">
      <c r="A9" s="16">
        <v>7</v>
      </c>
      <c r="B9" s="16">
        <v>14.29</v>
      </c>
      <c r="C9" s="16">
        <v>1.4290000000000001E-2</v>
      </c>
      <c r="D9" s="18">
        <f t="shared" si="0"/>
        <v>1.4055700000000001E-2</v>
      </c>
      <c r="E9">
        <f t="shared" si="1"/>
        <v>2.3429999999999979E-4</v>
      </c>
      <c r="F9" s="19">
        <f t="shared" si="2"/>
        <v>1.6669393911366903E-2</v>
      </c>
    </row>
    <row r="10" spans="1:6" x14ac:dyDescent="0.25">
      <c r="A10" s="16">
        <v>8</v>
      </c>
      <c r="B10" s="16">
        <v>13.87</v>
      </c>
      <c r="C10" s="16">
        <v>1.387E-2</v>
      </c>
      <c r="D10" s="18">
        <f t="shared" si="0"/>
        <v>1.35888E-2</v>
      </c>
      <c r="E10">
        <f t="shared" si="1"/>
        <v>2.8120000000000055E-4</v>
      </c>
      <c r="F10" s="19">
        <f t="shared" si="2"/>
        <v>2.0693512304250601E-2</v>
      </c>
    </row>
    <row r="11" spans="1:6" x14ac:dyDescent="0.25">
      <c r="A11" s="16">
        <v>9</v>
      </c>
      <c r="B11" s="16">
        <v>13.48</v>
      </c>
      <c r="C11" s="16">
        <v>1.3480000000000001E-2</v>
      </c>
      <c r="D11" s="18">
        <f t="shared" si="0"/>
        <v>1.3137100000000001E-2</v>
      </c>
      <c r="E11">
        <f t="shared" si="1"/>
        <v>3.4290000000000015E-4</v>
      </c>
      <c r="F11" s="19">
        <f t="shared" si="2"/>
        <v>2.6101651049318352E-2</v>
      </c>
    </row>
    <row r="12" spans="1:6" x14ac:dyDescent="0.25">
      <c r="A12" s="16">
        <v>10</v>
      </c>
      <c r="B12" s="16">
        <v>13.1</v>
      </c>
      <c r="C12" s="16">
        <v>1.3100000000000001E-2</v>
      </c>
      <c r="D12" s="18">
        <f t="shared" si="0"/>
        <v>1.2699999999999999E-2</v>
      </c>
      <c r="E12">
        <f t="shared" si="1"/>
        <v>4.0000000000000105E-4</v>
      </c>
      <c r="F12" s="19">
        <f t="shared" si="2"/>
        <v>3.1496062992126067E-2</v>
      </c>
    </row>
    <row r="13" spans="1:6" x14ac:dyDescent="0.25">
      <c r="A13" s="16">
        <v>11</v>
      </c>
      <c r="B13" s="16">
        <v>12.74</v>
      </c>
      <c r="C13" s="16">
        <v>1.274E-2</v>
      </c>
      <c r="D13" s="18">
        <f t="shared" si="0"/>
        <v>1.22769E-2</v>
      </c>
      <c r="E13">
        <f t="shared" si="1"/>
        <v>4.6309999999999928E-4</v>
      </c>
      <c r="F13" s="19">
        <f t="shared" si="2"/>
        <v>3.7721248849465198E-2</v>
      </c>
    </row>
    <row r="14" spans="1:6" x14ac:dyDescent="0.25">
      <c r="A14" s="16">
        <v>12</v>
      </c>
      <c r="B14" s="16">
        <v>12.39</v>
      </c>
      <c r="C14" s="16">
        <v>1.239E-2</v>
      </c>
      <c r="D14" s="18">
        <f t="shared" si="0"/>
        <v>1.18672E-2</v>
      </c>
      <c r="E14">
        <f t="shared" si="1"/>
        <v>5.2280000000000035E-4</v>
      </c>
      <c r="F14" s="19">
        <f t="shared" si="2"/>
        <v>4.405419981124447E-2</v>
      </c>
    </row>
    <row r="15" spans="1:6" x14ac:dyDescent="0.25">
      <c r="A15" s="16">
        <v>13</v>
      </c>
      <c r="B15" s="16">
        <v>12.06</v>
      </c>
      <c r="C15" s="16">
        <v>1.206E-2</v>
      </c>
      <c r="D15" s="18">
        <f t="shared" si="0"/>
        <v>1.1470299999999999E-2</v>
      </c>
      <c r="E15">
        <f t="shared" si="1"/>
        <v>5.8970000000000029E-4</v>
      </c>
      <c r="F15" s="19">
        <f t="shared" si="2"/>
        <v>5.1411035456788427E-2</v>
      </c>
    </row>
    <row r="16" spans="1:6" x14ac:dyDescent="0.25">
      <c r="A16" s="16">
        <v>14</v>
      </c>
      <c r="B16" s="16">
        <v>11.75</v>
      </c>
      <c r="C16" s="16">
        <v>1.175E-2</v>
      </c>
      <c r="D16" s="18">
        <f t="shared" si="0"/>
        <v>1.1085600000000001E-2</v>
      </c>
      <c r="E16">
        <f t="shared" si="1"/>
        <v>6.6439999999999902E-4</v>
      </c>
      <c r="F16" s="19">
        <f t="shared" si="2"/>
        <v>5.9933607562964474E-2</v>
      </c>
    </row>
    <row r="17" spans="1:6" x14ac:dyDescent="0.25">
      <c r="A17" s="16">
        <v>15</v>
      </c>
      <c r="B17" s="16">
        <v>11.45</v>
      </c>
      <c r="C17" s="16">
        <v>1.145E-2</v>
      </c>
      <c r="D17" s="18">
        <f t="shared" si="0"/>
        <v>1.07125E-2</v>
      </c>
      <c r="E17">
        <f t="shared" si="1"/>
        <v>7.3750000000000031E-4</v>
      </c>
      <c r="F17" s="19">
        <f t="shared" si="2"/>
        <v>6.8844807467911343E-2</v>
      </c>
    </row>
    <row r="18" spans="1:6" x14ac:dyDescent="0.25">
      <c r="A18" s="16">
        <v>16</v>
      </c>
      <c r="B18" s="16">
        <v>11.16</v>
      </c>
      <c r="C18" s="16">
        <v>1.116E-2</v>
      </c>
      <c r="D18" s="18">
        <f t="shared" si="0"/>
        <v>1.0350400000000001E-2</v>
      </c>
      <c r="E18">
        <f t="shared" si="1"/>
        <v>8.0959999999999886E-4</v>
      </c>
      <c r="F18" s="19">
        <f t="shared" si="2"/>
        <v>7.8219199257999569E-2</v>
      </c>
    </row>
    <row r="19" spans="1:6" x14ac:dyDescent="0.25">
      <c r="A19" s="16">
        <v>17</v>
      </c>
      <c r="B19" s="16">
        <v>10.88</v>
      </c>
      <c r="C19" s="16">
        <v>1.0880000000000001E-2</v>
      </c>
      <c r="D19" s="18">
        <f t="shared" si="0"/>
        <v>9.998700000000001E-3</v>
      </c>
      <c r="E19">
        <f t="shared" si="1"/>
        <v>8.8129999999999979E-4</v>
      </c>
      <c r="F19" s="19">
        <f t="shared" si="2"/>
        <v>8.8141458389590616E-2</v>
      </c>
    </row>
    <row r="20" spans="1:6" x14ac:dyDescent="0.25">
      <c r="A20" s="16">
        <v>18</v>
      </c>
      <c r="B20" s="16">
        <v>10.6</v>
      </c>
      <c r="C20" s="16">
        <v>1.06E-2</v>
      </c>
      <c r="D20" s="18">
        <f t="shared" si="0"/>
        <v>9.6568000000000018E-3</v>
      </c>
      <c r="E20">
        <f t="shared" si="1"/>
        <v>9.4319999999999821E-4</v>
      </c>
      <c r="F20" s="19">
        <f t="shared" si="2"/>
        <v>9.7672106702012887E-2</v>
      </c>
    </row>
    <row r="21" spans="1:6" x14ac:dyDescent="0.25">
      <c r="A21" s="16">
        <v>19</v>
      </c>
      <c r="B21" s="16">
        <v>10.34</v>
      </c>
      <c r="C21" s="16">
        <v>1.034E-2</v>
      </c>
      <c r="D21" s="18">
        <f t="shared" si="0"/>
        <v>9.3241000000000018E-3</v>
      </c>
      <c r="E21">
        <f t="shared" si="1"/>
        <v>1.0158999999999984E-3</v>
      </c>
      <c r="F21" s="19">
        <f t="shared" si="2"/>
        <v>0.10895421542025485</v>
      </c>
    </row>
    <row r="22" spans="1:6" x14ac:dyDescent="0.25">
      <c r="A22" s="16">
        <v>20</v>
      </c>
      <c r="B22" s="16">
        <v>10.09</v>
      </c>
      <c r="C22" s="16">
        <v>1.009E-2</v>
      </c>
      <c r="D22" s="18">
        <f t="shared" si="0"/>
        <v>9.0000000000000011E-3</v>
      </c>
      <c r="E22">
        <f t="shared" si="1"/>
        <v>1.089999999999999E-3</v>
      </c>
      <c r="F22" s="19">
        <f t="shared" si="2"/>
        <v>0.12111111111111098</v>
      </c>
    </row>
    <row r="23" spans="1:6" x14ac:dyDescent="0.25">
      <c r="A23" s="16">
        <v>21</v>
      </c>
      <c r="B23" s="16">
        <v>9.84</v>
      </c>
      <c r="C23" s="16">
        <v>9.8399999999999998E-3</v>
      </c>
      <c r="D23" s="18">
        <f t="shared" si="0"/>
        <v>8.6839000000000013E-3</v>
      </c>
      <c r="E23">
        <f t="shared" si="1"/>
        <v>1.1560999999999984E-3</v>
      </c>
      <c r="F23" s="19">
        <f t="shared" si="2"/>
        <v>0.13313142712375756</v>
      </c>
    </row>
    <row r="24" spans="1:6" x14ac:dyDescent="0.25">
      <c r="A24" s="16">
        <v>22</v>
      </c>
      <c r="B24" s="16">
        <v>9.61</v>
      </c>
      <c r="C24" s="16">
        <v>9.6100000000000005E-3</v>
      </c>
      <c r="D24" s="18">
        <f t="shared" si="0"/>
        <v>8.3752000000000028E-3</v>
      </c>
      <c r="E24">
        <f t="shared" si="1"/>
        <v>1.2347999999999977E-3</v>
      </c>
      <c r="F24" s="19">
        <f t="shared" si="2"/>
        <v>0.14743528512751902</v>
      </c>
    </row>
    <row r="25" spans="1:6" x14ac:dyDescent="0.25">
      <c r="A25" s="16">
        <v>23</v>
      </c>
      <c r="B25" s="16">
        <v>9.3800000000000008</v>
      </c>
      <c r="C25" s="16">
        <v>9.3799999999999994E-3</v>
      </c>
      <c r="D25" s="18">
        <f t="shared" si="0"/>
        <v>8.073300000000002E-3</v>
      </c>
      <c r="E25">
        <f t="shared" si="1"/>
        <v>1.3066999999999974E-3</v>
      </c>
      <c r="F25" s="19">
        <f t="shared" si="2"/>
        <v>0.16185450806981</v>
      </c>
    </row>
    <row r="26" spans="1:6" x14ac:dyDescent="0.25">
      <c r="A26" s="16">
        <v>24</v>
      </c>
      <c r="B26" s="16">
        <v>9.16</v>
      </c>
      <c r="C26" s="16">
        <v>9.1599999999999997E-3</v>
      </c>
      <c r="D26" s="18">
        <f t="shared" si="0"/>
        <v>7.7776000000000008E-3</v>
      </c>
      <c r="E26">
        <f t="shared" si="1"/>
        <v>1.3823999999999989E-3</v>
      </c>
      <c r="F26" s="19">
        <f t="shared" si="2"/>
        <v>0.17774120551326872</v>
      </c>
    </row>
    <row r="27" spans="1:6" x14ac:dyDescent="0.25">
      <c r="A27" s="16">
        <v>25</v>
      </c>
      <c r="B27" s="16">
        <v>8.9499999999999993</v>
      </c>
      <c r="C27" s="16">
        <v>8.9499999999999996E-3</v>
      </c>
      <c r="D27" s="18">
        <f t="shared" si="0"/>
        <v>7.4875000000000011E-3</v>
      </c>
      <c r="E27">
        <f t="shared" si="1"/>
        <v>1.4624999999999985E-3</v>
      </c>
      <c r="F27" s="19">
        <f t="shared" si="2"/>
        <v>0.19532554257095136</v>
      </c>
    </row>
    <row r="28" spans="1:6" x14ac:dyDescent="0.25">
      <c r="A28" s="16">
        <v>26</v>
      </c>
      <c r="B28" s="16">
        <v>8.75</v>
      </c>
      <c r="C28" s="16">
        <v>8.7500000000000008E-3</v>
      </c>
      <c r="D28" s="18">
        <f t="shared" si="0"/>
        <v>7.2024000000000012E-3</v>
      </c>
      <c r="E28">
        <f t="shared" si="1"/>
        <v>1.5475999999999997E-3</v>
      </c>
      <c r="F28" s="19">
        <f t="shared" si="2"/>
        <v>0.21487282017105402</v>
      </c>
    </row>
    <row r="29" spans="1:6" x14ac:dyDescent="0.25">
      <c r="A29" s="16">
        <v>27</v>
      </c>
      <c r="B29" s="16">
        <v>8.5500000000000007</v>
      </c>
      <c r="C29" s="16">
        <v>8.5500000000000003E-3</v>
      </c>
      <c r="D29" s="18">
        <f t="shared" si="0"/>
        <v>6.9217000000000011E-3</v>
      </c>
      <c r="E29">
        <f t="shared" si="1"/>
        <v>1.6282999999999992E-3</v>
      </c>
      <c r="F29" s="19">
        <f t="shared" si="2"/>
        <v>0.2352456766401316</v>
      </c>
    </row>
    <row r="30" spans="1:6" x14ac:dyDescent="0.25">
      <c r="A30" s="16">
        <v>28</v>
      </c>
      <c r="B30" s="16">
        <v>8.36</v>
      </c>
      <c r="C30" s="16">
        <v>8.3599999999999994E-3</v>
      </c>
      <c r="D30" s="18">
        <f t="shared" si="0"/>
        <v>6.6448000000000028E-3</v>
      </c>
      <c r="E30">
        <f t="shared" si="1"/>
        <v>1.7151999999999966E-3</v>
      </c>
      <c r="F30" s="19">
        <f t="shared" si="2"/>
        <v>0.25812665542980917</v>
      </c>
    </row>
    <row r="31" spans="1:6" x14ac:dyDescent="0.25">
      <c r="A31" s="16">
        <v>29</v>
      </c>
      <c r="B31" s="16">
        <v>8.18</v>
      </c>
      <c r="C31" s="16">
        <v>8.1799999999999998E-3</v>
      </c>
      <c r="D31" s="18">
        <f t="shared" si="0"/>
        <v>6.3711000000000011E-3</v>
      </c>
      <c r="E31">
        <f t="shared" si="1"/>
        <v>1.8088999999999987E-3</v>
      </c>
      <c r="F31" s="19">
        <f t="shared" si="2"/>
        <v>0.28392271350316245</v>
      </c>
    </row>
    <row r="32" spans="1:6" x14ac:dyDescent="0.25">
      <c r="A32" s="16">
        <v>30</v>
      </c>
      <c r="B32" s="16">
        <v>8</v>
      </c>
      <c r="C32" s="16">
        <v>8.0000000000000002E-3</v>
      </c>
      <c r="D32" s="18">
        <f t="shared" si="0"/>
        <v>6.100000000000003E-3</v>
      </c>
      <c r="E32">
        <f t="shared" si="1"/>
        <v>1.8999999999999972E-3</v>
      </c>
      <c r="F32" s="19">
        <f t="shared" si="2"/>
        <v>0.31147540983606498</v>
      </c>
    </row>
    <row r="33" spans="1:6" x14ac:dyDescent="0.25">
      <c r="A33" s="16">
        <v>31</v>
      </c>
      <c r="B33" s="16">
        <v>7.83</v>
      </c>
      <c r="C33" s="16">
        <v>7.8300000000000002E-3</v>
      </c>
      <c r="D33" s="18">
        <f t="shared" si="0"/>
        <v>5.8309000000000017E-3</v>
      </c>
      <c r="E33">
        <f t="shared" si="1"/>
        <v>1.9990999999999984E-3</v>
      </c>
      <c r="F33" s="19">
        <f t="shared" si="2"/>
        <v>0.34284587284981699</v>
      </c>
    </row>
    <row r="34" spans="1:6" x14ac:dyDescent="0.25">
      <c r="A34" s="16">
        <v>32</v>
      </c>
      <c r="B34" s="16">
        <v>7.67</v>
      </c>
      <c r="C34" s="16">
        <v>7.6699999999999997E-3</v>
      </c>
      <c r="D34" s="18">
        <f t="shared" si="0"/>
        <v>5.5632000000000025E-3</v>
      </c>
      <c r="E34">
        <f t="shared" si="1"/>
        <v>2.1067999999999972E-3</v>
      </c>
      <c r="F34" s="19">
        <f t="shared" si="2"/>
        <v>0.3787029048029904</v>
      </c>
    </row>
    <row r="35" spans="1:6" x14ac:dyDescent="0.25">
      <c r="A35" s="16">
        <v>33</v>
      </c>
      <c r="B35" s="16">
        <v>7.51</v>
      </c>
      <c r="C35" s="16">
        <v>7.5100000000000002E-3</v>
      </c>
      <c r="D35" s="18">
        <f t="shared" si="0"/>
        <v>5.296300000000002E-3</v>
      </c>
      <c r="E35">
        <f t="shared" si="1"/>
        <v>2.2136999999999981E-3</v>
      </c>
      <c r="F35" s="19">
        <f t="shared" si="2"/>
        <v>0.4179710363838901</v>
      </c>
    </row>
    <row r="36" spans="1:6" x14ac:dyDescent="0.25">
      <c r="A36" s="16">
        <v>34</v>
      </c>
      <c r="B36" s="16">
        <v>7.36</v>
      </c>
      <c r="C36" s="16">
        <v>7.3600000000000002E-3</v>
      </c>
      <c r="D36" s="18">
        <f t="shared" si="0"/>
        <v>5.0296000000000021E-3</v>
      </c>
      <c r="E36">
        <f t="shared" si="1"/>
        <v>2.3303999999999981E-3</v>
      </c>
      <c r="F36" s="19">
        <f t="shared" si="2"/>
        <v>0.46333704469540266</v>
      </c>
    </row>
    <row r="37" spans="1:6" x14ac:dyDescent="0.25">
      <c r="A37" s="16">
        <v>35</v>
      </c>
      <c r="B37" s="16">
        <v>7.21</v>
      </c>
      <c r="C37" s="16">
        <v>7.2100000000000003E-3</v>
      </c>
      <c r="D37" s="18">
        <f t="shared" si="0"/>
        <v>4.7625000000000028E-3</v>
      </c>
      <c r="E37">
        <f t="shared" si="1"/>
        <v>2.4474999999999974E-3</v>
      </c>
      <c r="F37" s="19">
        <f t="shared" si="2"/>
        <v>0.51391076115485479</v>
      </c>
    </row>
    <row r="38" spans="1:6" x14ac:dyDescent="0.25">
      <c r="A38" s="16">
        <v>36</v>
      </c>
      <c r="B38" s="16">
        <v>7.06</v>
      </c>
      <c r="C38" s="16">
        <v>7.0600000000000003E-3</v>
      </c>
      <c r="D38" s="18">
        <f t="shared" si="0"/>
        <v>4.4944000000000026E-3</v>
      </c>
      <c r="E38">
        <f t="shared" si="1"/>
        <v>2.5655999999999977E-3</v>
      </c>
      <c r="F38" s="19">
        <f t="shared" si="2"/>
        <v>0.57084371662513267</v>
      </c>
    </row>
    <row r="39" spans="1:6" x14ac:dyDescent="0.25">
      <c r="A39" s="16">
        <v>37</v>
      </c>
      <c r="B39" s="16">
        <v>6.92</v>
      </c>
      <c r="C39" s="16">
        <v>6.9199999999999999E-3</v>
      </c>
      <c r="D39" s="18">
        <f t="shared" si="0"/>
        <v>4.2247000000000031E-3</v>
      </c>
      <c r="E39">
        <f t="shared" si="1"/>
        <v>2.6952999999999968E-3</v>
      </c>
      <c r="F39" s="19">
        <f t="shared" si="2"/>
        <v>0.63798612919260422</v>
      </c>
    </row>
    <row r="40" spans="1:6" x14ac:dyDescent="0.25">
      <c r="A40" s="16">
        <v>38</v>
      </c>
      <c r="B40" s="16">
        <v>6.79</v>
      </c>
      <c r="C40" s="16">
        <v>6.79E-3</v>
      </c>
      <c r="D40" s="18">
        <f t="shared" si="0"/>
        <v>3.9528000000000046E-3</v>
      </c>
      <c r="E40">
        <f t="shared" si="1"/>
        <v>2.8371999999999955E-3</v>
      </c>
      <c r="F40" s="19">
        <f t="shared" si="2"/>
        <v>0.7177696822505546</v>
      </c>
    </row>
    <row r="41" spans="1:6" x14ac:dyDescent="0.25">
      <c r="A41" s="16">
        <v>39</v>
      </c>
      <c r="B41" s="16">
        <v>6.66</v>
      </c>
      <c r="C41" s="16">
        <v>6.6600000000000001E-3</v>
      </c>
      <c r="D41" s="18">
        <f t="shared" si="0"/>
        <v>3.6781000000000036E-3</v>
      </c>
      <c r="E41">
        <f t="shared" si="1"/>
        <v>2.9818999999999965E-3</v>
      </c>
      <c r="F41" s="19">
        <f t="shared" si="2"/>
        <v>0.81071749000842652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769A32-E250-4BEF-A69D-2EE16F5477B3}">
  <sheetPr codeName="Sheet5"/>
  <dimension ref="A1:AW11"/>
  <sheetViews>
    <sheetView topLeftCell="AD1" zoomScale="130" zoomScaleNormal="130" workbookViewId="0">
      <selection activeCell="K16" sqref="K16"/>
    </sheetView>
  </sheetViews>
  <sheetFormatPr defaultRowHeight="15" x14ac:dyDescent="0.25"/>
  <sheetData>
    <row r="1" spans="1:49" x14ac:dyDescent="0.25">
      <c r="L1" s="23">
        <v>0.5</v>
      </c>
      <c r="M1" s="23">
        <v>1</v>
      </c>
      <c r="N1" s="23">
        <v>2</v>
      </c>
      <c r="O1" s="23">
        <v>4</v>
      </c>
      <c r="P1" s="23">
        <v>8</v>
      </c>
      <c r="Q1" s="23">
        <v>15</v>
      </c>
      <c r="R1" s="23">
        <v>30</v>
      </c>
      <c r="S1" s="23">
        <v>60</v>
      </c>
      <c r="T1" s="23">
        <v>120</v>
      </c>
      <c r="U1" s="23">
        <v>240</v>
      </c>
      <c r="V1" s="23">
        <v>480</v>
      </c>
      <c r="W1" s="23">
        <v>960</v>
      </c>
      <c r="X1" s="23">
        <v>1440</v>
      </c>
      <c r="Y1" s="23">
        <v>4.75</v>
      </c>
      <c r="Z1" s="23">
        <v>2</v>
      </c>
      <c r="AA1" s="25">
        <v>1.18</v>
      </c>
      <c r="AB1" s="25">
        <v>0.6</v>
      </c>
      <c r="AC1" s="25">
        <v>0.42499999999999999</v>
      </c>
      <c r="AD1" s="25">
        <v>0.3</v>
      </c>
      <c r="AE1" s="25">
        <v>0.15</v>
      </c>
      <c r="AF1" s="25">
        <v>7.4999999999999997E-2</v>
      </c>
      <c r="AG1" s="23">
        <v>0.5</v>
      </c>
      <c r="AH1" s="23">
        <v>1</v>
      </c>
      <c r="AI1" s="23">
        <v>2</v>
      </c>
      <c r="AJ1" s="23">
        <v>4</v>
      </c>
      <c r="AK1" s="23">
        <v>8</v>
      </c>
      <c r="AL1" s="23">
        <v>15</v>
      </c>
      <c r="AM1" s="23">
        <v>30</v>
      </c>
      <c r="AN1" s="23">
        <v>60</v>
      </c>
      <c r="AO1" s="23">
        <v>120</v>
      </c>
      <c r="AP1" s="23">
        <v>240</v>
      </c>
      <c r="AQ1" s="23">
        <v>480</v>
      </c>
      <c r="AR1" s="23">
        <v>960</v>
      </c>
      <c r="AS1" s="23">
        <v>1440</v>
      </c>
    </row>
    <row r="2" spans="1:49" ht="17.25" customHeight="1" x14ac:dyDescent="0.25">
      <c r="A2" s="26" t="s">
        <v>41</v>
      </c>
      <c r="B2" s="26" t="s">
        <v>5</v>
      </c>
      <c r="C2" s="26" t="s">
        <v>9</v>
      </c>
      <c r="D2" s="86" t="s">
        <v>42</v>
      </c>
      <c r="E2" s="86"/>
      <c r="F2" s="86"/>
      <c r="G2" s="86"/>
      <c r="H2" s="86"/>
      <c r="I2" s="86"/>
      <c r="J2" s="86"/>
      <c r="K2" s="86"/>
      <c r="L2" s="86" t="s">
        <v>43</v>
      </c>
      <c r="M2" s="86"/>
      <c r="N2" s="86"/>
      <c r="O2" s="86"/>
      <c r="P2" s="86"/>
      <c r="Q2" s="86"/>
      <c r="R2" s="86"/>
      <c r="S2" s="86"/>
      <c r="T2" s="86"/>
      <c r="U2" s="86"/>
      <c r="V2" s="86"/>
      <c r="W2" s="86"/>
      <c r="X2" s="86"/>
      <c r="Y2" s="87" t="s">
        <v>44</v>
      </c>
      <c r="Z2" s="87"/>
      <c r="AA2" s="87"/>
      <c r="AB2" s="87"/>
      <c r="AC2" s="87"/>
      <c r="AD2" s="87"/>
      <c r="AE2" s="87"/>
      <c r="AF2" s="87"/>
      <c r="AG2" s="86" t="s">
        <v>45</v>
      </c>
      <c r="AH2" s="86"/>
      <c r="AI2" s="86"/>
      <c r="AJ2" s="86"/>
      <c r="AK2" s="86"/>
      <c r="AL2" s="86"/>
      <c r="AM2" s="86"/>
      <c r="AN2" s="86"/>
      <c r="AO2" s="86"/>
      <c r="AP2" s="86"/>
      <c r="AQ2" s="86"/>
      <c r="AR2" s="86"/>
      <c r="AS2" s="86"/>
      <c r="AT2" s="26" t="s">
        <v>1</v>
      </c>
      <c r="AU2" s="26" t="s">
        <v>46</v>
      </c>
      <c r="AV2" s="26" t="s">
        <v>47</v>
      </c>
      <c r="AW2" s="26" t="s">
        <v>2</v>
      </c>
    </row>
    <row r="3" spans="1:49" s="54" customFormat="1" x14ac:dyDescent="0.25">
      <c r="A3" s="49">
        <v>1</v>
      </c>
      <c r="B3" s="49" t="str">
        <f>GSD!B5</f>
        <v>SHBH-05</v>
      </c>
      <c r="C3" s="50">
        <f>GSD!F5</f>
        <v>0.5</v>
      </c>
      <c r="D3" s="51">
        <v>4.75</v>
      </c>
      <c r="E3" s="51">
        <v>2</v>
      </c>
      <c r="F3" s="51">
        <v>1.18</v>
      </c>
      <c r="G3" s="51">
        <v>0.6</v>
      </c>
      <c r="H3" s="51">
        <v>0.42499999999999999</v>
      </c>
      <c r="I3" s="51">
        <v>0.3</v>
      </c>
      <c r="J3" s="51">
        <v>0.15</v>
      </c>
      <c r="K3" s="51">
        <v>7.4999999999999997E-2</v>
      </c>
      <c r="L3" s="52">
        <f>HYD!Z5</f>
        <v>0</v>
      </c>
      <c r="M3" s="52">
        <f>HYD!AA5</f>
        <v>0</v>
      </c>
      <c r="N3" s="52">
        <f>HYD!AB5</f>
        <v>0</v>
      </c>
      <c r="O3" s="52">
        <f>HYD!AC5</f>
        <v>0</v>
      </c>
      <c r="P3" s="52">
        <f>HYD!AD5</f>
        <v>0</v>
      </c>
      <c r="Q3" s="52">
        <f>HYD!AE5</f>
        <v>0</v>
      </c>
      <c r="R3" s="52">
        <f>HYD!AF5</f>
        <v>0</v>
      </c>
      <c r="S3" s="52">
        <f>HYD!AG5</f>
        <v>0</v>
      </c>
      <c r="T3" s="52">
        <f>HYD!AH5</f>
        <v>0</v>
      </c>
      <c r="U3" s="52">
        <f>HYD!AI5</f>
        <v>0</v>
      </c>
      <c r="V3" s="52">
        <f>HYD!AJ5</f>
        <v>0</v>
      </c>
      <c r="W3" s="52">
        <f>HYD!AK5</f>
        <v>0</v>
      </c>
      <c r="X3" s="52">
        <f>HYD!AL5</f>
        <v>0</v>
      </c>
      <c r="Y3" s="53">
        <f>GSD!S5</f>
        <v>61.58</v>
      </c>
      <c r="Z3" s="53">
        <f>GSD!T5</f>
        <v>57.11999999999999</v>
      </c>
      <c r="AA3" s="53">
        <f>GSD!U5</f>
        <v>51.78</v>
      </c>
      <c r="AB3" s="53">
        <f>GSD!V5</f>
        <v>43.39</v>
      </c>
      <c r="AC3" s="53">
        <f>GSD!W5</f>
        <v>41.47</v>
      </c>
      <c r="AD3" s="53">
        <f>GSD!X5</f>
        <v>36.65</v>
      </c>
      <c r="AE3" s="53">
        <f>GSD!Y5</f>
        <v>25.230000000000004</v>
      </c>
      <c r="AF3" s="53">
        <f>GSD!Z5</f>
        <v>17.310000000000002</v>
      </c>
      <c r="AG3" s="53">
        <f>HYD!AM5</f>
        <v>0</v>
      </c>
      <c r="AH3" s="53">
        <f>HYD!AN5</f>
        <v>0</v>
      </c>
      <c r="AI3" s="53">
        <f>HYD!AO5</f>
        <v>0</v>
      </c>
      <c r="AJ3" s="53">
        <f>HYD!AP5</f>
        <v>0</v>
      </c>
      <c r="AK3" s="53">
        <f>HYD!AQ5</f>
        <v>0</v>
      </c>
      <c r="AL3" s="53">
        <f>HYD!AR5</f>
        <v>0</v>
      </c>
      <c r="AM3" s="53">
        <f>HYD!AS5</f>
        <v>0</v>
      </c>
      <c r="AN3" s="53">
        <f>HYD!AT5</f>
        <v>0</v>
      </c>
      <c r="AO3" s="53">
        <f>HYD!AU5</f>
        <v>0</v>
      </c>
      <c r="AP3" s="53">
        <f>HYD!AV5</f>
        <v>0</v>
      </c>
      <c r="AQ3" s="53">
        <f>HYD!AW5</f>
        <v>0</v>
      </c>
      <c r="AR3" s="53">
        <f>HYD!AX5</f>
        <v>0</v>
      </c>
      <c r="AS3" s="53">
        <f>HYD!AY5</f>
        <v>0</v>
      </c>
      <c r="AT3" s="53"/>
      <c r="AU3" s="53"/>
      <c r="AV3" s="53"/>
      <c r="AW3" s="53"/>
    </row>
    <row r="4" spans="1:49" s="41" customFormat="1" x14ac:dyDescent="0.25">
      <c r="A4" s="49">
        <v>2</v>
      </c>
      <c r="B4" s="49" t="str">
        <f>B3</f>
        <v>SHBH-05</v>
      </c>
      <c r="C4" s="50">
        <f>GSD!F6</f>
        <v>2</v>
      </c>
      <c r="D4" s="51">
        <v>4.75</v>
      </c>
      <c r="E4" s="51">
        <v>2</v>
      </c>
      <c r="F4" s="51">
        <v>1.18</v>
      </c>
      <c r="G4" s="51">
        <v>0.6</v>
      </c>
      <c r="H4" s="51">
        <v>0.42499999999999999</v>
      </c>
      <c r="I4" s="51">
        <v>0.3</v>
      </c>
      <c r="J4" s="51">
        <v>0.15</v>
      </c>
      <c r="K4" s="51">
        <v>7.4999999999999997E-2</v>
      </c>
      <c r="L4" s="52">
        <f>HYD!Z6</f>
        <v>0</v>
      </c>
      <c r="M4" s="52">
        <f>HYD!AA6</f>
        <v>0</v>
      </c>
      <c r="N4" s="52">
        <f>HYD!AB6</f>
        <v>0</v>
      </c>
      <c r="O4" s="52">
        <f>HYD!AC6</f>
        <v>0</v>
      </c>
      <c r="P4" s="52">
        <f>HYD!AD6</f>
        <v>0</v>
      </c>
      <c r="Q4" s="52">
        <f>HYD!AE6</f>
        <v>0</v>
      </c>
      <c r="R4" s="52">
        <f>HYD!AF6</f>
        <v>0</v>
      </c>
      <c r="S4" s="52">
        <f>HYD!AG6</f>
        <v>0</v>
      </c>
      <c r="T4" s="52">
        <f>HYD!AH6</f>
        <v>0</v>
      </c>
      <c r="U4" s="52">
        <f>HYD!AI6</f>
        <v>0</v>
      </c>
      <c r="V4" s="52">
        <f>HYD!AJ6</f>
        <v>0</v>
      </c>
      <c r="W4" s="52">
        <f>HYD!AK6</f>
        <v>0</v>
      </c>
      <c r="X4" s="52">
        <f>HYD!AL6</f>
        <v>0</v>
      </c>
      <c r="Y4" s="53">
        <f>GSD!S6</f>
        <v>89.86</v>
      </c>
      <c r="Z4" s="53">
        <f>GSD!T6</f>
        <v>85.06</v>
      </c>
      <c r="AA4" s="53">
        <f>GSD!U6</f>
        <v>78.53</v>
      </c>
      <c r="AB4" s="53">
        <f>GSD!V6</f>
        <v>65.31</v>
      </c>
      <c r="AC4" s="53">
        <f>GSD!W6</f>
        <v>62.289999999999992</v>
      </c>
      <c r="AD4" s="53">
        <f>GSD!X6</f>
        <v>54.25</v>
      </c>
      <c r="AE4" s="53">
        <f>GSD!Y6</f>
        <v>35.889999999999986</v>
      </c>
      <c r="AF4" s="53">
        <f>GSD!Z6</f>
        <v>24.489999999999981</v>
      </c>
      <c r="AG4" s="53">
        <f>HYD!AM6</f>
        <v>0</v>
      </c>
      <c r="AH4" s="53">
        <f>HYD!AN6</f>
        <v>0</v>
      </c>
      <c r="AI4" s="53">
        <f>HYD!AO6</f>
        <v>0</v>
      </c>
      <c r="AJ4" s="53">
        <f>HYD!AP6</f>
        <v>0</v>
      </c>
      <c r="AK4" s="53">
        <f>HYD!AQ6</f>
        <v>0</v>
      </c>
      <c r="AL4" s="53">
        <f>HYD!AR6</f>
        <v>0</v>
      </c>
      <c r="AM4" s="53">
        <f>HYD!AS6</f>
        <v>0</v>
      </c>
      <c r="AN4" s="53">
        <f>HYD!AT6</f>
        <v>0</v>
      </c>
      <c r="AO4" s="53">
        <f>HYD!AU6</f>
        <v>0</v>
      </c>
      <c r="AP4" s="53">
        <f>HYD!AV6</f>
        <v>0</v>
      </c>
      <c r="AQ4" s="53">
        <f>HYD!AW6</f>
        <v>0</v>
      </c>
      <c r="AR4" s="53">
        <f>HYD!AX6</f>
        <v>0</v>
      </c>
      <c r="AS4" s="53">
        <f>HYD!AY6</f>
        <v>0</v>
      </c>
      <c r="AT4" s="53"/>
      <c r="AU4" s="53"/>
      <c r="AV4" s="53"/>
      <c r="AW4" s="53"/>
    </row>
    <row r="5" spans="1:49" s="41" customFormat="1" x14ac:dyDescent="0.25">
      <c r="A5" s="49">
        <v>3</v>
      </c>
      <c r="B5" s="49" t="str">
        <f t="shared" ref="B5:B9" si="0">B4</f>
        <v>SHBH-05</v>
      </c>
      <c r="C5" s="50">
        <f>GSD!F7</f>
        <v>3.5</v>
      </c>
      <c r="D5" s="51">
        <v>4.75</v>
      </c>
      <c r="E5" s="51">
        <v>2</v>
      </c>
      <c r="F5" s="51">
        <v>1.18</v>
      </c>
      <c r="G5" s="51">
        <v>0.6</v>
      </c>
      <c r="H5" s="51">
        <v>0.42499999999999999</v>
      </c>
      <c r="I5" s="51">
        <v>0.3</v>
      </c>
      <c r="J5" s="51">
        <v>0.15</v>
      </c>
      <c r="K5" s="51">
        <v>7.4999999999999997E-2</v>
      </c>
      <c r="L5" s="52">
        <f>HYD!Z7</f>
        <v>0</v>
      </c>
      <c r="M5" s="52">
        <f>HYD!AA7</f>
        <v>0</v>
      </c>
      <c r="N5" s="52">
        <f>HYD!AB7</f>
        <v>0</v>
      </c>
      <c r="O5" s="52">
        <f>HYD!AC7</f>
        <v>0</v>
      </c>
      <c r="P5" s="52">
        <f>HYD!AD7</f>
        <v>0</v>
      </c>
      <c r="Q5" s="52">
        <f>HYD!AE7</f>
        <v>0</v>
      </c>
      <c r="R5" s="52">
        <f>HYD!AF7</f>
        <v>0</v>
      </c>
      <c r="S5" s="52">
        <f>HYD!AG7</f>
        <v>0</v>
      </c>
      <c r="T5" s="52">
        <f>HYD!AH7</f>
        <v>0</v>
      </c>
      <c r="U5" s="52">
        <f>HYD!AI7</f>
        <v>0</v>
      </c>
      <c r="V5" s="52">
        <f>HYD!AJ7</f>
        <v>0</v>
      </c>
      <c r="W5" s="52">
        <f>HYD!AK7</f>
        <v>0</v>
      </c>
      <c r="X5" s="52">
        <f>HYD!AL7</f>
        <v>0</v>
      </c>
      <c r="Y5" s="53">
        <f>GSD!S7</f>
        <v>87.72</v>
      </c>
      <c r="Z5" s="53">
        <f>GSD!T7</f>
        <v>82.05</v>
      </c>
      <c r="AA5" s="53">
        <f>GSD!U7</f>
        <v>79.31</v>
      </c>
      <c r="AB5" s="53">
        <f>GSD!V7</f>
        <v>69.7</v>
      </c>
      <c r="AC5" s="53">
        <f>GSD!W7</f>
        <v>61.08</v>
      </c>
      <c r="AD5" s="53">
        <f>GSD!X7</f>
        <v>56.510000000000005</v>
      </c>
      <c r="AE5" s="53">
        <f>GSD!Y7</f>
        <v>34.92</v>
      </c>
      <c r="AF5" s="53">
        <f>GSD!Z7</f>
        <v>24.620000000000005</v>
      </c>
      <c r="AG5" s="53">
        <f>HYD!AM7</f>
        <v>0</v>
      </c>
      <c r="AH5" s="53">
        <f>HYD!AN7</f>
        <v>0</v>
      </c>
      <c r="AI5" s="53">
        <f>HYD!AO7</f>
        <v>0</v>
      </c>
      <c r="AJ5" s="53">
        <f>HYD!AP7</f>
        <v>0</v>
      </c>
      <c r="AK5" s="53">
        <f>HYD!AQ7</f>
        <v>0</v>
      </c>
      <c r="AL5" s="53">
        <f>HYD!AR7</f>
        <v>0</v>
      </c>
      <c r="AM5" s="53">
        <f>HYD!AS7</f>
        <v>0</v>
      </c>
      <c r="AN5" s="53">
        <f>HYD!AT7</f>
        <v>0</v>
      </c>
      <c r="AO5" s="53">
        <f>HYD!AU7</f>
        <v>0</v>
      </c>
      <c r="AP5" s="53">
        <f>HYD!AV7</f>
        <v>0</v>
      </c>
      <c r="AQ5" s="53">
        <f>HYD!AW7</f>
        <v>0</v>
      </c>
      <c r="AR5" s="53">
        <f>HYD!AX7</f>
        <v>0</v>
      </c>
      <c r="AS5" s="53">
        <f>HYD!AY7</f>
        <v>0</v>
      </c>
      <c r="AT5" s="53"/>
      <c r="AU5" s="53"/>
      <c r="AV5" s="53"/>
      <c r="AW5" s="53"/>
    </row>
    <row r="6" spans="1:49" s="41" customFormat="1" x14ac:dyDescent="0.25">
      <c r="A6" s="49">
        <v>4</v>
      </c>
      <c r="B6" s="49" t="str">
        <f t="shared" si="0"/>
        <v>SHBH-05</v>
      </c>
      <c r="C6" s="50">
        <f>GSD!F8</f>
        <v>4.5</v>
      </c>
      <c r="D6" s="51">
        <v>4.75</v>
      </c>
      <c r="E6" s="51">
        <v>2</v>
      </c>
      <c r="F6" s="51">
        <v>1.18</v>
      </c>
      <c r="G6" s="51">
        <v>0.6</v>
      </c>
      <c r="H6" s="51">
        <v>0.42499999999999999</v>
      </c>
      <c r="I6" s="51">
        <v>0.3</v>
      </c>
      <c r="J6" s="51">
        <v>0.15</v>
      </c>
      <c r="K6" s="51">
        <v>7.4999999999999997E-2</v>
      </c>
      <c r="L6" s="52">
        <f>HYD!Z8</f>
        <v>0</v>
      </c>
      <c r="M6" s="52">
        <f>HYD!AA8</f>
        <v>0</v>
      </c>
      <c r="N6" s="52">
        <f>HYD!AB8</f>
        <v>0</v>
      </c>
      <c r="O6" s="52">
        <f>HYD!AC8</f>
        <v>0</v>
      </c>
      <c r="P6" s="52">
        <f>HYD!AD8</f>
        <v>0</v>
      </c>
      <c r="Q6" s="52">
        <f>HYD!AE8</f>
        <v>0</v>
      </c>
      <c r="R6" s="52">
        <f>HYD!AF8</f>
        <v>0</v>
      </c>
      <c r="S6" s="52">
        <f>HYD!AG8</f>
        <v>0</v>
      </c>
      <c r="T6" s="52">
        <f>HYD!AH8</f>
        <v>0</v>
      </c>
      <c r="U6" s="52">
        <f>HYD!AI8</f>
        <v>0</v>
      </c>
      <c r="V6" s="52">
        <f>HYD!AJ8</f>
        <v>0</v>
      </c>
      <c r="W6" s="52">
        <f>HYD!AK8</f>
        <v>0</v>
      </c>
      <c r="X6" s="52">
        <f>HYD!AL8</f>
        <v>0</v>
      </c>
      <c r="Y6" s="53">
        <f>GSD!S8</f>
        <v>98.075000000000003</v>
      </c>
      <c r="Z6" s="53">
        <f>GSD!T8</f>
        <v>95.52</v>
      </c>
      <c r="AA6" s="53">
        <f>GSD!U8</f>
        <v>92.01</v>
      </c>
      <c r="AB6" s="53">
        <f>GSD!V8</f>
        <v>87.85</v>
      </c>
      <c r="AC6" s="53">
        <f>GSD!W8</f>
        <v>86.93</v>
      </c>
      <c r="AD6" s="53">
        <f>GSD!X8</f>
        <v>83.355000000000004</v>
      </c>
      <c r="AE6" s="53">
        <f>GSD!Y8</f>
        <v>69.14</v>
      </c>
      <c r="AF6" s="53">
        <f>GSD!Z8</f>
        <v>59.914999999999999</v>
      </c>
      <c r="AG6" s="53">
        <f>HYD!AM8</f>
        <v>0</v>
      </c>
      <c r="AH6" s="53">
        <f>HYD!AN8</f>
        <v>0</v>
      </c>
      <c r="AI6" s="53">
        <f>HYD!AO8</f>
        <v>0</v>
      </c>
      <c r="AJ6" s="53">
        <f>HYD!AP8</f>
        <v>0</v>
      </c>
      <c r="AK6" s="53">
        <f>HYD!AQ8</f>
        <v>0</v>
      </c>
      <c r="AL6" s="53">
        <f>HYD!AR8</f>
        <v>0</v>
      </c>
      <c r="AM6" s="53">
        <f>HYD!AS8</f>
        <v>0</v>
      </c>
      <c r="AN6" s="53">
        <f>HYD!AT8</f>
        <v>0</v>
      </c>
      <c r="AO6" s="53">
        <f>HYD!AU8</f>
        <v>0</v>
      </c>
      <c r="AP6" s="53">
        <f>HYD!AV8</f>
        <v>0</v>
      </c>
      <c r="AQ6" s="53">
        <f>HYD!AW8</f>
        <v>0</v>
      </c>
      <c r="AR6" s="53">
        <f>HYD!AX8</f>
        <v>0</v>
      </c>
      <c r="AS6" s="53">
        <f>HYD!AY8</f>
        <v>0</v>
      </c>
      <c r="AT6" s="53"/>
      <c r="AU6" s="53"/>
      <c r="AV6" s="53"/>
      <c r="AW6" s="53"/>
    </row>
    <row r="7" spans="1:49" s="41" customFormat="1" x14ac:dyDescent="0.25">
      <c r="A7" s="49">
        <v>5</v>
      </c>
      <c r="B7" s="49" t="str">
        <f t="shared" si="0"/>
        <v>SHBH-05</v>
      </c>
      <c r="C7" s="50">
        <f>GSD!F9</f>
        <v>6.5</v>
      </c>
      <c r="D7" s="51">
        <v>4.75</v>
      </c>
      <c r="E7" s="51">
        <v>2</v>
      </c>
      <c r="F7" s="51">
        <v>1.18</v>
      </c>
      <c r="G7" s="51">
        <v>0.6</v>
      </c>
      <c r="H7" s="51">
        <v>0.42499999999999999</v>
      </c>
      <c r="I7" s="51">
        <v>0.3</v>
      </c>
      <c r="J7" s="51">
        <v>0.15</v>
      </c>
      <c r="K7" s="51">
        <v>7.4999999999999997E-2</v>
      </c>
      <c r="L7" s="52">
        <f>HYD!Z9</f>
        <v>0</v>
      </c>
      <c r="M7" s="52">
        <f>HYD!AA9</f>
        <v>0</v>
      </c>
      <c r="N7" s="52">
        <f>HYD!AB9</f>
        <v>0</v>
      </c>
      <c r="O7" s="52">
        <f>HYD!AC9</f>
        <v>0</v>
      </c>
      <c r="P7" s="52">
        <f>HYD!AD9</f>
        <v>0</v>
      </c>
      <c r="Q7" s="52">
        <f>HYD!AE9</f>
        <v>0</v>
      </c>
      <c r="R7" s="52">
        <f>HYD!AF9</f>
        <v>0</v>
      </c>
      <c r="S7" s="52">
        <f>HYD!AG9</f>
        <v>0</v>
      </c>
      <c r="T7" s="52">
        <f>HYD!AH9</f>
        <v>0</v>
      </c>
      <c r="U7" s="52">
        <f>HYD!AI9</f>
        <v>0</v>
      </c>
      <c r="V7" s="52">
        <f>HYD!AJ9</f>
        <v>0</v>
      </c>
      <c r="W7" s="52">
        <f>HYD!AK9</f>
        <v>0</v>
      </c>
      <c r="X7" s="52">
        <f>HYD!AL9</f>
        <v>0</v>
      </c>
      <c r="Y7" s="53">
        <f>GSD!S9</f>
        <v>97.6</v>
      </c>
      <c r="Z7" s="53">
        <f>GSD!T9</f>
        <v>71.91</v>
      </c>
      <c r="AA7" s="53">
        <f>GSD!U9</f>
        <v>59.660000000000004</v>
      </c>
      <c r="AB7" s="53">
        <f>GSD!V9</f>
        <v>41.649999999999991</v>
      </c>
      <c r="AC7" s="53">
        <f>GSD!W9</f>
        <v>32.609999999999985</v>
      </c>
      <c r="AD7" s="53">
        <f>GSD!X9</f>
        <v>29.169999999999984</v>
      </c>
      <c r="AE7" s="53">
        <f>GSD!Y9</f>
        <v>23.22999999999999</v>
      </c>
      <c r="AF7" s="53">
        <f>GSD!Z9</f>
        <v>21.109999999999985</v>
      </c>
      <c r="AG7" s="53">
        <f>HYD!AM9</f>
        <v>0</v>
      </c>
      <c r="AH7" s="53">
        <f>HYD!AN9</f>
        <v>0</v>
      </c>
      <c r="AI7" s="53">
        <f>HYD!AO9</f>
        <v>0</v>
      </c>
      <c r="AJ7" s="53">
        <f>HYD!AP9</f>
        <v>0</v>
      </c>
      <c r="AK7" s="53">
        <f>HYD!AQ9</f>
        <v>0</v>
      </c>
      <c r="AL7" s="53">
        <f>HYD!AR9</f>
        <v>0</v>
      </c>
      <c r="AM7" s="53">
        <f>HYD!AS9</f>
        <v>0</v>
      </c>
      <c r="AN7" s="53">
        <f>HYD!AT9</f>
        <v>0</v>
      </c>
      <c r="AO7" s="53">
        <f>HYD!AU9</f>
        <v>0</v>
      </c>
      <c r="AP7" s="53">
        <f>HYD!AV9</f>
        <v>0</v>
      </c>
      <c r="AQ7" s="53">
        <f>HYD!AW9</f>
        <v>0</v>
      </c>
      <c r="AR7" s="53">
        <f>HYD!AX9</f>
        <v>0</v>
      </c>
      <c r="AS7" s="53">
        <f>HYD!AY9</f>
        <v>0</v>
      </c>
      <c r="AT7" s="53"/>
      <c r="AU7" s="53"/>
      <c r="AV7" s="53"/>
      <c r="AW7" s="53"/>
    </row>
    <row r="8" spans="1:49" s="41" customFormat="1" x14ac:dyDescent="0.25">
      <c r="A8" s="49">
        <v>6</v>
      </c>
      <c r="B8" s="49" t="str">
        <f t="shared" si="0"/>
        <v>SHBH-05</v>
      </c>
      <c r="C8" s="50">
        <f>GSD!F10</f>
        <v>7.5</v>
      </c>
      <c r="D8" s="51">
        <v>4.75</v>
      </c>
      <c r="E8" s="51">
        <v>2</v>
      </c>
      <c r="F8" s="51">
        <v>1.18</v>
      </c>
      <c r="G8" s="51">
        <v>0.6</v>
      </c>
      <c r="H8" s="51">
        <v>0.42499999999999999</v>
      </c>
      <c r="I8" s="51">
        <v>0.3</v>
      </c>
      <c r="J8" s="51">
        <v>0.15</v>
      </c>
      <c r="K8" s="51">
        <v>7.4999999999999997E-2</v>
      </c>
      <c r="L8" s="52">
        <f>HYD!Z10</f>
        <v>0</v>
      </c>
      <c r="M8" s="52">
        <f>HYD!AA10</f>
        <v>0</v>
      </c>
      <c r="N8" s="52">
        <f>HYD!AB10</f>
        <v>0</v>
      </c>
      <c r="O8" s="52">
        <f>HYD!AC10</f>
        <v>0</v>
      </c>
      <c r="P8" s="52">
        <f>HYD!AD10</f>
        <v>0</v>
      </c>
      <c r="Q8" s="52">
        <f>HYD!AE10</f>
        <v>0</v>
      </c>
      <c r="R8" s="52">
        <f>HYD!AF10</f>
        <v>0</v>
      </c>
      <c r="S8" s="52">
        <f>HYD!AG10</f>
        <v>0</v>
      </c>
      <c r="T8" s="52">
        <f>HYD!AH10</f>
        <v>0</v>
      </c>
      <c r="U8" s="52">
        <f>HYD!AI10</f>
        <v>0</v>
      </c>
      <c r="V8" s="52">
        <f>HYD!AJ10</f>
        <v>0</v>
      </c>
      <c r="W8" s="52">
        <f>HYD!AK10</f>
        <v>0</v>
      </c>
      <c r="X8" s="52">
        <f>HYD!AL10</f>
        <v>0</v>
      </c>
      <c r="Y8" s="53">
        <f>GSD!S10</f>
        <v>99.75</v>
      </c>
      <c r="Z8" s="53">
        <f>GSD!T10</f>
        <v>93.34</v>
      </c>
      <c r="AA8" s="53">
        <f>GSD!U10</f>
        <v>73.400000000000006</v>
      </c>
      <c r="AB8" s="53">
        <f>GSD!V10</f>
        <v>39.46</v>
      </c>
      <c r="AC8" s="53">
        <f>GSD!W10</f>
        <v>33.36</v>
      </c>
      <c r="AD8" s="53">
        <f>GSD!X10</f>
        <v>26.08</v>
      </c>
      <c r="AE8" s="53">
        <f>GSD!Y10</f>
        <v>22.659999999999997</v>
      </c>
      <c r="AF8" s="53">
        <f>GSD!Z10</f>
        <v>21.019999999999996</v>
      </c>
      <c r="AG8" s="53">
        <f>HYD!AM10</f>
        <v>0</v>
      </c>
      <c r="AH8" s="53">
        <f>HYD!AN10</f>
        <v>0</v>
      </c>
      <c r="AI8" s="53">
        <f>HYD!AO10</f>
        <v>0</v>
      </c>
      <c r="AJ8" s="53">
        <f>HYD!AP10</f>
        <v>0</v>
      </c>
      <c r="AK8" s="53">
        <f>HYD!AQ10</f>
        <v>0</v>
      </c>
      <c r="AL8" s="53">
        <f>HYD!AR10</f>
        <v>0</v>
      </c>
      <c r="AM8" s="53">
        <f>HYD!AS10</f>
        <v>0</v>
      </c>
      <c r="AN8" s="53">
        <f>HYD!AT10</f>
        <v>0</v>
      </c>
      <c r="AO8" s="53">
        <f>HYD!AU10</f>
        <v>0</v>
      </c>
      <c r="AP8" s="53">
        <f>HYD!AV10</f>
        <v>0</v>
      </c>
      <c r="AQ8" s="53">
        <f>HYD!AW10</f>
        <v>0</v>
      </c>
      <c r="AR8" s="53">
        <f>HYD!AX10</f>
        <v>0</v>
      </c>
      <c r="AS8" s="53">
        <f>HYD!AY10</f>
        <v>0</v>
      </c>
      <c r="AT8" s="53"/>
      <c r="AU8" s="53"/>
      <c r="AV8" s="53"/>
      <c r="AW8" s="53"/>
    </row>
    <row r="9" spans="1:49" s="41" customFormat="1" x14ac:dyDescent="0.25">
      <c r="A9" s="49">
        <v>7</v>
      </c>
      <c r="B9" s="49" t="str">
        <f t="shared" si="0"/>
        <v>SHBH-05</v>
      </c>
      <c r="C9" s="50">
        <f>GSD!F11</f>
        <v>10.5</v>
      </c>
      <c r="D9" s="51">
        <v>4.75</v>
      </c>
      <c r="E9" s="51">
        <v>2</v>
      </c>
      <c r="F9" s="51">
        <v>1.18</v>
      </c>
      <c r="G9" s="51">
        <v>0.6</v>
      </c>
      <c r="H9" s="51">
        <v>0.42499999999999999</v>
      </c>
      <c r="I9" s="51">
        <v>0.3</v>
      </c>
      <c r="J9" s="51">
        <v>0.15</v>
      </c>
      <c r="K9" s="51">
        <v>7.4999999999999997E-2</v>
      </c>
      <c r="L9" s="52">
        <f>HYD!Z11</f>
        <v>0</v>
      </c>
      <c r="M9" s="52">
        <f>HYD!AA11</f>
        <v>0</v>
      </c>
      <c r="N9" s="52">
        <f>HYD!AB11</f>
        <v>0</v>
      </c>
      <c r="O9" s="52">
        <f>HYD!AC11</f>
        <v>0</v>
      </c>
      <c r="P9" s="52">
        <f>HYD!AD11</f>
        <v>0</v>
      </c>
      <c r="Q9" s="52">
        <f>HYD!AE11</f>
        <v>0</v>
      </c>
      <c r="R9" s="52">
        <f>HYD!AF11</f>
        <v>0</v>
      </c>
      <c r="S9" s="52">
        <f>HYD!AG11</f>
        <v>0</v>
      </c>
      <c r="T9" s="52">
        <f>HYD!AH11</f>
        <v>0</v>
      </c>
      <c r="U9" s="52">
        <f>HYD!AI11</f>
        <v>0</v>
      </c>
      <c r="V9" s="52">
        <f>HYD!AJ11</f>
        <v>0</v>
      </c>
      <c r="W9" s="52">
        <f>HYD!AK11</f>
        <v>0</v>
      </c>
      <c r="X9" s="52">
        <f>HYD!AL11</f>
        <v>0</v>
      </c>
      <c r="Y9" s="53">
        <f>GSD!S11</f>
        <v>100</v>
      </c>
      <c r="Z9" s="53">
        <f>GSD!T11</f>
        <v>99.91</v>
      </c>
      <c r="AA9" s="53">
        <f>GSD!U11</f>
        <v>99.83</v>
      </c>
      <c r="AB9" s="53">
        <f>GSD!V11</f>
        <v>99.5</v>
      </c>
      <c r="AC9" s="53">
        <f>GSD!W11</f>
        <v>98.23</v>
      </c>
      <c r="AD9" s="53">
        <f>GSD!X11</f>
        <v>90.85</v>
      </c>
      <c r="AE9" s="53">
        <f>GSD!Y11</f>
        <v>46.18</v>
      </c>
      <c r="AF9" s="53">
        <f>GSD!Z11</f>
        <v>33.709999999999994</v>
      </c>
      <c r="AG9" s="53">
        <f>HYD!AM11</f>
        <v>0</v>
      </c>
      <c r="AH9" s="53">
        <f>HYD!AN11</f>
        <v>0</v>
      </c>
      <c r="AI9" s="53">
        <f>HYD!AO11</f>
        <v>0</v>
      </c>
      <c r="AJ9" s="53">
        <f>HYD!AP11</f>
        <v>0</v>
      </c>
      <c r="AK9" s="53">
        <f>HYD!AQ11</f>
        <v>0</v>
      </c>
      <c r="AL9" s="53">
        <f>HYD!AR11</f>
        <v>0</v>
      </c>
      <c r="AM9" s="53">
        <f>HYD!AS11</f>
        <v>0</v>
      </c>
      <c r="AN9" s="53">
        <f>HYD!AT11</f>
        <v>0</v>
      </c>
      <c r="AO9" s="53">
        <f>HYD!AU11</f>
        <v>0</v>
      </c>
      <c r="AP9" s="53">
        <f>HYD!AV11</f>
        <v>0</v>
      </c>
      <c r="AQ9" s="53">
        <f>HYD!AW11</f>
        <v>0</v>
      </c>
      <c r="AR9" s="53">
        <f>HYD!AX11</f>
        <v>0</v>
      </c>
      <c r="AS9" s="53">
        <f>HYD!AY11</f>
        <v>0</v>
      </c>
      <c r="AT9" s="55"/>
      <c r="AU9" s="55"/>
      <c r="AV9" s="55"/>
      <c r="AW9" s="55"/>
    </row>
    <row r="10" spans="1:49" s="41" customFormat="1" x14ac:dyDescent="0.25">
      <c r="A10" s="49"/>
      <c r="B10" s="49"/>
      <c r="C10" s="50"/>
      <c r="D10" s="51"/>
      <c r="E10" s="51"/>
      <c r="F10" s="51"/>
      <c r="G10" s="51"/>
      <c r="H10" s="51"/>
      <c r="I10" s="51"/>
      <c r="J10" s="51"/>
      <c r="K10" s="51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5"/>
      <c r="AU10" s="55"/>
      <c r="AV10" s="55"/>
      <c r="AW10" s="55"/>
    </row>
    <row r="11" spans="1:49" s="41" customFormat="1" x14ac:dyDescent="0.25">
      <c r="A11" s="49"/>
      <c r="B11" s="49"/>
      <c r="C11" s="50"/>
      <c r="D11" s="51"/>
      <c r="E11" s="51"/>
      <c r="F11" s="51"/>
      <c r="G11" s="51"/>
      <c r="H11" s="51"/>
      <c r="I11" s="51"/>
      <c r="J11" s="51"/>
      <c r="K11" s="51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3"/>
      <c r="Z11" s="53"/>
      <c r="AA11" s="53"/>
      <c r="AB11" s="53"/>
      <c r="AC11" s="53"/>
      <c r="AD11" s="53"/>
      <c r="AE11" s="53"/>
      <c r="AF11" s="53"/>
      <c r="AG11" s="53"/>
      <c r="AH11" s="53"/>
      <c r="AI11" s="53"/>
      <c r="AJ11" s="53"/>
      <c r="AK11" s="53"/>
      <c r="AL11" s="53"/>
      <c r="AM11" s="53"/>
      <c r="AN11" s="53"/>
      <c r="AO11" s="53"/>
      <c r="AP11" s="53"/>
      <c r="AQ11" s="53"/>
      <c r="AR11" s="53"/>
      <c r="AS11" s="53"/>
      <c r="AT11" s="55"/>
      <c r="AU11" s="55"/>
      <c r="AV11" s="55"/>
      <c r="AW11" s="55"/>
    </row>
  </sheetData>
  <mergeCells count="4">
    <mergeCell ref="D2:K2"/>
    <mergeCell ref="L2:X2"/>
    <mergeCell ref="Y2:AF2"/>
    <mergeCell ref="AG2:AS2"/>
  </mergeCells>
  <phoneticPr fontId="10" type="noConversion"/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GSD</vt:lpstr>
      <vt:lpstr>HYD</vt:lpstr>
      <vt:lpstr>Sheet4</vt:lpstr>
      <vt:lpstr>PLOT</vt:lpstr>
      <vt:lpstr>GSD!Print_Area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baps</dc:creator>
  <cp:lastModifiedBy>baps</cp:lastModifiedBy>
  <dcterms:created xsi:type="dcterms:W3CDTF">2026-06-15T06:47:07Z</dcterms:created>
  <dcterms:modified xsi:type="dcterms:W3CDTF">2026-09-17T12:39:41Z</dcterms:modified>
</cp:coreProperties>
</file>