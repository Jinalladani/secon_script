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002_WORKING DOCUMENTS\GUJARAT SECTION\02_TEST RESULTS\LOT-02\3. Sakra Nadi River @ 14.760 km (RBH-07 to RBH-11)\GSD &amp; HYD\"/>
    </mc:Choice>
  </mc:AlternateContent>
  <xr:revisionPtr revIDLastSave="0" documentId="13_ncr:1_{FB45D11F-6538-43D4-9A51-FE575C650A2E}" xr6:coauthVersionLast="47" xr6:coauthVersionMax="47" xr10:uidLastSave="{00000000-0000-0000-0000-000000000000}"/>
  <bookViews>
    <workbookView xWindow="-120" yWindow="-120" windowWidth="29040" windowHeight="15720" activeTab="3" xr2:uid="{B16E64A8-CC9D-4A8A-9F41-7FD552CE8813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GSD!$A$1:$Y$17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5" i="6" l="1"/>
  <c r="I17" i="7"/>
  <c r="I16" i="7"/>
  <c r="I15" i="7"/>
  <c r="I14" i="7"/>
  <c r="I13" i="7"/>
  <c r="I12" i="7"/>
  <c r="I11" i="7"/>
  <c r="I10" i="7"/>
  <c r="I9" i="7"/>
  <c r="I8" i="7"/>
  <c r="I7" i="7"/>
  <c r="I6" i="7"/>
  <c r="I5" i="7"/>
  <c r="AO15" i="6" l="1"/>
  <c r="AN15" i="6"/>
  <c r="AM15" i="6"/>
  <c r="AL15" i="6"/>
  <c r="AK15" i="6"/>
  <c r="AJ15" i="6"/>
  <c r="AI15" i="6"/>
  <c r="AH15" i="6"/>
  <c r="AG15" i="6"/>
  <c r="AF15" i="6"/>
  <c r="AE15" i="6"/>
  <c r="AD15" i="6"/>
  <c r="AC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K17" i="8"/>
  <c r="F17" i="8"/>
  <c r="D17" i="8"/>
  <c r="C17" i="8"/>
  <c r="V17" i="7"/>
  <c r="Y17" i="7" s="1"/>
  <c r="U17" i="7"/>
  <c r="AA15" i="6" s="1"/>
  <c r="T17" i="7"/>
  <c r="Z15" i="6" s="1"/>
  <c r="S17" i="7"/>
  <c r="Y15" i="6" s="1"/>
  <c r="R17" i="7"/>
  <c r="X15" i="6" s="1"/>
  <c r="Q17" i="7"/>
  <c r="W15" i="6" s="1"/>
  <c r="AC4" i="6"/>
  <c r="AD4" i="6"/>
  <c r="AE4" i="6"/>
  <c r="AF4" i="6"/>
  <c r="AG4" i="6"/>
  <c r="AH4" i="6"/>
  <c r="AI4" i="6"/>
  <c r="AJ4" i="6"/>
  <c r="AK4" i="6"/>
  <c r="AL4" i="6"/>
  <c r="AM4" i="6"/>
  <c r="AN4" i="6"/>
  <c r="AO4" i="6"/>
  <c r="AC5" i="6"/>
  <c r="AD5" i="6"/>
  <c r="AE5" i="6"/>
  <c r="AF5" i="6"/>
  <c r="AG5" i="6"/>
  <c r="AH5" i="6"/>
  <c r="AI5" i="6"/>
  <c r="AJ5" i="6"/>
  <c r="AK5" i="6"/>
  <c r="AL5" i="6"/>
  <c r="AM5" i="6"/>
  <c r="AN5" i="6"/>
  <c r="AO5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C13" i="6"/>
  <c r="AD13" i="6"/>
  <c r="AE13" i="6"/>
  <c r="AF13" i="6"/>
  <c r="AG13" i="6"/>
  <c r="AH13" i="6"/>
  <c r="AI13" i="6"/>
  <c r="AJ13" i="6"/>
  <c r="AK13" i="6"/>
  <c r="AL13" i="6"/>
  <c r="AM13" i="6"/>
  <c r="AN13" i="6"/>
  <c r="AO13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D3" i="6"/>
  <c r="AE3" i="6"/>
  <c r="AF3" i="6"/>
  <c r="AG3" i="6"/>
  <c r="AH3" i="6"/>
  <c r="AI3" i="6"/>
  <c r="AJ3" i="6"/>
  <c r="AK3" i="6"/>
  <c r="AL3" i="6"/>
  <c r="AM3" i="6"/>
  <c r="AN3" i="6"/>
  <c r="AO3" i="6"/>
  <c r="AC3" i="6"/>
  <c r="J4" i="6"/>
  <c r="K4" i="6"/>
  <c r="L4" i="6"/>
  <c r="M4" i="6"/>
  <c r="N4" i="6"/>
  <c r="O4" i="6"/>
  <c r="P4" i="6"/>
  <c r="Q4" i="6"/>
  <c r="R4" i="6"/>
  <c r="S4" i="6"/>
  <c r="T4" i="6"/>
  <c r="U4" i="6"/>
  <c r="V4" i="6"/>
  <c r="J5" i="6"/>
  <c r="K5" i="6"/>
  <c r="L5" i="6"/>
  <c r="M5" i="6"/>
  <c r="N5" i="6"/>
  <c r="O5" i="6"/>
  <c r="P5" i="6"/>
  <c r="Q5" i="6"/>
  <c r="R5" i="6"/>
  <c r="S5" i="6"/>
  <c r="T5" i="6"/>
  <c r="U5" i="6"/>
  <c r="V5" i="6"/>
  <c r="J6" i="6"/>
  <c r="K6" i="6"/>
  <c r="L6" i="6"/>
  <c r="M6" i="6"/>
  <c r="N6" i="6"/>
  <c r="O6" i="6"/>
  <c r="P6" i="6"/>
  <c r="Q6" i="6"/>
  <c r="R6" i="6"/>
  <c r="S6" i="6"/>
  <c r="T6" i="6"/>
  <c r="U6" i="6"/>
  <c r="V6" i="6"/>
  <c r="J7" i="6"/>
  <c r="K7" i="6"/>
  <c r="L7" i="6"/>
  <c r="M7" i="6"/>
  <c r="N7" i="6"/>
  <c r="O7" i="6"/>
  <c r="P7" i="6"/>
  <c r="Q7" i="6"/>
  <c r="R7" i="6"/>
  <c r="S7" i="6"/>
  <c r="T7" i="6"/>
  <c r="U7" i="6"/>
  <c r="V7" i="6"/>
  <c r="J8" i="6"/>
  <c r="K8" i="6"/>
  <c r="L8" i="6"/>
  <c r="M8" i="6"/>
  <c r="N8" i="6"/>
  <c r="O8" i="6"/>
  <c r="P8" i="6"/>
  <c r="Q8" i="6"/>
  <c r="R8" i="6"/>
  <c r="S8" i="6"/>
  <c r="T8" i="6"/>
  <c r="U8" i="6"/>
  <c r="V8" i="6"/>
  <c r="J9" i="6"/>
  <c r="K9" i="6"/>
  <c r="L9" i="6"/>
  <c r="M9" i="6"/>
  <c r="N9" i="6"/>
  <c r="O9" i="6"/>
  <c r="P9" i="6"/>
  <c r="Q9" i="6"/>
  <c r="R9" i="6"/>
  <c r="S9" i="6"/>
  <c r="T9" i="6"/>
  <c r="U9" i="6"/>
  <c r="V9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K3" i="6"/>
  <c r="L3" i="6"/>
  <c r="M3" i="6"/>
  <c r="N3" i="6"/>
  <c r="O3" i="6"/>
  <c r="P3" i="6"/>
  <c r="Q3" i="6"/>
  <c r="R3" i="6"/>
  <c r="S3" i="6"/>
  <c r="T3" i="6"/>
  <c r="U3" i="6"/>
  <c r="V3" i="6"/>
  <c r="J3" i="6"/>
  <c r="V5" i="7"/>
  <c r="AB3" i="6" s="1"/>
  <c r="U5" i="7"/>
  <c r="AA3" i="6" s="1"/>
  <c r="T5" i="7"/>
  <c r="Z3" i="6" s="1"/>
  <c r="S5" i="7"/>
  <c r="Y3" i="6" s="1"/>
  <c r="R5" i="7"/>
  <c r="X3" i="6" s="1"/>
  <c r="Q5" i="7"/>
  <c r="C4" i="6"/>
  <c r="C5" i="6"/>
  <c r="C6" i="6"/>
  <c r="C7" i="6"/>
  <c r="C8" i="6"/>
  <c r="C9" i="6"/>
  <c r="C10" i="6"/>
  <c r="C11" i="6"/>
  <c r="C12" i="6"/>
  <c r="C13" i="6"/>
  <c r="C14" i="6"/>
  <c r="C3" i="6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D6" i="8"/>
  <c r="D7" i="8"/>
  <c r="D8" i="8"/>
  <c r="D9" i="8"/>
  <c r="D10" i="8"/>
  <c r="D11" i="8"/>
  <c r="D12" i="8"/>
  <c r="D13" i="8"/>
  <c r="D14" i="8"/>
  <c r="D15" i="8"/>
  <c r="D16" i="8"/>
  <c r="D5" i="8"/>
  <c r="C6" i="8"/>
  <c r="C7" i="8"/>
  <c r="C8" i="8"/>
  <c r="C9" i="8"/>
  <c r="C10" i="8"/>
  <c r="C11" i="8"/>
  <c r="C12" i="8"/>
  <c r="C13" i="8"/>
  <c r="C14" i="8"/>
  <c r="C15" i="8"/>
  <c r="C16" i="8"/>
  <c r="C5" i="8"/>
  <c r="B5" i="8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AB15" i="6" l="1"/>
  <c r="X17" i="7"/>
  <c r="W17" i="7"/>
  <c r="X5" i="7"/>
  <c r="W5" i="7"/>
  <c r="Y5" i="7"/>
  <c r="W3" i="6"/>
  <c r="K16" i="8"/>
  <c r="F16" i="8"/>
  <c r="K15" i="8"/>
  <c r="F15" i="8"/>
  <c r="K14" i="8"/>
  <c r="F14" i="8"/>
  <c r="K13" i="8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16" i="7" l="1"/>
  <c r="U16" i="7"/>
  <c r="AA14" i="6" s="1"/>
  <c r="T16" i="7"/>
  <c r="Z14" i="6" s="1"/>
  <c r="S16" i="7"/>
  <c r="Y14" i="6" s="1"/>
  <c r="R16" i="7"/>
  <c r="X14" i="6" s="1"/>
  <c r="Q16" i="7"/>
  <c r="V15" i="7"/>
  <c r="U15" i="7"/>
  <c r="AA13" i="6" s="1"/>
  <c r="T15" i="7"/>
  <c r="Z13" i="6" s="1"/>
  <c r="S15" i="7"/>
  <c r="Y13" i="6" s="1"/>
  <c r="R15" i="7"/>
  <c r="X13" i="6" s="1"/>
  <c r="Q15" i="7"/>
  <c r="V14" i="7"/>
  <c r="U14" i="7"/>
  <c r="AA12" i="6" s="1"/>
  <c r="T14" i="7"/>
  <c r="Z12" i="6" s="1"/>
  <c r="S14" i="7"/>
  <c r="Y12" i="6" s="1"/>
  <c r="R14" i="7"/>
  <c r="X12" i="6" s="1"/>
  <c r="Q14" i="7"/>
  <c r="V13" i="7"/>
  <c r="U13" i="7"/>
  <c r="AA11" i="6" s="1"/>
  <c r="T13" i="7"/>
  <c r="Z11" i="6" s="1"/>
  <c r="S13" i="7"/>
  <c r="Y11" i="6" s="1"/>
  <c r="R13" i="7"/>
  <c r="X11" i="6" s="1"/>
  <c r="Q13" i="7"/>
  <c r="V12" i="7"/>
  <c r="U12" i="7"/>
  <c r="AA10" i="6" s="1"/>
  <c r="T12" i="7"/>
  <c r="Z10" i="6" s="1"/>
  <c r="S12" i="7"/>
  <c r="Y10" i="6" s="1"/>
  <c r="R12" i="7"/>
  <c r="X10" i="6" s="1"/>
  <c r="Q12" i="7"/>
  <c r="V11" i="7"/>
  <c r="U11" i="7"/>
  <c r="AA9" i="6" s="1"/>
  <c r="T11" i="7"/>
  <c r="Z9" i="6" s="1"/>
  <c r="S11" i="7"/>
  <c r="Y9" i="6" s="1"/>
  <c r="R11" i="7"/>
  <c r="X9" i="6" s="1"/>
  <c r="Q11" i="7"/>
  <c r="V10" i="7"/>
  <c r="U10" i="7"/>
  <c r="AA8" i="6" s="1"/>
  <c r="T10" i="7"/>
  <c r="Z8" i="6" s="1"/>
  <c r="S10" i="7"/>
  <c r="Y8" i="6" s="1"/>
  <c r="R10" i="7"/>
  <c r="X8" i="6" s="1"/>
  <c r="Q10" i="7"/>
  <c r="V9" i="7"/>
  <c r="U9" i="7"/>
  <c r="AA7" i="6" s="1"/>
  <c r="T9" i="7"/>
  <c r="Z7" i="6" s="1"/>
  <c r="S9" i="7"/>
  <c r="Y7" i="6" s="1"/>
  <c r="R9" i="7"/>
  <c r="X7" i="6" s="1"/>
  <c r="Q9" i="7"/>
  <c r="V8" i="7"/>
  <c r="U8" i="7"/>
  <c r="AA6" i="6" s="1"/>
  <c r="T8" i="7"/>
  <c r="Z6" i="6" s="1"/>
  <c r="S8" i="7"/>
  <c r="Y6" i="6" s="1"/>
  <c r="R8" i="7"/>
  <c r="X6" i="6" s="1"/>
  <c r="Q8" i="7"/>
  <c r="V7" i="7"/>
  <c r="U7" i="7"/>
  <c r="AA5" i="6" s="1"/>
  <c r="T7" i="7"/>
  <c r="Z5" i="6" s="1"/>
  <c r="S7" i="7"/>
  <c r="Y5" i="6" s="1"/>
  <c r="R7" i="7"/>
  <c r="X5" i="6" s="1"/>
  <c r="Q7" i="7"/>
  <c r="V6" i="7"/>
  <c r="U6" i="7"/>
  <c r="AA4" i="6" s="1"/>
  <c r="T6" i="7"/>
  <c r="Z4" i="6" s="1"/>
  <c r="S6" i="7"/>
  <c r="Y4" i="6" s="1"/>
  <c r="R6" i="7"/>
  <c r="X4" i="6" s="1"/>
  <c r="Q6" i="7"/>
  <c r="W6" i="6" l="1"/>
  <c r="W8" i="7"/>
  <c r="X8" i="7"/>
  <c r="W7" i="6"/>
  <c r="X9" i="7"/>
  <c r="W9" i="7"/>
  <c r="W8" i="6"/>
  <c r="W10" i="7"/>
  <c r="X10" i="7"/>
  <c r="W9" i="6"/>
  <c r="X11" i="7"/>
  <c r="W11" i="7"/>
  <c r="W11" i="6"/>
  <c r="X13" i="7"/>
  <c r="W13" i="7"/>
  <c r="W14" i="6"/>
  <c r="W16" i="7"/>
  <c r="X16" i="7"/>
  <c r="W10" i="6"/>
  <c r="W12" i="7"/>
  <c r="X12" i="7"/>
  <c r="W4" i="6"/>
  <c r="W6" i="7"/>
  <c r="X6" i="7"/>
  <c r="W12" i="6"/>
  <c r="W14" i="7"/>
  <c r="X14" i="7"/>
  <c r="W5" i="6"/>
  <c r="X7" i="7"/>
  <c r="W7" i="7"/>
  <c r="W13" i="6"/>
  <c r="W15" i="7"/>
  <c r="X15" i="7"/>
  <c r="Y6" i="7"/>
  <c r="AB4" i="6"/>
  <c r="AB5" i="6"/>
  <c r="Y7" i="7"/>
  <c r="Y8" i="7"/>
  <c r="AB6" i="6"/>
  <c r="AB7" i="6"/>
  <c r="Y9" i="7"/>
  <c r="Y10" i="7"/>
  <c r="AB8" i="6"/>
  <c r="AB9" i="6"/>
  <c r="Y11" i="7"/>
  <c r="Y12" i="7"/>
  <c r="AB10" i="6"/>
  <c r="AB11" i="6"/>
  <c r="Y13" i="7"/>
  <c r="Y14" i="7"/>
  <c r="AB12" i="6"/>
  <c r="AB13" i="6"/>
  <c r="Y15" i="7"/>
  <c r="Y16" i="7"/>
  <c r="AB14" i="6"/>
</calcChain>
</file>

<file path=xl/sharedStrings.xml><?xml version="1.0" encoding="utf-8"?>
<sst xmlns="http://schemas.openxmlformats.org/spreadsheetml/2006/main" count="92" uniqueCount="52">
  <si>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</si>
  <si>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</si>
  <si>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</si>
  <si>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</si>
  <si>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</si>
  <si>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</si>
  <si>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</si>
  <si>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</si>
  <si>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</si>
  <si>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</si>
  <si>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</si>
  <si>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</si>
  <si>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</si>
  <si>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</si>
  <si>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</si>
  <si>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</si>
  <si>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</si>
  <si>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</si>
  <si>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</si>
  <si>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</si>
  <si>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</si>
  <si>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</si>
  <si>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</si>
  <si>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</si>
  <si>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</si>
  <si>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</si>
  <si>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</si>
  <si>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</si>
  <si>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</si>
  <si>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</si>
  <si>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</si>
  <si>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</si>
  <si>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</si>
  <si>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</si>
  <si>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</si>
  <si>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</si>
  <si>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</si>
  <si>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</si>
  <si>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</si>
  <si>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</si>
  <si>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</si>
  <si>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</si>
  <si>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</si>
  <si>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</si>
  <si>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</si>
  <si>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</si>
  <si>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</si>
  <si>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SPT</t>
  </si>
  <si>
    <t>UDS</t>
  </si>
  <si>
    <t>RBH-8</t>
  </si>
  <si>
    <t>G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</si>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</sst>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91">
    <xf numFmtId="0" fontId="0" fillId="0" borderId="0" xfId="0"/>
    <xf numFmtId="2" fontId="0" fillId="0" borderId="0" xfId="0" applyNumberFormat="1" applyAlignment="1">
      <alignment horizontal="center" vertical="center"/>
    </xf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vertical="center" wrapText="1"/>
    </xf>
    <xf numFmtId="165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1" fillId="0" borderId="0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3" borderId="1" xfId="0" applyNumberFormat="1" applyFont="1" applyFill="1" applyBorder="1" applyAlignment="1">
      <alignment horizontal="center" vertical="center"/>
    </xf>
    <xf numFmtId="2" fontId="11" fillId="3" borderId="1" xfId="0" applyNumberFormat="1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11" fillId="3" borderId="1" xfId="0" applyFont="1" applyFill="1" applyBorder="1" applyAlignment="1">
      <alignment horizontal="center" vertical="center"/>
    </xf>
    <xf numFmtId="167" fontId="11" fillId="3" borderId="1" xfId="0" applyNumberFormat="1" applyFont="1" applyFill="1" applyBorder="1" applyAlignment="1">
      <alignment horizontal="center" vertical="center"/>
    </xf>
    <xf numFmtId="165" fontId="11" fillId="3" borderId="1" xfId="0" applyNumberFormat="1" applyFont="1" applyFill="1" applyBorder="1" applyAlignment="1">
      <alignment horizontal="center" vertical="center"/>
    </xf>
    <xf numFmtId="2" fontId="9" fillId="3" borderId="0" xfId="0" applyNumberFormat="1" applyFont="1" applyFill="1" applyBorder="1" applyAlignment="1">
      <alignment horizontal="center" vertical="center"/>
    </xf>
    <xf numFmtId="0" fontId="0" fillId="3" borderId="0" xfId="0" applyFill="1"/>
    <xf numFmtId="0" fontId="0" fillId="0" borderId="0" xfId="0" applyAlignment="1">
      <alignment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167" fontId="11" fillId="0" borderId="1" xfId="0" applyNumberFormat="1" applyFont="1" applyFill="1" applyBorder="1" applyAlignment="1">
      <alignment horizontal="center" vertical="center"/>
    </xf>
    <xf numFmtId="165" fontId="11" fillId="0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165" fontId="2" fillId="0" borderId="0" xfId="0" applyNumberFormat="1" applyFont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textRotation="90"/>
    </xf>
    <xf numFmtId="0" fontId="1" fillId="0" borderId="7" xfId="0" applyFont="1" applyBorder="1" applyAlignment="1">
      <alignment horizontal="center" vertical="center" textRotation="90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7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1.5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GSD!$Q$5:$V$5</c:f>
              <c:numCache>
                <c:formatCode>0.00</c:formatCode>
                <c:ptCount val="6"/>
                <c:pt idx="0">
                  <c:v>99.68</c:v>
                </c:pt>
                <c:pt idx="1">
                  <c:v>98.63</c:v>
                </c:pt>
                <c:pt idx="2">
                  <c:v>93.905000000000001</c:v>
                </c:pt>
                <c:pt idx="3">
                  <c:v>62.759999999999991</c:v>
                </c:pt>
                <c:pt idx="4">
                  <c:v>48.81</c:v>
                </c:pt>
                <c:pt idx="5">
                  <c:v>38.72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3.5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GSD!$Q$6:$V$6</c:f>
              <c:numCache>
                <c:formatCode>0.00</c:formatCode>
                <c:ptCount val="6"/>
                <c:pt idx="0">
                  <c:v>97.09</c:v>
                </c:pt>
                <c:pt idx="1">
                  <c:v>93.18</c:v>
                </c:pt>
                <c:pt idx="2">
                  <c:v>86.76</c:v>
                </c:pt>
                <c:pt idx="3">
                  <c:v>78.210000000000008</c:v>
                </c:pt>
                <c:pt idx="4">
                  <c:v>73.89</c:v>
                </c:pt>
                <c:pt idx="5">
                  <c:v>70.7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4.5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GSD!$Q$7:$V$7</c:f>
              <c:numCache>
                <c:formatCode>0.00</c:formatCode>
                <c:ptCount val="6"/>
                <c:pt idx="0">
                  <c:v>99.784999999999997</c:v>
                </c:pt>
                <c:pt idx="1">
                  <c:v>99.63</c:v>
                </c:pt>
                <c:pt idx="2">
                  <c:v>95.275000000000006</c:v>
                </c:pt>
                <c:pt idx="3">
                  <c:v>69.564999999999998</c:v>
                </c:pt>
                <c:pt idx="4">
                  <c:v>56.265000000000001</c:v>
                </c:pt>
                <c:pt idx="5">
                  <c:v>44.870000000000005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6.5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GSD!$Q$8:$V$8</c:f>
              <c:numCache>
                <c:formatCode>0.00</c:formatCode>
                <c:ptCount val="6"/>
                <c:pt idx="0">
                  <c:v>97.8</c:v>
                </c:pt>
                <c:pt idx="1">
                  <c:v>95.41</c:v>
                </c:pt>
                <c:pt idx="2">
                  <c:v>88.98</c:v>
                </c:pt>
                <c:pt idx="3">
                  <c:v>74.710000000000008</c:v>
                </c:pt>
                <c:pt idx="4">
                  <c:v>65.97</c:v>
                </c:pt>
                <c:pt idx="5">
                  <c:v>61.870000000000005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7.5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GSD!$Q$9:$V$9</c:f>
              <c:numCache>
                <c:formatCode>0.00</c:formatCode>
                <c:ptCount val="6"/>
                <c:pt idx="0">
                  <c:v>100</c:v>
                </c:pt>
                <c:pt idx="1">
                  <c:v>98.325000000000003</c:v>
                </c:pt>
                <c:pt idx="2">
                  <c:v>88.245000000000005</c:v>
                </c:pt>
                <c:pt idx="3">
                  <c:v>73.045000000000002</c:v>
                </c:pt>
                <c:pt idx="4">
                  <c:v>64.12</c:v>
                </c:pt>
                <c:pt idx="5">
                  <c:v>59.48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9.5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GSD!$Q$10:$V$10</c:f>
              <c:numCache>
                <c:formatCode>0.00</c:formatCode>
                <c:ptCount val="6"/>
                <c:pt idx="0">
                  <c:v>98.74</c:v>
                </c:pt>
                <c:pt idx="1">
                  <c:v>96.88</c:v>
                </c:pt>
                <c:pt idx="2">
                  <c:v>90.48</c:v>
                </c:pt>
                <c:pt idx="3">
                  <c:v>82.2</c:v>
                </c:pt>
                <c:pt idx="4">
                  <c:v>76.47</c:v>
                </c:pt>
                <c:pt idx="5">
                  <c:v>69.98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GSD!$Q$11:$V$11</c:f>
              <c:numCache>
                <c:formatCode>0.00</c:formatCode>
                <c:ptCount val="6"/>
                <c:pt idx="0">
                  <c:v>99.3</c:v>
                </c:pt>
                <c:pt idx="1">
                  <c:v>98.394999999999996</c:v>
                </c:pt>
                <c:pt idx="2">
                  <c:v>92.289999999999992</c:v>
                </c:pt>
                <c:pt idx="3">
                  <c:v>82.525000000000006</c:v>
                </c:pt>
                <c:pt idx="4">
                  <c:v>75.03</c:v>
                </c:pt>
                <c:pt idx="5">
                  <c:v>65.584999999999994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12.5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GSD!$Q$12:$V$12</c:f>
              <c:numCache>
                <c:formatCode>0.00</c:formatCode>
                <c:ptCount val="6"/>
                <c:pt idx="0">
                  <c:v>97.6</c:v>
                </c:pt>
                <c:pt idx="1">
                  <c:v>95.22</c:v>
                </c:pt>
                <c:pt idx="2">
                  <c:v>88.710000000000008</c:v>
                </c:pt>
                <c:pt idx="3">
                  <c:v>78.760000000000005</c:v>
                </c:pt>
                <c:pt idx="4">
                  <c:v>70.87</c:v>
                </c:pt>
                <c:pt idx="5">
                  <c:v>65.819999999999993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13.5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GSD!$Q$13:$V$13</c:f>
              <c:numCache>
                <c:formatCode>0.00</c:formatCode>
                <c:ptCount val="6"/>
                <c:pt idx="0">
                  <c:v>98.85</c:v>
                </c:pt>
                <c:pt idx="1">
                  <c:v>97.094999999999999</c:v>
                </c:pt>
                <c:pt idx="2">
                  <c:v>90.32</c:v>
                </c:pt>
                <c:pt idx="3">
                  <c:v>83.26</c:v>
                </c:pt>
                <c:pt idx="4">
                  <c:v>78.545000000000002</c:v>
                </c:pt>
                <c:pt idx="5">
                  <c:v>66.710000000000008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GSD!$F$14</c:f>
              <c:strCache>
                <c:ptCount val="1"/>
                <c:pt idx="0">
                  <c:v>15.5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GSD!$Q$14:$V$14</c:f>
              <c:numCache>
                <c:formatCode>0.00</c:formatCode>
                <c:ptCount val="6"/>
                <c:pt idx="0">
                  <c:v>98.56</c:v>
                </c:pt>
                <c:pt idx="1">
                  <c:v>96.3</c:v>
                </c:pt>
                <c:pt idx="2">
                  <c:v>89.92</c:v>
                </c:pt>
                <c:pt idx="3">
                  <c:v>82.59</c:v>
                </c:pt>
                <c:pt idx="4">
                  <c:v>77.89</c:v>
                </c:pt>
                <c:pt idx="5">
                  <c:v>70.760000000000005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GSD!$F$15</c:f>
              <c:strCache>
                <c:ptCount val="1"/>
                <c:pt idx="0">
                  <c:v>16.5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GSD!$Q$15:$V$15</c:f>
              <c:numCache>
                <c:formatCode>0.00</c:formatCode>
                <c:ptCount val="6"/>
                <c:pt idx="0">
                  <c:v>99.86</c:v>
                </c:pt>
                <c:pt idx="1">
                  <c:v>99.49</c:v>
                </c:pt>
                <c:pt idx="2">
                  <c:v>97.5</c:v>
                </c:pt>
                <c:pt idx="3">
                  <c:v>66.25</c:v>
                </c:pt>
                <c:pt idx="4">
                  <c:v>52.239999999999995</c:v>
                </c:pt>
                <c:pt idx="5">
                  <c:v>40.835000000000001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GSD!$F$16</c:f>
              <c:strCache>
                <c:ptCount val="1"/>
                <c:pt idx="0">
                  <c:v>18.5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GSD!$Q$16:$V$16</c:f>
              <c:numCache>
                <c:formatCode>0.00</c:formatCode>
                <c:ptCount val="6"/>
                <c:pt idx="0">
                  <c:v>99.46</c:v>
                </c:pt>
                <c:pt idx="1">
                  <c:v>97.97</c:v>
                </c:pt>
                <c:pt idx="2">
                  <c:v>94.23</c:v>
                </c:pt>
                <c:pt idx="3">
                  <c:v>88.43</c:v>
                </c:pt>
                <c:pt idx="4">
                  <c:v>83.05</c:v>
                </c:pt>
                <c:pt idx="5">
                  <c:v>76.430000000000007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GSD!$F$17</c:f>
              <c:strCache>
                <c:ptCount val="1"/>
                <c:pt idx="0">
                  <c:v>19.5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GSD!$Q$17:$V$17</c:f>
              <c:numCache>
                <c:formatCode>0.00</c:formatCode>
                <c:ptCount val="6"/>
                <c:pt idx="0">
                  <c:v>98.8</c:v>
                </c:pt>
                <c:pt idx="1">
                  <c:v>97.28</c:v>
                </c:pt>
                <c:pt idx="2">
                  <c:v>93.01</c:v>
                </c:pt>
                <c:pt idx="3">
                  <c:v>84.89</c:v>
                </c:pt>
                <c:pt idx="4">
                  <c:v>77.91</c:v>
                </c:pt>
                <c:pt idx="5">
                  <c:v>68.25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60-46FD-BC40-76F751D30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659604344900845E-2"/>
          <c:h val="0.603866277683614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8054208108062361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1.50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PLOT!$D$3:$I$3</c:f>
              <c:numCache>
                <c:formatCode>0.000</c:formatCode>
                <c:ptCount val="6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</c:numCache>
            </c:numRef>
          </c:xVal>
          <c:yVal>
            <c:numRef>
              <c:f>PLOT!$W$3:$AB$3</c:f>
              <c:numCache>
                <c:formatCode>0.00</c:formatCode>
                <c:ptCount val="6"/>
                <c:pt idx="0">
                  <c:v>99.68</c:v>
                </c:pt>
                <c:pt idx="1">
                  <c:v>98.63</c:v>
                </c:pt>
                <c:pt idx="2">
                  <c:v>93.905000000000001</c:v>
                </c:pt>
                <c:pt idx="3">
                  <c:v>62.759999999999991</c:v>
                </c:pt>
                <c:pt idx="4">
                  <c:v>48.81</c:v>
                </c:pt>
                <c:pt idx="5">
                  <c:v>38.72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PLOT!$D$4:$V$4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6.1031200406082994E-2</c:v>
                </c:pt>
                <c:pt idx="7" formatCode="0.00000">
                  <c:v>4.3155575671096458E-2</c:v>
                </c:pt>
                <c:pt idx="8" formatCode="0.00000">
                  <c:v>3.0515600203041497E-2</c:v>
                </c:pt>
                <c:pt idx="9" formatCode="0.00000">
                  <c:v>2.1859531846573393E-2</c:v>
                </c:pt>
                <c:pt idx="10" formatCode="0.00000">
                  <c:v>1.61883391710523E-2</c:v>
                </c:pt>
                <c:pt idx="11" formatCode="0.00000">
                  <c:v>1.1959518997122234E-2</c:v>
                </c:pt>
                <c:pt idx="12" formatCode="0.00000">
                  <c:v>8.4566569825944692E-3</c:v>
                </c:pt>
                <c:pt idx="13" formatCode="0.00000">
                  <c:v>6.0475948915520786E-3</c:v>
                </c:pt>
                <c:pt idx="14" formatCode="0.00000">
                  <c:v>4.2762953576855976E-3</c:v>
                </c:pt>
                <c:pt idx="15" formatCode="0.00000">
                  <c:v>3.0573388871705841E-3</c:v>
                </c:pt>
                <c:pt idx="16" formatCode="0.00000">
                  <c:v>2.1618650595036527E-3</c:v>
                </c:pt>
                <c:pt idx="17" formatCode="0.00000">
                  <c:v>1.5616706780602748E-3</c:v>
                </c:pt>
                <c:pt idx="18" formatCode="0.00000">
                  <c:v>1.275098769171298E-3</c:v>
                </c:pt>
              </c:numCache>
            </c:numRef>
          </c:xVal>
          <c:yVal>
            <c:numRef>
              <c:f>PLOT!$W$4:$AO$4</c:f>
              <c:numCache>
                <c:formatCode>0.00</c:formatCode>
                <c:ptCount val="19"/>
                <c:pt idx="0">
                  <c:v>97.09</c:v>
                </c:pt>
                <c:pt idx="1">
                  <c:v>93.18</c:v>
                </c:pt>
                <c:pt idx="2">
                  <c:v>86.76</c:v>
                </c:pt>
                <c:pt idx="3">
                  <c:v>78.210000000000008</c:v>
                </c:pt>
                <c:pt idx="4">
                  <c:v>73.89</c:v>
                </c:pt>
                <c:pt idx="5">
                  <c:v>70.7</c:v>
                </c:pt>
                <c:pt idx="6">
                  <c:v>53.401598802394901</c:v>
                </c:pt>
                <c:pt idx="7">
                  <c:v>53.401598802394901</c:v>
                </c:pt>
                <c:pt idx="8">
                  <c:v>53.401598802394901</c:v>
                </c:pt>
                <c:pt idx="9">
                  <c:v>50.203994011976093</c:v>
                </c:pt>
                <c:pt idx="10">
                  <c:v>50.203994011976093</c:v>
                </c:pt>
                <c:pt idx="11">
                  <c:v>47.006389221556574</c:v>
                </c:pt>
                <c:pt idx="12">
                  <c:v>47.006389221556574</c:v>
                </c:pt>
                <c:pt idx="13">
                  <c:v>43.808784431137767</c:v>
                </c:pt>
                <c:pt idx="14">
                  <c:v>43.808784431137767</c:v>
                </c:pt>
                <c:pt idx="15">
                  <c:v>40.611179640718248</c:v>
                </c:pt>
                <c:pt idx="16">
                  <c:v>40.611179640718248</c:v>
                </c:pt>
                <c:pt idx="17">
                  <c:v>34.215970059879915</c:v>
                </c:pt>
                <c:pt idx="18">
                  <c:v>34.215970059879915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4.50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PLOT!$D$5:$V$5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6.4895069975593203E-2</c:v>
                </c:pt>
                <c:pt idx="7" formatCode="0.00000">
                  <c:v>4.588774404531748E-2</c:v>
                </c:pt>
                <c:pt idx="8" formatCode="0.00000">
                  <c:v>3.2447534987796602E-2</c:v>
                </c:pt>
                <c:pt idx="9" formatCode="0.00000">
                  <c:v>2.294387202265874E-2</c:v>
                </c:pt>
                <c:pt idx="10" formatCode="0.00000">
                  <c:v>1.7081803326766593E-2</c:v>
                </c:pt>
                <c:pt idx="11" formatCode="0.00000">
                  <c:v>1.2474785339915802E-2</c:v>
                </c:pt>
                <c:pt idx="12" formatCode="0.00000">
                  <c:v>8.8210053077009947E-3</c:v>
                </c:pt>
                <c:pt idx="13" formatCode="0.00000">
                  <c:v>6.3009414146909673E-3</c:v>
                </c:pt>
                <c:pt idx="14" formatCode="0.00000">
                  <c:v>4.4554384021871412E-3</c:v>
                </c:pt>
                <c:pt idx="15" formatCode="0.00000">
                  <c:v>3.181927800229402E-3</c:v>
                </c:pt>
                <c:pt idx="16" formatCode="0.00000">
                  <c:v>2.2499627247882046E-3</c:v>
                </c:pt>
                <c:pt idx="17" formatCode="0.00000">
                  <c:v>1.6065384662297645E-3</c:v>
                </c:pt>
                <c:pt idx="18" formatCode="0.00000">
                  <c:v>1.3243276421096547E-3</c:v>
                </c:pt>
              </c:numCache>
              <c:extLst xmlns:c15="http://schemas.microsoft.com/office/drawing/2012/chart"/>
            </c:numRef>
          </c:xVal>
          <c:yVal>
            <c:numRef>
              <c:f>PLOT!$W$5:$AO$5</c:f>
              <c:numCache>
                <c:formatCode>0.00</c:formatCode>
                <c:ptCount val="19"/>
                <c:pt idx="0">
                  <c:v>99.784999999999997</c:v>
                </c:pt>
                <c:pt idx="1">
                  <c:v>99.63</c:v>
                </c:pt>
                <c:pt idx="2">
                  <c:v>95.275000000000006</c:v>
                </c:pt>
                <c:pt idx="3">
                  <c:v>69.564999999999998</c:v>
                </c:pt>
                <c:pt idx="4">
                  <c:v>56.265000000000001</c:v>
                </c:pt>
                <c:pt idx="5">
                  <c:v>44.870000000000005</c:v>
                </c:pt>
                <c:pt idx="6">
                  <c:v>33.916204678362256</c:v>
                </c:pt>
                <c:pt idx="7">
                  <c:v>33.916204678362256</c:v>
                </c:pt>
                <c:pt idx="8">
                  <c:v>33.916204678362256</c:v>
                </c:pt>
                <c:pt idx="9">
                  <c:v>33.916204678362256</c:v>
                </c:pt>
                <c:pt idx="10">
                  <c:v>30.746614035087749</c:v>
                </c:pt>
                <c:pt idx="11">
                  <c:v>30.746614035087749</c:v>
                </c:pt>
                <c:pt idx="12">
                  <c:v>30.746614035087749</c:v>
                </c:pt>
                <c:pt idx="13">
                  <c:v>27.577023391812542</c:v>
                </c:pt>
                <c:pt idx="14">
                  <c:v>27.577023391812542</c:v>
                </c:pt>
                <c:pt idx="15">
                  <c:v>24.407432748538035</c:v>
                </c:pt>
                <c:pt idx="16">
                  <c:v>24.407432748538035</c:v>
                </c:pt>
                <c:pt idx="17">
                  <c:v>21.237842105262825</c:v>
                </c:pt>
                <c:pt idx="18">
                  <c:v>18.068251461988321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6.50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PLOT!$D$6:$V$6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6.2969630908077071E-2</c:v>
                </c:pt>
                <c:pt idx="7" formatCode="0.00000">
                  <c:v>4.4526253023915309E-2</c:v>
                </c:pt>
                <c:pt idx="8" formatCode="0.00000">
                  <c:v>3.1484815454038535E-2</c:v>
                </c:pt>
                <c:pt idx="9" formatCode="0.00000">
                  <c:v>2.2263126511957654E-2</c:v>
                </c:pt>
                <c:pt idx="10" formatCode="0.00000">
                  <c:v>1.6678602050714444E-2</c:v>
                </c:pt>
                <c:pt idx="11" formatCode="0.00000">
                  <c:v>1.2180328761104298E-2</c:v>
                </c:pt>
                <c:pt idx="12" formatCode="0.00000">
                  <c:v>8.6127930640583876E-3</c:v>
                </c:pt>
                <c:pt idx="13" formatCode="0.00000">
                  <c:v>6.1592522250103945E-3</c:v>
                </c:pt>
                <c:pt idx="14" formatCode="0.00000">
                  <c:v>4.355249015343181E-3</c:v>
                </c:pt>
                <c:pt idx="15" formatCode="0.00000">
                  <c:v>3.1137868327988124E-3</c:v>
                </c:pt>
                <c:pt idx="16" formatCode="0.00000">
                  <c:v>2.2017797846414226E-3</c:v>
                </c:pt>
                <c:pt idx="17" formatCode="0.00000">
                  <c:v>1.5737884139393229E-3</c:v>
                </c:pt>
                <c:pt idx="18" formatCode="0.00000">
                  <c:v>1.298641041928445E-3</c:v>
                </c:pt>
              </c:numCache>
              <c:extLst xmlns:c15="http://schemas.microsoft.com/office/drawing/2012/chart"/>
            </c:numRef>
          </c:xVal>
          <c:yVal>
            <c:numRef>
              <c:f>PLOT!$W$6:$AO$6</c:f>
              <c:numCache>
                <c:formatCode>0.00</c:formatCode>
                <c:ptCount val="19"/>
                <c:pt idx="0">
                  <c:v>97.8</c:v>
                </c:pt>
                <c:pt idx="1">
                  <c:v>95.41</c:v>
                </c:pt>
                <c:pt idx="2">
                  <c:v>88.98</c:v>
                </c:pt>
                <c:pt idx="3">
                  <c:v>74.710000000000008</c:v>
                </c:pt>
                <c:pt idx="4">
                  <c:v>65.97</c:v>
                </c:pt>
                <c:pt idx="5">
                  <c:v>61.870000000000005</c:v>
                </c:pt>
                <c:pt idx="6">
                  <c:v>50.904726708074577</c:v>
                </c:pt>
                <c:pt idx="7">
                  <c:v>50.904726708074577</c:v>
                </c:pt>
                <c:pt idx="8">
                  <c:v>50.904726708074577</c:v>
                </c:pt>
                <c:pt idx="9">
                  <c:v>50.904726708074577</c:v>
                </c:pt>
                <c:pt idx="10">
                  <c:v>47.6624906832295</c:v>
                </c:pt>
                <c:pt idx="11">
                  <c:v>47.6624906832295</c:v>
                </c:pt>
                <c:pt idx="12">
                  <c:v>47.6624906832295</c:v>
                </c:pt>
                <c:pt idx="13">
                  <c:v>44.42025465838514</c:v>
                </c:pt>
                <c:pt idx="14">
                  <c:v>44.42025465838514</c:v>
                </c:pt>
                <c:pt idx="15">
                  <c:v>41.178018633540056</c:v>
                </c:pt>
                <c:pt idx="16">
                  <c:v>41.178018633540056</c:v>
                </c:pt>
                <c:pt idx="17">
                  <c:v>37.935782608695689</c:v>
                </c:pt>
                <c:pt idx="18">
                  <c:v>34.693546583850605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7.50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PLOT!$D$7:$V$7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6.2969630908077071E-2</c:v>
                </c:pt>
                <c:pt idx="7" formatCode="0.00000">
                  <c:v>4.4526253023915309E-2</c:v>
                </c:pt>
                <c:pt idx="8" formatCode="0.00000">
                  <c:v>3.1484815454038535E-2</c:v>
                </c:pt>
                <c:pt idx="9" formatCode="0.00000">
                  <c:v>2.2263126511957654E-2</c:v>
                </c:pt>
                <c:pt idx="10" formatCode="0.00000">
                  <c:v>1.6678602050714444E-2</c:v>
                </c:pt>
                <c:pt idx="11" formatCode="0.00000">
                  <c:v>1.2180328761104298E-2</c:v>
                </c:pt>
                <c:pt idx="12" formatCode="0.00000">
                  <c:v>8.6127930640583876E-3</c:v>
                </c:pt>
                <c:pt idx="13" formatCode="0.00000">
                  <c:v>6.1592522250103945E-3</c:v>
                </c:pt>
                <c:pt idx="14" formatCode="0.00000">
                  <c:v>4.355249015343181E-3</c:v>
                </c:pt>
                <c:pt idx="15" formatCode="0.00000">
                  <c:v>3.1137868327988124E-3</c:v>
                </c:pt>
                <c:pt idx="16" formatCode="0.00000">
                  <c:v>2.2017797846414226E-3</c:v>
                </c:pt>
                <c:pt idx="17" formatCode="0.00000">
                  <c:v>1.5737884139393229E-3</c:v>
                </c:pt>
                <c:pt idx="18" formatCode="0.00000">
                  <c:v>1.298641041928445E-3</c:v>
                </c:pt>
              </c:numCache>
              <c:extLst xmlns:c15="http://schemas.microsoft.com/office/drawing/2012/chart"/>
            </c:numRef>
          </c:xVal>
          <c:yVal>
            <c:numRef>
              <c:f>PLOT!$W$7:$AO$7</c:f>
              <c:numCache>
                <c:formatCode>0.00</c:formatCode>
                <c:ptCount val="19"/>
                <c:pt idx="0">
                  <c:v>100</c:v>
                </c:pt>
                <c:pt idx="1">
                  <c:v>98.325000000000003</c:v>
                </c:pt>
                <c:pt idx="2">
                  <c:v>88.245000000000005</c:v>
                </c:pt>
                <c:pt idx="3">
                  <c:v>73.045000000000002</c:v>
                </c:pt>
                <c:pt idx="4">
                  <c:v>64.12</c:v>
                </c:pt>
                <c:pt idx="5">
                  <c:v>59.48</c:v>
                </c:pt>
                <c:pt idx="6">
                  <c:v>50.904726708074577</c:v>
                </c:pt>
                <c:pt idx="7">
                  <c:v>50.904726708074577</c:v>
                </c:pt>
                <c:pt idx="8">
                  <c:v>50.904726708074577</c:v>
                </c:pt>
                <c:pt idx="9">
                  <c:v>50.904726708074577</c:v>
                </c:pt>
                <c:pt idx="10">
                  <c:v>47.6624906832295</c:v>
                </c:pt>
                <c:pt idx="11">
                  <c:v>47.6624906832295</c:v>
                </c:pt>
                <c:pt idx="12">
                  <c:v>47.6624906832295</c:v>
                </c:pt>
                <c:pt idx="13">
                  <c:v>44.42025465838514</c:v>
                </c:pt>
                <c:pt idx="14">
                  <c:v>44.42025465838514</c:v>
                </c:pt>
                <c:pt idx="15">
                  <c:v>41.178018633540056</c:v>
                </c:pt>
                <c:pt idx="16">
                  <c:v>41.178018633540056</c:v>
                </c:pt>
                <c:pt idx="17">
                  <c:v>37.935782608695689</c:v>
                </c:pt>
                <c:pt idx="18">
                  <c:v>34.693546583850605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9.50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PLOT!$D$8:$V$8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6.0746468347527664E-2</c:v>
                </c:pt>
                <c:pt idx="7" formatCode="0.00000">
                  <c:v>4.2954239701670775E-2</c:v>
                </c:pt>
                <c:pt idx="8" formatCode="0.00000">
                  <c:v>3.0373234173763832E-2</c:v>
                </c:pt>
                <c:pt idx="9" formatCode="0.00000">
                  <c:v>2.1477119850835388E-2</c:v>
                </c:pt>
                <c:pt idx="10" formatCode="0.00000">
                  <c:v>1.6089758776476754E-2</c:v>
                </c:pt>
                <c:pt idx="11" formatCode="0.00000">
                  <c:v>1.1750298435590721E-2</c:v>
                </c:pt>
                <c:pt idx="12" formatCode="0.00000">
                  <c:v>8.3087157047718792E-3</c:v>
                </c:pt>
                <c:pt idx="13" formatCode="0.00000">
                  <c:v>5.941797894245573E-3</c:v>
                </c:pt>
                <c:pt idx="14" formatCode="0.00000">
                  <c:v>4.2480905181481827E-3</c:v>
                </c:pt>
                <c:pt idx="15" formatCode="0.00000">
                  <c:v>3.0038536124768543E-3</c:v>
                </c:pt>
                <c:pt idx="16" formatCode="0.00000">
                  <c:v>2.1240452590740914E-3</c:v>
                </c:pt>
                <c:pt idx="17" formatCode="0.00000">
                  <c:v>1.5182253205935185E-3</c:v>
                </c:pt>
                <c:pt idx="18" formatCode="0.00000">
                  <c:v>1.2527921128117608E-3</c:v>
                </c:pt>
              </c:numCache>
              <c:extLst xmlns:c15="http://schemas.microsoft.com/office/drawing/2012/chart"/>
            </c:numRef>
          </c:xVal>
          <c:yVal>
            <c:numRef>
              <c:f>PLOT!$W$8:$AO$8</c:f>
              <c:numCache>
                <c:formatCode>0.00</c:formatCode>
                <c:ptCount val="19"/>
                <c:pt idx="0">
                  <c:v>98.74</c:v>
                </c:pt>
                <c:pt idx="1">
                  <c:v>96.88</c:v>
                </c:pt>
                <c:pt idx="2">
                  <c:v>90.48</c:v>
                </c:pt>
                <c:pt idx="3">
                  <c:v>82.2</c:v>
                </c:pt>
                <c:pt idx="4">
                  <c:v>76.47</c:v>
                </c:pt>
                <c:pt idx="5">
                  <c:v>69.98</c:v>
                </c:pt>
                <c:pt idx="6">
                  <c:v>49.551867052023162</c:v>
                </c:pt>
                <c:pt idx="7">
                  <c:v>49.551867052023162</c:v>
                </c:pt>
                <c:pt idx="8">
                  <c:v>49.551867052023162</c:v>
                </c:pt>
                <c:pt idx="9">
                  <c:v>49.551867052023162</c:v>
                </c:pt>
                <c:pt idx="10">
                  <c:v>46.395797687860963</c:v>
                </c:pt>
                <c:pt idx="11">
                  <c:v>46.395797687860963</c:v>
                </c:pt>
                <c:pt idx="12">
                  <c:v>46.395797687860963</c:v>
                </c:pt>
                <c:pt idx="13">
                  <c:v>43.239728323699467</c:v>
                </c:pt>
                <c:pt idx="14">
                  <c:v>40.08365895953726</c:v>
                </c:pt>
                <c:pt idx="15">
                  <c:v>40.08365895953726</c:v>
                </c:pt>
                <c:pt idx="16">
                  <c:v>40.08365895953726</c:v>
                </c:pt>
                <c:pt idx="17">
                  <c:v>36.927589595375757</c:v>
                </c:pt>
                <c:pt idx="18">
                  <c:v>33.771520231213557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PLOT!$D$9:$V$9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6.2774979342180473E-2</c:v>
                </c:pt>
                <c:pt idx="7" formatCode="0.00000">
                  <c:v>4.438861358170125E-2</c:v>
                </c:pt>
                <c:pt idx="8" formatCode="0.00000">
                  <c:v>3.1387489671090237E-2</c:v>
                </c:pt>
                <c:pt idx="9" formatCode="0.00000">
                  <c:v>2.2194306790850625E-2</c:v>
                </c:pt>
                <c:pt idx="10" formatCode="0.00000">
                  <c:v>1.6627045197683547E-2</c:v>
                </c:pt>
                <c:pt idx="11" formatCode="0.00000">
                  <c:v>1.2142676959238962E-2</c:v>
                </c:pt>
                <c:pt idx="12" formatCode="0.00000">
                  <c:v>8.6835721609145131E-3</c:v>
                </c:pt>
                <c:pt idx="13" formatCode="0.00000">
                  <c:v>6.1402127599053738E-3</c:v>
                </c:pt>
                <c:pt idx="14" formatCode="0.00000">
                  <c:v>4.3899472969331612E-3</c:v>
                </c:pt>
                <c:pt idx="15" formatCode="0.00000">
                  <c:v>3.1041615027129926E-3</c:v>
                </c:pt>
                <c:pt idx="16" formatCode="0.00000">
                  <c:v>2.1949736484665806E-3</c:v>
                </c:pt>
                <c:pt idx="17" formatCode="0.00000">
                  <c:v>1.568923523122186E-3</c:v>
                </c:pt>
                <c:pt idx="18" formatCode="0.00000">
                  <c:v>1.2946266859809254E-3</c:v>
                </c:pt>
              </c:numCache>
              <c:extLst xmlns:c15="http://schemas.microsoft.com/office/drawing/2012/chart"/>
            </c:numRef>
          </c:xVal>
          <c:yVal>
            <c:numRef>
              <c:f>PLOT!$W$9:$AO$9</c:f>
              <c:numCache>
                <c:formatCode>0.00</c:formatCode>
                <c:ptCount val="19"/>
                <c:pt idx="0">
                  <c:v>99.3</c:v>
                </c:pt>
                <c:pt idx="1">
                  <c:v>98.394999999999996</c:v>
                </c:pt>
                <c:pt idx="2">
                  <c:v>92.289999999999992</c:v>
                </c:pt>
                <c:pt idx="3">
                  <c:v>82.525000000000006</c:v>
                </c:pt>
                <c:pt idx="4">
                  <c:v>75.03</c:v>
                </c:pt>
                <c:pt idx="5">
                  <c:v>65.584999999999994</c:v>
                </c:pt>
                <c:pt idx="6">
                  <c:v>50.784333333333372</c:v>
                </c:pt>
                <c:pt idx="7">
                  <c:v>50.784333333333372</c:v>
                </c:pt>
                <c:pt idx="8">
                  <c:v>50.784333333333372</c:v>
                </c:pt>
                <c:pt idx="9">
                  <c:v>50.784333333333372</c:v>
                </c:pt>
                <c:pt idx="10">
                  <c:v>47.549765432098454</c:v>
                </c:pt>
                <c:pt idx="11">
                  <c:v>47.549765432098454</c:v>
                </c:pt>
                <c:pt idx="12">
                  <c:v>44.315197530864239</c:v>
                </c:pt>
                <c:pt idx="13">
                  <c:v>44.315197530864239</c:v>
                </c:pt>
                <c:pt idx="14">
                  <c:v>41.080629629629307</c:v>
                </c:pt>
                <c:pt idx="15">
                  <c:v>41.080629629629307</c:v>
                </c:pt>
                <c:pt idx="16">
                  <c:v>41.080629629629307</c:v>
                </c:pt>
                <c:pt idx="17">
                  <c:v>37.8460617283951</c:v>
                </c:pt>
                <c:pt idx="18">
                  <c:v>34.611493827160167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12.50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PLOT!$D$10:$V$10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6.1280122537151524E-2</c:v>
                </c:pt>
                <c:pt idx="7" formatCode="0.00000">
                  <c:v>4.3331590197962427E-2</c:v>
                </c:pt>
                <c:pt idx="8" formatCode="0.00000">
                  <c:v>3.0640061268575762E-2</c:v>
                </c:pt>
                <c:pt idx="9" formatCode="0.00000">
                  <c:v>2.1665795098981214E-2</c:v>
                </c:pt>
                <c:pt idx="10" formatCode="0.00000">
                  <c:v>1.6231106371072408E-2</c:v>
                </c:pt>
                <c:pt idx="11" formatCode="0.00000">
                  <c:v>1.1853524123602901E-2</c:v>
                </c:pt>
                <c:pt idx="12" formatCode="0.00000">
                  <c:v>8.4767907796583532E-3</c:v>
                </c:pt>
                <c:pt idx="13" formatCode="0.00000">
                  <c:v>5.9939962429960223E-3</c:v>
                </c:pt>
                <c:pt idx="14" formatCode="0.00000">
                  <c:v>4.2854097461556724E-3</c:v>
                </c:pt>
                <c:pt idx="15" formatCode="0.00000">
                  <c:v>3.0302422916695976E-3</c:v>
                </c:pt>
                <c:pt idx="16" formatCode="0.00000">
                  <c:v>2.1659569423448121E-3</c:v>
                </c:pt>
                <c:pt idx="17" formatCode="0.00000">
                  <c:v>1.5315628416900967E-3</c:v>
                </c:pt>
                <c:pt idx="18" formatCode="0.00000">
                  <c:v>1.2769416695177155E-3</c:v>
                </c:pt>
              </c:numCache>
              <c:extLst xmlns:c15="http://schemas.microsoft.com/office/drawing/2012/chart"/>
            </c:numRef>
          </c:xVal>
          <c:yVal>
            <c:numRef>
              <c:f>PLOT!$W$10:$AO$10</c:f>
              <c:numCache>
                <c:formatCode>0.00</c:formatCode>
                <c:ptCount val="19"/>
                <c:pt idx="0">
                  <c:v>97.6</c:v>
                </c:pt>
                <c:pt idx="1">
                  <c:v>95.22</c:v>
                </c:pt>
                <c:pt idx="2">
                  <c:v>88.710000000000008</c:v>
                </c:pt>
                <c:pt idx="3">
                  <c:v>78.760000000000005</c:v>
                </c:pt>
                <c:pt idx="4">
                  <c:v>70.87</c:v>
                </c:pt>
                <c:pt idx="5">
                  <c:v>65.819999999999993</c:v>
                </c:pt>
                <c:pt idx="6">
                  <c:v>49.872176470588272</c:v>
                </c:pt>
                <c:pt idx="7">
                  <c:v>49.872176470588272</c:v>
                </c:pt>
                <c:pt idx="8">
                  <c:v>49.872176470588272</c:v>
                </c:pt>
                <c:pt idx="9">
                  <c:v>49.872176470588272</c:v>
                </c:pt>
                <c:pt idx="10">
                  <c:v>46.695705882352634</c:v>
                </c:pt>
                <c:pt idx="11">
                  <c:v>46.695705882352634</c:v>
                </c:pt>
                <c:pt idx="12">
                  <c:v>43.519235294117685</c:v>
                </c:pt>
                <c:pt idx="13">
                  <c:v>43.519235294117685</c:v>
                </c:pt>
                <c:pt idx="14">
                  <c:v>40.34276470588204</c:v>
                </c:pt>
                <c:pt idx="15">
                  <c:v>40.34276470588204</c:v>
                </c:pt>
                <c:pt idx="16">
                  <c:v>37.166294117647091</c:v>
                </c:pt>
                <c:pt idx="17">
                  <c:v>37.166294117647091</c:v>
                </c:pt>
                <c:pt idx="18">
                  <c:v>30.8133529411765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13.50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PLOT!$D$11:$V$11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6.2774979342180473E-2</c:v>
                </c:pt>
                <c:pt idx="7" formatCode="0.00000">
                  <c:v>4.438861358170125E-2</c:v>
                </c:pt>
                <c:pt idx="8" formatCode="0.00000">
                  <c:v>3.1387489671090237E-2</c:v>
                </c:pt>
                <c:pt idx="9" formatCode="0.00000">
                  <c:v>2.2194306790850625E-2</c:v>
                </c:pt>
                <c:pt idx="10" formatCode="0.00000">
                  <c:v>1.6815665182406132E-2</c:v>
                </c:pt>
                <c:pt idx="11" formatCode="0.00000">
                  <c:v>1.2280425519810748E-2</c:v>
                </c:pt>
                <c:pt idx="12" formatCode="0.00000">
                  <c:v>8.6835721609145131E-3</c:v>
                </c:pt>
                <c:pt idx="13" formatCode="0.00000">
                  <c:v>6.1402127599053738E-3</c:v>
                </c:pt>
                <c:pt idx="14" formatCode="0.00000">
                  <c:v>4.3899472969331612E-3</c:v>
                </c:pt>
                <c:pt idx="15" formatCode="0.00000">
                  <c:v>3.1378470462443721E-3</c:v>
                </c:pt>
                <c:pt idx="16" formatCode="0.00000">
                  <c:v>2.2187929247255737E-3</c:v>
                </c:pt>
                <c:pt idx="17" formatCode="0.00000">
                  <c:v>1.568923523122186E-3</c:v>
                </c:pt>
                <c:pt idx="18" formatCode="0.00000">
                  <c:v>1.2946266859809254E-3</c:v>
                </c:pt>
              </c:numCache>
              <c:extLst xmlns:c15="http://schemas.microsoft.com/office/drawing/2012/chart"/>
            </c:numRef>
          </c:xVal>
          <c:yVal>
            <c:numRef>
              <c:f>PLOT!$W$11:$AO$11</c:f>
              <c:numCache>
                <c:formatCode>0.00</c:formatCode>
                <c:ptCount val="19"/>
                <c:pt idx="0">
                  <c:v>98.85</c:v>
                </c:pt>
                <c:pt idx="1">
                  <c:v>97.094999999999999</c:v>
                </c:pt>
                <c:pt idx="2">
                  <c:v>90.32</c:v>
                </c:pt>
                <c:pt idx="3">
                  <c:v>83.26</c:v>
                </c:pt>
                <c:pt idx="4">
                  <c:v>78.545000000000002</c:v>
                </c:pt>
                <c:pt idx="5">
                  <c:v>66.710000000000008</c:v>
                </c:pt>
                <c:pt idx="6">
                  <c:v>50.784333333333372</c:v>
                </c:pt>
                <c:pt idx="7">
                  <c:v>50.784333333333372</c:v>
                </c:pt>
                <c:pt idx="8">
                  <c:v>50.784333333333372</c:v>
                </c:pt>
                <c:pt idx="9">
                  <c:v>50.784333333333372</c:v>
                </c:pt>
                <c:pt idx="10">
                  <c:v>44.315197530864239</c:v>
                </c:pt>
                <c:pt idx="11">
                  <c:v>44.315197530864239</c:v>
                </c:pt>
                <c:pt idx="12">
                  <c:v>44.315197530864239</c:v>
                </c:pt>
                <c:pt idx="13">
                  <c:v>44.315197530864239</c:v>
                </c:pt>
                <c:pt idx="14">
                  <c:v>41.080629629629307</c:v>
                </c:pt>
                <c:pt idx="15">
                  <c:v>37.8460617283951</c:v>
                </c:pt>
                <c:pt idx="16">
                  <c:v>37.8460617283951</c:v>
                </c:pt>
                <c:pt idx="17">
                  <c:v>37.8460617283951</c:v>
                </c:pt>
                <c:pt idx="18">
                  <c:v>34.611493827160167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PLOT!$C$12</c:f>
              <c:strCache>
                <c:ptCount val="1"/>
                <c:pt idx="0">
                  <c:v>15.50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PLOT!$D$12:$V$12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6.2201679851066879E-2</c:v>
                </c:pt>
                <c:pt idx="7" formatCode="0.00000">
                  <c:v>4.3983229623884026E-2</c:v>
                </c:pt>
                <c:pt idx="8" formatCode="0.00000">
                  <c:v>3.110083992553344E-2</c:v>
                </c:pt>
                <c:pt idx="9" formatCode="0.00000">
                  <c:v>2.2271454119278045E-2</c:v>
                </c:pt>
                <c:pt idx="10" formatCode="0.00000">
                  <c:v>1.6662094247093494E-2</c:v>
                </c:pt>
                <c:pt idx="11" formatCode="0.00000">
                  <c:v>1.2168273165880218E-2</c:v>
                </c:pt>
                <c:pt idx="12" formatCode="0.00000">
                  <c:v>8.6042684709242007E-3</c:v>
                </c:pt>
                <c:pt idx="13" formatCode="0.00000">
                  <c:v>6.1516248040569569E-3</c:v>
                </c:pt>
                <c:pt idx="14" formatCode="0.00000">
                  <c:v>4.3498556142640412E-3</c:v>
                </c:pt>
                <c:pt idx="15" formatCode="0.00000">
                  <c:v>3.1091903085814503E-3</c:v>
                </c:pt>
                <c:pt idx="16" formatCode="0.00000">
                  <c:v>2.1985295511974378E-3</c:v>
                </c:pt>
                <c:pt idx="17" formatCode="0.00000">
                  <c:v>1.5545951542907251E-3</c:v>
                </c:pt>
                <c:pt idx="18" formatCode="0.00000">
                  <c:v>1.2961448774465819E-3</c:v>
                </c:pt>
              </c:numCache>
              <c:extLst xmlns:c15="http://schemas.microsoft.com/office/drawing/2012/chart"/>
            </c:numRef>
          </c:xVal>
          <c:yVal>
            <c:numRef>
              <c:f>PLOT!$W$12:$AO$12</c:f>
              <c:numCache>
                <c:formatCode>0.00</c:formatCode>
                <c:ptCount val="19"/>
                <c:pt idx="0">
                  <c:v>98.56</c:v>
                </c:pt>
                <c:pt idx="1">
                  <c:v>96.3</c:v>
                </c:pt>
                <c:pt idx="2">
                  <c:v>89.92</c:v>
                </c:pt>
                <c:pt idx="3">
                  <c:v>82.59</c:v>
                </c:pt>
                <c:pt idx="4">
                  <c:v>77.89</c:v>
                </c:pt>
                <c:pt idx="5">
                  <c:v>70.760000000000005</c:v>
                </c:pt>
                <c:pt idx="6">
                  <c:v>50.431909090909137</c:v>
                </c:pt>
                <c:pt idx="7">
                  <c:v>50.431909090909137</c:v>
                </c:pt>
                <c:pt idx="8">
                  <c:v>50.431909090909137</c:v>
                </c:pt>
                <c:pt idx="9">
                  <c:v>47.219787878787571</c:v>
                </c:pt>
                <c:pt idx="10">
                  <c:v>44.007666666666708</c:v>
                </c:pt>
                <c:pt idx="11">
                  <c:v>44.007666666666708</c:v>
                </c:pt>
                <c:pt idx="12">
                  <c:v>44.007666666666708</c:v>
                </c:pt>
                <c:pt idx="13">
                  <c:v>40.795545454545135</c:v>
                </c:pt>
                <c:pt idx="14">
                  <c:v>40.795545454545135</c:v>
                </c:pt>
                <c:pt idx="15">
                  <c:v>37.583424242424279</c:v>
                </c:pt>
                <c:pt idx="16">
                  <c:v>37.583424242424279</c:v>
                </c:pt>
                <c:pt idx="17">
                  <c:v>37.583424242424279</c:v>
                </c:pt>
                <c:pt idx="18">
                  <c:v>31.15918181818185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PLOT!$C$13</c:f>
              <c:strCache>
                <c:ptCount val="1"/>
                <c:pt idx="0">
                  <c:v>16.50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PLOT!$D$13:$V$13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6.7343963835964332E-2</c:v>
                </c:pt>
                <c:pt idx="7" formatCode="0.00000">
                  <c:v>4.7619373500391998E-2</c:v>
                </c:pt>
                <c:pt idx="8" formatCode="0.00000">
                  <c:v>3.4035661061375989E-2</c:v>
                </c:pt>
                <c:pt idx="9" formatCode="0.00000">
                  <c:v>2.4066846738665888E-2</c:v>
                </c:pt>
                <c:pt idx="10" formatCode="0.00000">
                  <c:v>1.7688661029666777E-2</c:v>
                </c:pt>
                <c:pt idx="11" formatCode="0.00000">
                  <c:v>1.3044430605637857E-2</c:v>
                </c:pt>
                <c:pt idx="12" formatCode="0.00000">
                  <c:v>9.223805337963872E-3</c:v>
                </c:pt>
                <c:pt idx="13" formatCode="0.00000">
                  <c:v>6.5848377132361443E-3</c:v>
                </c:pt>
                <c:pt idx="14" formatCode="0.00000">
                  <c:v>4.6561834000421959E-3</c:v>
                </c:pt>
                <c:pt idx="15" formatCode="0.00000">
                  <c:v>3.3234350814702546E-3</c:v>
                </c:pt>
                <c:pt idx="16" formatCode="0.00000">
                  <c:v>2.3717524695971229E-3</c:v>
                </c:pt>
                <c:pt idx="17" formatCode="0.00000">
                  <c:v>1.6770822545480665E-3</c:v>
                </c:pt>
                <c:pt idx="18" formatCode="0.00000">
                  <c:v>1.3693319267730586E-3</c:v>
                </c:pt>
              </c:numCache>
              <c:extLst xmlns:c15="http://schemas.microsoft.com/office/drawing/2012/chart"/>
            </c:numRef>
          </c:xVal>
          <c:yVal>
            <c:numRef>
              <c:f>PLOT!$W$13:$AO$13</c:f>
              <c:numCache>
                <c:formatCode>0.00</c:formatCode>
                <c:ptCount val="19"/>
                <c:pt idx="0">
                  <c:v>99.86</c:v>
                </c:pt>
                <c:pt idx="1">
                  <c:v>99.49</c:v>
                </c:pt>
                <c:pt idx="2">
                  <c:v>97.5</c:v>
                </c:pt>
                <c:pt idx="3">
                  <c:v>66.25</c:v>
                </c:pt>
                <c:pt idx="4">
                  <c:v>52.239999999999995</c:v>
                </c:pt>
                <c:pt idx="5">
                  <c:v>40.835000000000001</c:v>
                </c:pt>
                <c:pt idx="6">
                  <c:v>27.883530120481598</c:v>
                </c:pt>
                <c:pt idx="7">
                  <c:v>27.883530120481598</c:v>
                </c:pt>
                <c:pt idx="8">
                  <c:v>24.678710843373519</c:v>
                </c:pt>
                <c:pt idx="9">
                  <c:v>24.678710843373519</c:v>
                </c:pt>
                <c:pt idx="10">
                  <c:v>24.678710843373519</c:v>
                </c:pt>
                <c:pt idx="11">
                  <c:v>21.473891566264722</c:v>
                </c:pt>
                <c:pt idx="12">
                  <c:v>21.473891566264722</c:v>
                </c:pt>
                <c:pt idx="13">
                  <c:v>18.269072289156643</c:v>
                </c:pt>
                <c:pt idx="14">
                  <c:v>18.269072289156643</c:v>
                </c:pt>
                <c:pt idx="15">
                  <c:v>15.06425301204785</c:v>
                </c:pt>
                <c:pt idx="16">
                  <c:v>11.859433734939769</c:v>
                </c:pt>
                <c:pt idx="17">
                  <c:v>11.859433734939769</c:v>
                </c:pt>
                <c:pt idx="18">
                  <c:v>11.859433734939769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PLOT!$C$14</c:f>
              <c:strCache>
                <c:ptCount val="1"/>
                <c:pt idx="0">
                  <c:v>18.50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PLOT!$D$14:$V$14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6.2014042380262847E-2</c:v>
                </c:pt>
                <c:pt idx="7" formatCode="0.00000">
                  <c:v>4.3850549895873808E-2</c:v>
                </c:pt>
                <c:pt idx="8" formatCode="0.00000">
                  <c:v>3.1007021190131424E-2</c:v>
                </c:pt>
                <c:pt idx="9" formatCode="0.00000">
                  <c:v>2.2204270092543155E-2</c:v>
                </c:pt>
                <c:pt idx="10" formatCode="0.00000">
                  <c:v>1.6611831404830892E-2</c:v>
                </c:pt>
                <c:pt idx="11" formatCode="0.00000">
                  <c:v>1.2131566375864817E-2</c:v>
                </c:pt>
                <c:pt idx="12" formatCode="0.00000">
                  <c:v>8.6734676959489779E-3</c:v>
                </c:pt>
                <c:pt idx="13" formatCode="0.00000">
                  <c:v>6.133067824207983E-3</c:v>
                </c:pt>
                <c:pt idx="14" formatCode="0.00000">
                  <c:v>4.3837949421515398E-3</c:v>
                </c:pt>
                <c:pt idx="15" formatCode="0.00000">
                  <c:v>3.0998111309266424E-3</c:v>
                </c:pt>
                <c:pt idx="16" formatCode="0.00000">
                  <c:v>2.2151780809620768E-3</c:v>
                </c:pt>
                <c:pt idx="17" formatCode="0.00000">
                  <c:v>1.5663674425840874E-3</c:v>
                </c:pt>
                <c:pt idx="18" formatCode="0.00000">
                  <c:v>1.2922349292396847E-3</c:v>
                </c:pt>
              </c:numCache>
              <c:extLst xmlns:c15="http://schemas.microsoft.com/office/drawing/2012/chart"/>
            </c:numRef>
          </c:xVal>
          <c:yVal>
            <c:numRef>
              <c:f>PLOT!$W$14:$AO$14</c:f>
              <c:numCache>
                <c:formatCode>0.00</c:formatCode>
                <c:ptCount val="19"/>
                <c:pt idx="0">
                  <c:v>99.46</c:v>
                </c:pt>
                <c:pt idx="1">
                  <c:v>97.97</c:v>
                </c:pt>
                <c:pt idx="2">
                  <c:v>94.23</c:v>
                </c:pt>
                <c:pt idx="3">
                  <c:v>88.43</c:v>
                </c:pt>
                <c:pt idx="4">
                  <c:v>83.05</c:v>
                </c:pt>
                <c:pt idx="5">
                  <c:v>76.430000000000007</c:v>
                </c:pt>
                <c:pt idx="6">
                  <c:v>50.317265060241006</c:v>
                </c:pt>
                <c:pt idx="7">
                  <c:v>50.317265060241006</c:v>
                </c:pt>
                <c:pt idx="8">
                  <c:v>50.317265060241006</c:v>
                </c:pt>
                <c:pt idx="9">
                  <c:v>47.112445783132216</c:v>
                </c:pt>
                <c:pt idx="10">
                  <c:v>43.907626506024137</c:v>
                </c:pt>
                <c:pt idx="11">
                  <c:v>43.907626506024137</c:v>
                </c:pt>
                <c:pt idx="12">
                  <c:v>40.702807228915347</c:v>
                </c:pt>
                <c:pt idx="13">
                  <c:v>40.702807228915347</c:v>
                </c:pt>
                <c:pt idx="14">
                  <c:v>37.497987951807261</c:v>
                </c:pt>
                <c:pt idx="15">
                  <c:v>37.497987951807261</c:v>
                </c:pt>
                <c:pt idx="16">
                  <c:v>34.293168674698471</c:v>
                </c:pt>
                <c:pt idx="17">
                  <c:v>34.293168674698471</c:v>
                </c:pt>
                <c:pt idx="18">
                  <c:v>31.088349397590392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PLOT!$C$15</c:f>
              <c:strCache>
                <c:ptCount val="1"/>
                <c:pt idx="0">
                  <c:v>19.50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PLOT!$D$15:$V$15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6.0922800992302913E-2</c:v>
                </c:pt>
                <c:pt idx="7" formatCode="0.00000">
                  <c:v>4.3078925710535919E-2</c:v>
                </c:pt>
                <c:pt idx="8" formatCode="0.00000">
                  <c:v>3.0461400496151456E-2</c:v>
                </c:pt>
                <c:pt idx="9" formatCode="0.00000">
                  <c:v>2.1813548611014064E-2</c:v>
                </c:pt>
                <c:pt idx="10" formatCode="0.00000">
                  <c:v>1.6319518288914207E-2</c:v>
                </c:pt>
                <c:pt idx="11" formatCode="0.00000">
                  <c:v>1.1918091059275228E-2</c:v>
                </c:pt>
                <c:pt idx="12" formatCode="0.00000">
                  <c:v>8.5208434424143397E-3</c:v>
                </c:pt>
                <c:pt idx="13" formatCode="0.00000">
                  <c:v>6.025146179560105E-3</c:v>
                </c:pt>
                <c:pt idx="14" formatCode="0.00000">
                  <c:v>4.3066546962718787E-3</c:v>
                </c:pt>
                <c:pt idx="15" formatCode="0.00000">
                  <c:v>3.0452647399627367E-3</c:v>
                </c:pt>
                <c:pt idx="16" formatCode="0.00000">
                  <c:v>2.1761982965315613E-3</c:v>
                </c:pt>
                <c:pt idx="17" formatCode="0.00000">
                  <c:v>1.5388045726840802E-3</c:v>
                </c:pt>
                <c:pt idx="18" formatCode="0.00000">
                  <c:v>1.2694958820234591E-3</c:v>
                </c:pt>
              </c:numCache>
            </c:numRef>
          </c:xVal>
          <c:yVal>
            <c:numRef>
              <c:f>PLOT!$W$15:$AO$15</c:f>
              <c:numCache>
                <c:formatCode>0.00</c:formatCode>
                <c:ptCount val="19"/>
                <c:pt idx="0">
                  <c:v>98.8</c:v>
                </c:pt>
                <c:pt idx="1">
                  <c:v>97.28</c:v>
                </c:pt>
                <c:pt idx="2">
                  <c:v>93.01</c:v>
                </c:pt>
                <c:pt idx="3">
                  <c:v>84.89</c:v>
                </c:pt>
                <c:pt idx="4">
                  <c:v>77.91</c:v>
                </c:pt>
                <c:pt idx="5">
                  <c:v>68.25</c:v>
                </c:pt>
                <c:pt idx="6">
                  <c:v>49.657395348837248</c:v>
                </c:pt>
                <c:pt idx="7">
                  <c:v>49.657395348837248</c:v>
                </c:pt>
                <c:pt idx="8">
                  <c:v>49.657395348837248</c:v>
                </c:pt>
                <c:pt idx="9">
                  <c:v>46.494604651162483</c:v>
                </c:pt>
                <c:pt idx="10">
                  <c:v>43.331813953488414</c:v>
                </c:pt>
                <c:pt idx="11">
                  <c:v>43.331813953488414</c:v>
                </c:pt>
                <c:pt idx="12">
                  <c:v>40.169023255813642</c:v>
                </c:pt>
                <c:pt idx="13">
                  <c:v>40.169023255813642</c:v>
                </c:pt>
                <c:pt idx="14">
                  <c:v>37.006232558139565</c:v>
                </c:pt>
                <c:pt idx="15">
                  <c:v>37.006232558139565</c:v>
                </c:pt>
                <c:pt idx="16">
                  <c:v>33.843441860464793</c:v>
                </c:pt>
                <c:pt idx="17">
                  <c:v>33.843441860464793</c:v>
                </c:pt>
                <c:pt idx="18">
                  <c:v>30.680651162790728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D75-4D3E-9B67-604B84324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  <c:extLst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5954803381559331E-2"/>
          <c:y val="8.4785380409508448E-2"/>
          <c:w val="0.210562553251287"/>
          <c:h val="0.321057033771934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424253</xdr:colOff>
      <xdr:row>3</xdr:row>
      <xdr:rowOff>224960</xdr:rowOff>
    </xdr:from>
    <xdr:to>
      <xdr:col>40</xdr:col>
      <xdr:colOff>501540</xdr:colOff>
      <xdr:row>16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174253</xdr:colOff>
      <xdr:row>0</xdr:row>
      <xdr:rowOff>173129</xdr:rowOff>
    </xdr:from>
    <xdr:to>
      <xdr:col>56</xdr:col>
      <xdr:colOff>342900</xdr:colOff>
      <xdr:row>27</xdr:row>
      <xdr:rowOff>149087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Y17"/>
  <sheetViews>
    <sheetView zoomScaleNormal="100" workbookViewId="0">
      <selection activeCell="F18" sqref="F18"/>
    </sheetView>
  </sheetViews>
  <sheetFormatPr defaultColWidth="9" defaultRowHeight="15" x14ac:dyDescent="0.25"/>
  <cols>
    <col min="1" max="1" width="6.5703125" style="2" customWidth="1"/>
    <col min="2" max="2" width="4.85546875" style="2" customWidth="1"/>
    <col min="3" max="4" width="5.5703125" style="2" customWidth="1"/>
    <col min="5" max="5" width="7.7109375" style="2" customWidth="1"/>
    <col min="6" max="6" width="7.7109375" style="12" customWidth="1"/>
    <col min="7" max="7" width="9.7109375" style="2" customWidth="1"/>
    <col min="8" max="8" width="11.28515625" style="2" customWidth="1"/>
    <col min="9" max="9" width="13" style="2" customWidth="1"/>
    <col min="10" max="16" width="7.7109375" style="2" customWidth="1"/>
    <col min="17" max="16384" width="9" style="2"/>
  </cols>
  <sheetData>
    <row r="1" spans="1:25" ht="25.15" customHeight="1" x14ac:dyDescent="0.25">
      <c r="A1" s="62" t="s">
        <v>3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</row>
    <row r="2" spans="1:25" ht="24.6" customHeight="1" x14ac:dyDescent="0.25">
      <c r="A2" s="63" t="s">
        <v>4</v>
      </c>
      <c r="B2" s="66" t="s">
        <v>5</v>
      </c>
      <c r="C2" s="66" t="s">
        <v>6</v>
      </c>
      <c r="D2" s="66" t="s">
        <v>7</v>
      </c>
      <c r="E2" s="69" t="s">
        <v>8</v>
      </c>
      <c r="F2" s="69" t="s">
        <v>9</v>
      </c>
      <c r="G2" s="69" t="s">
        <v>10</v>
      </c>
      <c r="H2" s="69" t="s">
        <v>11</v>
      </c>
      <c r="I2" s="70" t="s">
        <v>12</v>
      </c>
      <c r="J2" s="55" t="s">
        <v>13</v>
      </c>
      <c r="K2" s="55"/>
      <c r="L2" s="55"/>
      <c r="M2" s="55"/>
      <c r="N2" s="55"/>
      <c r="O2" s="55"/>
      <c r="P2" s="55"/>
      <c r="Q2" s="55" t="s">
        <v>0</v>
      </c>
      <c r="R2" s="55"/>
      <c r="S2" s="55"/>
      <c r="T2" s="55"/>
      <c r="U2" s="55"/>
      <c r="V2" s="55"/>
      <c r="W2" s="72" t="s">
        <v>14</v>
      </c>
      <c r="X2" s="72" t="s">
        <v>15</v>
      </c>
      <c r="Y2" s="72" t="s">
        <v>16</v>
      </c>
    </row>
    <row r="3" spans="1:25" ht="40.5" customHeight="1" x14ac:dyDescent="0.25">
      <c r="A3" s="64"/>
      <c r="B3" s="67"/>
      <c r="C3" s="67"/>
      <c r="D3" s="67"/>
      <c r="E3" s="69"/>
      <c r="F3" s="69"/>
      <c r="G3" s="69"/>
      <c r="H3" s="69"/>
      <c r="I3" s="71"/>
      <c r="J3" s="3">
        <v>4.75</v>
      </c>
      <c r="K3" s="4">
        <v>2</v>
      </c>
      <c r="L3" s="5">
        <v>0.42499999999999999</v>
      </c>
      <c r="M3" s="5">
        <v>0.21199999999999999</v>
      </c>
      <c r="N3" s="5">
        <v>0.15</v>
      </c>
      <c r="O3" s="5">
        <v>7.4999999999999997E-2</v>
      </c>
      <c r="P3" s="3" t="s">
        <v>17</v>
      </c>
      <c r="Q3" s="6">
        <v>4.75</v>
      </c>
      <c r="R3" s="7">
        <v>2</v>
      </c>
      <c r="S3" s="8">
        <v>0.42499999999999999</v>
      </c>
      <c r="T3" s="8">
        <v>0.21199999999999999</v>
      </c>
      <c r="U3" s="8">
        <v>0.15</v>
      </c>
      <c r="V3" s="8">
        <v>7.4999999999999997E-2</v>
      </c>
      <c r="W3" s="72"/>
      <c r="X3" s="72"/>
      <c r="Y3" s="72"/>
    </row>
    <row r="4" spans="1:25" ht="21.6" customHeight="1" x14ac:dyDescent="0.25">
      <c r="A4" s="65"/>
      <c r="B4" s="68"/>
      <c r="C4" s="68"/>
      <c r="D4" s="68"/>
      <c r="E4" s="3" t="s">
        <v>18</v>
      </c>
      <c r="F4" s="9" t="s">
        <v>19</v>
      </c>
      <c r="G4" s="9" t="s">
        <v>18</v>
      </c>
      <c r="H4" s="9" t="s">
        <v>20</v>
      </c>
      <c r="I4" s="9" t="s">
        <v>20</v>
      </c>
      <c r="J4" s="55" t="s">
        <v>20</v>
      </c>
      <c r="K4" s="55"/>
      <c r="L4" s="55"/>
      <c r="M4" s="55"/>
      <c r="N4" s="55"/>
      <c r="O4" s="55"/>
      <c r="P4" s="55"/>
      <c r="Q4" s="55" t="s">
        <v>20</v>
      </c>
      <c r="R4" s="55"/>
      <c r="S4" s="55"/>
      <c r="T4" s="55"/>
      <c r="U4" s="55"/>
      <c r="V4" s="55"/>
      <c r="W4" s="73" t="s">
        <v>21</v>
      </c>
      <c r="X4" s="74"/>
      <c r="Y4" s="74"/>
    </row>
    <row r="5" spans="1:25" ht="30" customHeight="1" x14ac:dyDescent="0.25">
      <c r="A5" s="10">
        <v>1</v>
      </c>
      <c r="B5" s="56" t="s">
        <v>49</v>
      </c>
      <c r="C5" s="58">
        <v>14.76</v>
      </c>
      <c r="D5" s="60"/>
      <c r="E5" s="54" t="s">
        <v>48</v>
      </c>
      <c r="F5" s="54">
        <v>1.5</v>
      </c>
      <c r="G5" s="54">
        <v>249</v>
      </c>
      <c r="H5" s="54">
        <v>200</v>
      </c>
      <c r="I5" s="26">
        <f>SUM(J5:O5)</f>
        <v>122.56</v>
      </c>
      <c r="J5" s="26">
        <v>0.64</v>
      </c>
      <c r="K5" s="26">
        <v>2.1</v>
      </c>
      <c r="L5" s="26">
        <v>9.4499999999999993</v>
      </c>
      <c r="M5" s="26">
        <v>62.29</v>
      </c>
      <c r="N5" s="26">
        <v>27.9</v>
      </c>
      <c r="O5" s="26">
        <v>20.18</v>
      </c>
      <c r="P5" s="26" t="s">
        <v>18</v>
      </c>
      <c r="Q5" s="11">
        <f t="shared" ref="Q5:Q16" si="0">((H5-(SUM(J5)))/H5)*100</f>
        <v>99.68</v>
      </c>
      <c r="R5" s="11">
        <f t="shared" ref="R5:R16" si="1">((H5-(SUM(J5:K5)))/H5)*100</f>
        <v>98.63</v>
      </c>
      <c r="S5" s="11">
        <f t="shared" ref="S5:S16" si="2">((H5-(SUM(J5:L5)))/H5)*100</f>
        <v>93.905000000000001</v>
      </c>
      <c r="T5" s="11">
        <f t="shared" ref="T5:T16" si="3">((H5-(SUM(J5:M5)))/H5)*100</f>
        <v>62.759999999999991</v>
      </c>
      <c r="U5" s="11">
        <f t="shared" ref="U5:U16" si="4">((H5-(SUM(J5:N5)))/H5)*100</f>
        <v>48.81</v>
      </c>
      <c r="V5" s="11">
        <f t="shared" ref="V5:V16" si="5">((H5-(SUM(J5:O5)))/H5)*100</f>
        <v>38.72</v>
      </c>
      <c r="W5" s="11">
        <f>100-Q5</f>
        <v>0.31999999999999318</v>
      </c>
      <c r="X5" s="11">
        <f>Q5-V5</f>
        <v>60.960000000000008</v>
      </c>
      <c r="Y5" s="11">
        <f>V5</f>
        <v>38.72</v>
      </c>
    </row>
    <row r="6" spans="1:25" ht="30" customHeight="1" x14ac:dyDescent="0.25">
      <c r="A6" s="53">
        <v>2</v>
      </c>
      <c r="B6" s="57"/>
      <c r="C6" s="59"/>
      <c r="D6" s="61"/>
      <c r="E6" s="54" t="s">
        <v>47</v>
      </c>
      <c r="F6" s="54">
        <v>3.5</v>
      </c>
      <c r="G6" s="54">
        <v>269</v>
      </c>
      <c r="H6" s="54">
        <v>100</v>
      </c>
      <c r="I6" s="26">
        <f t="shared" ref="I6:I17" si="6">SUM(J6:O6)</f>
        <v>29.3</v>
      </c>
      <c r="J6" s="26">
        <v>2.91</v>
      </c>
      <c r="K6" s="26">
        <v>3.91</v>
      </c>
      <c r="L6" s="26">
        <v>6.42</v>
      </c>
      <c r="M6" s="26">
        <v>8.5500000000000007</v>
      </c>
      <c r="N6" s="26">
        <v>4.32</v>
      </c>
      <c r="O6" s="26">
        <v>3.19</v>
      </c>
      <c r="P6" s="26" t="s">
        <v>18</v>
      </c>
      <c r="Q6" s="11">
        <f t="shared" si="0"/>
        <v>97.09</v>
      </c>
      <c r="R6" s="11">
        <f t="shared" si="1"/>
        <v>93.18</v>
      </c>
      <c r="S6" s="11">
        <f t="shared" si="2"/>
        <v>86.76</v>
      </c>
      <c r="T6" s="11">
        <f t="shared" si="3"/>
        <v>78.210000000000008</v>
      </c>
      <c r="U6" s="11">
        <f t="shared" si="4"/>
        <v>73.89</v>
      </c>
      <c r="V6" s="11">
        <f t="shared" si="5"/>
        <v>70.7</v>
      </c>
      <c r="W6" s="11">
        <f t="shared" ref="W6:W16" si="7">100-Q6</f>
        <v>2.9099999999999966</v>
      </c>
      <c r="X6" s="11">
        <f t="shared" ref="X6:X16" si="8">Q6-V6</f>
        <v>26.39</v>
      </c>
      <c r="Y6" s="11">
        <f t="shared" ref="Y6:Y16" si="9">V6</f>
        <v>70.7</v>
      </c>
    </row>
    <row r="7" spans="1:25" ht="30" customHeight="1" x14ac:dyDescent="0.25">
      <c r="A7" s="53">
        <v>3</v>
      </c>
      <c r="B7" s="57"/>
      <c r="C7" s="59"/>
      <c r="D7" s="61"/>
      <c r="E7" s="54" t="s">
        <v>48</v>
      </c>
      <c r="F7" s="54">
        <v>4.5</v>
      </c>
      <c r="G7" s="54">
        <v>214</v>
      </c>
      <c r="H7" s="54">
        <v>200</v>
      </c>
      <c r="I7" s="26">
        <f t="shared" si="6"/>
        <v>110.25999999999999</v>
      </c>
      <c r="J7" s="26">
        <v>0.43</v>
      </c>
      <c r="K7" s="26">
        <v>0.31</v>
      </c>
      <c r="L7" s="26">
        <v>8.7100000000000009</v>
      </c>
      <c r="M7" s="26">
        <v>51.42</v>
      </c>
      <c r="N7" s="26">
        <v>26.6</v>
      </c>
      <c r="O7" s="26">
        <v>22.79</v>
      </c>
      <c r="P7" s="26" t="s">
        <v>18</v>
      </c>
      <c r="Q7" s="11">
        <f t="shared" si="0"/>
        <v>99.784999999999997</v>
      </c>
      <c r="R7" s="11">
        <f t="shared" si="1"/>
        <v>99.63</v>
      </c>
      <c r="S7" s="11">
        <f t="shared" si="2"/>
        <v>95.275000000000006</v>
      </c>
      <c r="T7" s="11">
        <f t="shared" si="3"/>
        <v>69.564999999999998</v>
      </c>
      <c r="U7" s="11">
        <f t="shared" si="4"/>
        <v>56.265000000000001</v>
      </c>
      <c r="V7" s="11">
        <f t="shared" si="5"/>
        <v>44.870000000000005</v>
      </c>
      <c r="W7" s="11">
        <f t="shared" si="7"/>
        <v>0.21500000000000341</v>
      </c>
      <c r="X7" s="11">
        <f t="shared" si="8"/>
        <v>54.914999999999992</v>
      </c>
      <c r="Y7" s="11">
        <f t="shared" si="9"/>
        <v>44.870000000000005</v>
      </c>
    </row>
    <row r="8" spans="1:25" ht="30" customHeight="1" x14ac:dyDescent="0.25">
      <c r="A8" s="53">
        <v>4</v>
      </c>
      <c r="B8" s="57"/>
      <c r="C8" s="59"/>
      <c r="D8" s="61"/>
      <c r="E8" s="54" t="s">
        <v>47</v>
      </c>
      <c r="F8" s="54">
        <v>6.5</v>
      </c>
      <c r="G8" s="54">
        <v>144</v>
      </c>
      <c r="H8" s="54">
        <v>100</v>
      </c>
      <c r="I8" s="26">
        <f t="shared" si="6"/>
        <v>38.130000000000003</v>
      </c>
      <c r="J8" s="26">
        <v>2.2000000000000002</v>
      </c>
      <c r="K8" s="26">
        <v>2.39</v>
      </c>
      <c r="L8" s="26">
        <v>6.43</v>
      </c>
      <c r="M8" s="26">
        <v>14.27</v>
      </c>
      <c r="N8" s="26">
        <v>8.74</v>
      </c>
      <c r="O8" s="26">
        <v>4.0999999999999996</v>
      </c>
      <c r="P8" s="26" t="s">
        <v>18</v>
      </c>
      <c r="Q8" s="11">
        <f t="shared" si="0"/>
        <v>97.8</v>
      </c>
      <c r="R8" s="11">
        <f t="shared" si="1"/>
        <v>95.41</v>
      </c>
      <c r="S8" s="11">
        <f t="shared" si="2"/>
        <v>88.98</v>
      </c>
      <c r="T8" s="11">
        <f t="shared" si="3"/>
        <v>74.710000000000008</v>
      </c>
      <c r="U8" s="11">
        <f t="shared" si="4"/>
        <v>65.97</v>
      </c>
      <c r="V8" s="11">
        <f t="shared" si="5"/>
        <v>61.870000000000005</v>
      </c>
      <c r="W8" s="11">
        <f t="shared" si="7"/>
        <v>2.2000000000000028</v>
      </c>
      <c r="X8" s="11">
        <f t="shared" si="8"/>
        <v>35.929999999999993</v>
      </c>
      <c r="Y8" s="11">
        <f t="shared" si="9"/>
        <v>61.870000000000005</v>
      </c>
    </row>
    <row r="9" spans="1:25" ht="30" customHeight="1" x14ac:dyDescent="0.25">
      <c r="A9" s="53">
        <v>5</v>
      </c>
      <c r="B9" s="57"/>
      <c r="C9" s="59"/>
      <c r="D9" s="61"/>
      <c r="E9" s="54" t="s">
        <v>48</v>
      </c>
      <c r="F9" s="54">
        <v>7.5</v>
      </c>
      <c r="G9" s="54">
        <v>122</v>
      </c>
      <c r="H9" s="54">
        <v>200</v>
      </c>
      <c r="I9" s="26">
        <f t="shared" si="6"/>
        <v>81.039999999999992</v>
      </c>
      <c r="J9" s="26">
        <v>0</v>
      </c>
      <c r="K9" s="26">
        <v>3.35</v>
      </c>
      <c r="L9" s="26">
        <v>20.16</v>
      </c>
      <c r="M9" s="26">
        <v>30.4</v>
      </c>
      <c r="N9" s="26">
        <v>17.850000000000001</v>
      </c>
      <c r="O9" s="26">
        <v>9.2799999999999994</v>
      </c>
      <c r="P9" s="26" t="s">
        <v>18</v>
      </c>
      <c r="Q9" s="11">
        <f t="shared" si="0"/>
        <v>100</v>
      </c>
      <c r="R9" s="11">
        <f t="shared" si="1"/>
        <v>98.325000000000003</v>
      </c>
      <c r="S9" s="11">
        <f t="shared" si="2"/>
        <v>88.245000000000005</v>
      </c>
      <c r="T9" s="11">
        <f t="shared" si="3"/>
        <v>73.045000000000002</v>
      </c>
      <c r="U9" s="11">
        <f t="shared" si="4"/>
        <v>64.12</v>
      </c>
      <c r="V9" s="11">
        <f t="shared" si="5"/>
        <v>59.48</v>
      </c>
      <c r="W9" s="11">
        <f t="shared" si="7"/>
        <v>0</v>
      </c>
      <c r="X9" s="11">
        <f t="shared" si="8"/>
        <v>40.520000000000003</v>
      </c>
      <c r="Y9" s="11">
        <f t="shared" si="9"/>
        <v>59.48</v>
      </c>
    </row>
    <row r="10" spans="1:25" ht="30" customHeight="1" x14ac:dyDescent="0.25">
      <c r="A10" s="53">
        <v>6</v>
      </c>
      <c r="B10" s="57"/>
      <c r="C10" s="59"/>
      <c r="D10" s="61"/>
      <c r="E10" s="54" t="s">
        <v>47</v>
      </c>
      <c r="F10" s="54">
        <v>9.5</v>
      </c>
      <c r="G10" s="54">
        <v>112</v>
      </c>
      <c r="H10" s="54">
        <v>100</v>
      </c>
      <c r="I10" s="26">
        <f t="shared" si="6"/>
        <v>30.019999999999996</v>
      </c>
      <c r="J10" s="26">
        <v>1.26</v>
      </c>
      <c r="K10" s="26">
        <v>1.86</v>
      </c>
      <c r="L10" s="26">
        <v>6.4</v>
      </c>
      <c r="M10" s="26">
        <v>8.2799999999999994</v>
      </c>
      <c r="N10" s="26">
        <v>5.73</v>
      </c>
      <c r="O10" s="26">
        <v>6.49</v>
      </c>
      <c r="P10" s="26" t="s">
        <v>18</v>
      </c>
      <c r="Q10" s="11">
        <f t="shared" si="0"/>
        <v>98.74</v>
      </c>
      <c r="R10" s="11">
        <f t="shared" si="1"/>
        <v>96.88</v>
      </c>
      <c r="S10" s="11">
        <f t="shared" si="2"/>
        <v>90.48</v>
      </c>
      <c r="T10" s="11">
        <f t="shared" si="3"/>
        <v>82.2</v>
      </c>
      <c r="U10" s="11">
        <f t="shared" si="4"/>
        <v>76.47</v>
      </c>
      <c r="V10" s="11">
        <f t="shared" si="5"/>
        <v>69.98</v>
      </c>
      <c r="W10" s="11">
        <f t="shared" si="7"/>
        <v>1.2600000000000051</v>
      </c>
      <c r="X10" s="11">
        <f t="shared" si="8"/>
        <v>28.759999999999991</v>
      </c>
      <c r="Y10" s="11">
        <f t="shared" si="9"/>
        <v>69.98</v>
      </c>
    </row>
    <row r="11" spans="1:25" ht="30" customHeight="1" x14ac:dyDescent="0.25">
      <c r="A11" s="53">
        <v>7</v>
      </c>
      <c r="B11" s="57"/>
      <c r="C11" s="59"/>
      <c r="D11" s="61"/>
      <c r="E11" s="54" t="s">
        <v>48</v>
      </c>
      <c r="F11" s="54">
        <v>10.5</v>
      </c>
      <c r="G11" s="54">
        <v>232</v>
      </c>
      <c r="H11" s="54">
        <v>200</v>
      </c>
      <c r="I11" s="26">
        <f t="shared" si="6"/>
        <v>68.830000000000013</v>
      </c>
      <c r="J11" s="26">
        <v>1.4</v>
      </c>
      <c r="K11" s="26">
        <v>1.81</v>
      </c>
      <c r="L11" s="26">
        <v>12.21</v>
      </c>
      <c r="M11" s="26">
        <v>19.53</v>
      </c>
      <c r="N11" s="26">
        <v>14.99</v>
      </c>
      <c r="O11" s="26">
        <v>18.89</v>
      </c>
      <c r="P11" s="26" t="s">
        <v>18</v>
      </c>
      <c r="Q11" s="11">
        <f t="shared" si="0"/>
        <v>99.3</v>
      </c>
      <c r="R11" s="11">
        <f t="shared" si="1"/>
        <v>98.394999999999996</v>
      </c>
      <c r="S11" s="11">
        <f t="shared" si="2"/>
        <v>92.289999999999992</v>
      </c>
      <c r="T11" s="11">
        <f t="shared" si="3"/>
        <v>82.525000000000006</v>
      </c>
      <c r="U11" s="11">
        <f t="shared" si="4"/>
        <v>75.03</v>
      </c>
      <c r="V11" s="11">
        <f t="shared" si="5"/>
        <v>65.584999999999994</v>
      </c>
      <c r="W11" s="11">
        <f t="shared" si="7"/>
        <v>0.70000000000000284</v>
      </c>
      <c r="X11" s="11">
        <f t="shared" si="8"/>
        <v>33.715000000000003</v>
      </c>
      <c r="Y11" s="11">
        <f t="shared" si="9"/>
        <v>65.584999999999994</v>
      </c>
    </row>
    <row r="12" spans="1:25" ht="30" customHeight="1" x14ac:dyDescent="0.25">
      <c r="A12" s="53">
        <v>8</v>
      </c>
      <c r="B12" s="57"/>
      <c r="C12" s="59"/>
      <c r="D12" s="61"/>
      <c r="E12" s="54" t="s">
        <v>47</v>
      </c>
      <c r="F12" s="54">
        <v>12.5</v>
      </c>
      <c r="G12" s="54">
        <v>256</v>
      </c>
      <c r="H12" s="54">
        <v>100</v>
      </c>
      <c r="I12" s="26">
        <f t="shared" si="6"/>
        <v>34.18</v>
      </c>
      <c r="J12" s="26">
        <v>2.4</v>
      </c>
      <c r="K12" s="26">
        <v>2.38</v>
      </c>
      <c r="L12" s="26">
        <v>6.51</v>
      </c>
      <c r="M12" s="26">
        <v>9.9499999999999993</v>
      </c>
      <c r="N12" s="26">
        <v>7.89</v>
      </c>
      <c r="O12" s="26">
        <v>5.05</v>
      </c>
      <c r="P12" s="26" t="s">
        <v>18</v>
      </c>
      <c r="Q12" s="11">
        <f t="shared" si="0"/>
        <v>97.6</v>
      </c>
      <c r="R12" s="11">
        <f t="shared" si="1"/>
        <v>95.22</v>
      </c>
      <c r="S12" s="11">
        <f t="shared" si="2"/>
        <v>88.710000000000008</v>
      </c>
      <c r="T12" s="11">
        <f t="shared" si="3"/>
        <v>78.760000000000005</v>
      </c>
      <c r="U12" s="11">
        <f t="shared" si="4"/>
        <v>70.87</v>
      </c>
      <c r="V12" s="11">
        <f t="shared" si="5"/>
        <v>65.819999999999993</v>
      </c>
      <c r="W12" s="11">
        <f t="shared" si="7"/>
        <v>2.4000000000000057</v>
      </c>
      <c r="X12" s="11">
        <f t="shared" si="8"/>
        <v>31.78</v>
      </c>
      <c r="Y12" s="11">
        <f t="shared" si="9"/>
        <v>65.819999999999993</v>
      </c>
    </row>
    <row r="13" spans="1:25" ht="30" customHeight="1" x14ac:dyDescent="0.25">
      <c r="A13" s="53">
        <v>9</v>
      </c>
      <c r="B13" s="57"/>
      <c r="C13" s="59"/>
      <c r="D13" s="61"/>
      <c r="E13" s="54" t="s">
        <v>48</v>
      </c>
      <c r="F13" s="54">
        <v>13.5</v>
      </c>
      <c r="G13" s="54">
        <v>202</v>
      </c>
      <c r="H13" s="54">
        <v>200</v>
      </c>
      <c r="I13" s="26">
        <f t="shared" si="6"/>
        <v>66.58</v>
      </c>
      <c r="J13" s="26">
        <v>2.2999999999999998</v>
      </c>
      <c r="K13" s="26">
        <v>3.51</v>
      </c>
      <c r="L13" s="26">
        <v>13.55</v>
      </c>
      <c r="M13" s="26">
        <v>14.12</v>
      </c>
      <c r="N13" s="26">
        <v>9.43</v>
      </c>
      <c r="O13" s="26">
        <v>23.67</v>
      </c>
      <c r="P13" s="26" t="s">
        <v>18</v>
      </c>
      <c r="Q13" s="11">
        <f t="shared" si="0"/>
        <v>98.85</v>
      </c>
      <c r="R13" s="11">
        <f t="shared" si="1"/>
        <v>97.094999999999999</v>
      </c>
      <c r="S13" s="11">
        <f t="shared" si="2"/>
        <v>90.32</v>
      </c>
      <c r="T13" s="11">
        <f t="shared" si="3"/>
        <v>83.26</v>
      </c>
      <c r="U13" s="11">
        <f t="shared" si="4"/>
        <v>78.545000000000002</v>
      </c>
      <c r="V13" s="11">
        <f t="shared" si="5"/>
        <v>66.710000000000008</v>
      </c>
      <c r="W13" s="11">
        <f t="shared" si="7"/>
        <v>1.1500000000000057</v>
      </c>
      <c r="X13" s="11">
        <f t="shared" si="8"/>
        <v>32.139999999999986</v>
      </c>
      <c r="Y13" s="11">
        <f t="shared" si="9"/>
        <v>66.710000000000008</v>
      </c>
    </row>
    <row r="14" spans="1:25" ht="30" customHeight="1" x14ac:dyDescent="0.25">
      <c r="A14" s="53">
        <v>10</v>
      </c>
      <c r="B14" s="57"/>
      <c r="C14" s="59"/>
      <c r="D14" s="61"/>
      <c r="E14" s="54" t="s">
        <v>47</v>
      </c>
      <c r="F14" s="54">
        <v>15.5</v>
      </c>
      <c r="G14" s="54">
        <v>295</v>
      </c>
      <c r="H14" s="54">
        <v>100</v>
      </c>
      <c r="I14" s="26">
        <f t="shared" si="6"/>
        <v>29.24</v>
      </c>
      <c r="J14" s="26">
        <v>1.44</v>
      </c>
      <c r="K14" s="26">
        <v>2.2599999999999998</v>
      </c>
      <c r="L14" s="26">
        <v>6.38</v>
      </c>
      <c r="M14" s="26">
        <v>7.33</v>
      </c>
      <c r="N14" s="26">
        <v>4.7</v>
      </c>
      <c r="O14" s="26">
        <v>7.13</v>
      </c>
      <c r="P14" s="26" t="s">
        <v>18</v>
      </c>
      <c r="Q14" s="11">
        <f t="shared" si="0"/>
        <v>98.56</v>
      </c>
      <c r="R14" s="11">
        <f t="shared" si="1"/>
        <v>96.3</v>
      </c>
      <c r="S14" s="11">
        <f t="shared" si="2"/>
        <v>89.92</v>
      </c>
      <c r="T14" s="11">
        <f t="shared" si="3"/>
        <v>82.59</v>
      </c>
      <c r="U14" s="11">
        <f t="shared" si="4"/>
        <v>77.89</v>
      </c>
      <c r="V14" s="11">
        <f t="shared" si="5"/>
        <v>70.760000000000005</v>
      </c>
      <c r="W14" s="11">
        <f t="shared" si="7"/>
        <v>1.4399999999999977</v>
      </c>
      <c r="X14" s="11">
        <f t="shared" si="8"/>
        <v>27.799999999999997</v>
      </c>
      <c r="Y14" s="11">
        <f t="shared" si="9"/>
        <v>70.760000000000005</v>
      </c>
    </row>
    <row r="15" spans="1:25" ht="30" customHeight="1" x14ac:dyDescent="0.25">
      <c r="A15" s="53">
        <v>11</v>
      </c>
      <c r="B15" s="57"/>
      <c r="C15" s="59"/>
      <c r="D15" s="61"/>
      <c r="E15" s="54" t="s">
        <v>48</v>
      </c>
      <c r="F15" s="54">
        <v>16.5</v>
      </c>
      <c r="G15" s="54">
        <v>288</v>
      </c>
      <c r="H15" s="54">
        <v>200</v>
      </c>
      <c r="I15" s="26">
        <f t="shared" si="6"/>
        <v>118.33</v>
      </c>
      <c r="J15" s="26">
        <v>0.28000000000000003</v>
      </c>
      <c r="K15" s="26">
        <v>0.74</v>
      </c>
      <c r="L15" s="26">
        <v>3.98</v>
      </c>
      <c r="M15" s="26">
        <v>62.5</v>
      </c>
      <c r="N15" s="26">
        <v>28.02</v>
      </c>
      <c r="O15" s="26">
        <v>22.81</v>
      </c>
      <c r="P15" s="26" t="s">
        <v>18</v>
      </c>
      <c r="Q15" s="11">
        <f t="shared" si="0"/>
        <v>99.86</v>
      </c>
      <c r="R15" s="11">
        <f t="shared" si="1"/>
        <v>99.49</v>
      </c>
      <c r="S15" s="11">
        <f t="shared" si="2"/>
        <v>97.5</v>
      </c>
      <c r="T15" s="11">
        <f t="shared" si="3"/>
        <v>66.25</v>
      </c>
      <c r="U15" s="11">
        <f t="shared" si="4"/>
        <v>52.239999999999995</v>
      </c>
      <c r="V15" s="11">
        <f t="shared" si="5"/>
        <v>40.835000000000001</v>
      </c>
      <c r="W15" s="11">
        <f t="shared" si="7"/>
        <v>0.14000000000000057</v>
      </c>
      <c r="X15" s="11">
        <f t="shared" si="8"/>
        <v>59.024999999999999</v>
      </c>
      <c r="Y15" s="11">
        <f t="shared" si="9"/>
        <v>40.835000000000001</v>
      </c>
    </row>
    <row r="16" spans="1:25" ht="30" customHeight="1" x14ac:dyDescent="0.25">
      <c r="A16" s="53">
        <v>12</v>
      </c>
      <c r="B16" s="57"/>
      <c r="C16" s="59"/>
      <c r="D16" s="61"/>
      <c r="E16" s="54" t="s">
        <v>47</v>
      </c>
      <c r="F16" s="54">
        <v>18.5</v>
      </c>
      <c r="G16" s="54">
        <v>211</v>
      </c>
      <c r="H16" s="54">
        <v>100</v>
      </c>
      <c r="I16" s="26">
        <f t="shared" si="6"/>
        <v>23.57</v>
      </c>
      <c r="J16" s="26">
        <v>0.54</v>
      </c>
      <c r="K16" s="26">
        <v>1.49</v>
      </c>
      <c r="L16" s="26">
        <v>3.74</v>
      </c>
      <c r="M16" s="26">
        <v>5.8</v>
      </c>
      <c r="N16" s="26">
        <v>5.38</v>
      </c>
      <c r="O16" s="26">
        <v>6.62</v>
      </c>
      <c r="P16" s="26" t="s">
        <v>18</v>
      </c>
      <c r="Q16" s="11">
        <f t="shared" si="0"/>
        <v>99.46</v>
      </c>
      <c r="R16" s="11">
        <f t="shared" si="1"/>
        <v>97.97</v>
      </c>
      <c r="S16" s="11">
        <f t="shared" si="2"/>
        <v>94.23</v>
      </c>
      <c r="T16" s="11">
        <f t="shared" si="3"/>
        <v>88.43</v>
      </c>
      <c r="U16" s="11">
        <f t="shared" si="4"/>
        <v>83.05</v>
      </c>
      <c r="V16" s="11">
        <f t="shared" si="5"/>
        <v>76.430000000000007</v>
      </c>
      <c r="W16" s="11">
        <f t="shared" si="7"/>
        <v>0.54000000000000625</v>
      </c>
      <c r="X16" s="11">
        <f t="shared" si="8"/>
        <v>23.029999999999987</v>
      </c>
      <c r="Y16" s="11">
        <f t="shared" si="9"/>
        <v>76.430000000000007</v>
      </c>
    </row>
    <row r="17" spans="1:25" ht="30" customHeight="1" x14ac:dyDescent="0.25">
      <c r="A17" s="53">
        <v>13</v>
      </c>
      <c r="B17" s="57"/>
      <c r="C17" s="59"/>
      <c r="D17" s="61"/>
      <c r="E17" s="54" t="s">
        <v>47</v>
      </c>
      <c r="F17" s="54">
        <v>19.5</v>
      </c>
      <c r="G17" s="54" t="s">
        <v>50</v>
      </c>
      <c r="H17" s="54">
        <v>100</v>
      </c>
      <c r="I17" s="26">
        <f t="shared" si="6"/>
        <v>31.75</v>
      </c>
      <c r="J17" s="26">
        <v>1.2</v>
      </c>
      <c r="K17" s="26">
        <v>1.52</v>
      </c>
      <c r="L17" s="26">
        <v>4.2699999999999996</v>
      </c>
      <c r="M17" s="26">
        <v>8.1199999999999992</v>
      </c>
      <c r="N17" s="26">
        <v>6.98</v>
      </c>
      <c r="O17" s="26">
        <v>9.66</v>
      </c>
      <c r="P17" s="26" t="s">
        <v>18</v>
      </c>
      <c r="Q17" s="11">
        <f t="shared" ref="Q17" si="10">((H17-(SUM(J17)))/H17)*100</f>
        <v>98.8</v>
      </c>
      <c r="R17" s="11">
        <f t="shared" ref="R17" si="11">((H17-(SUM(J17:K17)))/H17)*100</f>
        <v>97.28</v>
      </c>
      <c r="S17" s="11">
        <f t="shared" ref="S17" si="12">((H17-(SUM(J17:L17)))/H17)*100</f>
        <v>93.01</v>
      </c>
      <c r="T17" s="11">
        <f t="shared" ref="T17" si="13">((H17-(SUM(J17:M17)))/H17)*100</f>
        <v>84.89</v>
      </c>
      <c r="U17" s="11">
        <f t="shared" ref="U17" si="14">((H17-(SUM(J17:N17)))/H17)*100</f>
        <v>77.91</v>
      </c>
      <c r="V17" s="11">
        <f t="shared" ref="V17" si="15">((H17-(SUM(J17:O17)))/H17)*100</f>
        <v>68.25</v>
      </c>
      <c r="W17" s="11">
        <f t="shared" ref="W17" si="16">100-Q17</f>
        <v>1.2000000000000028</v>
      </c>
      <c r="X17" s="11">
        <f t="shared" ref="X17" si="17">Q17-V17</f>
        <v>30.549999999999997</v>
      </c>
      <c r="Y17" s="11">
        <f t="shared" ref="Y17" si="18">V17</f>
        <v>68.25</v>
      </c>
    </row>
  </sheetData>
  <mergeCells count="21">
    <mergeCell ref="A1:Y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W2:W3"/>
    <mergeCell ref="X2:X3"/>
    <mergeCell ref="Y2:Y3"/>
    <mergeCell ref="J4:P4"/>
    <mergeCell ref="Q4:V4"/>
    <mergeCell ref="W4:Y4"/>
    <mergeCell ref="J2:P2"/>
    <mergeCell ref="Q2:V2"/>
    <mergeCell ref="B5:B17"/>
    <mergeCell ref="C5:C17"/>
    <mergeCell ref="D5:D17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31"/>
  <sheetViews>
    <sheetView zoomScale="130" zoomScaleNormal="130" workbookViewId="0">
      <selection activeCell="D19" sqref="D19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83" t="s">
        <v>4</v>
      </c>
      <c r="B1" s="86" t="s">
        <v>5</v>
      </c>
      <c r="C1" s="86" t="s">
        <v>9</v>
      </c>
      <c r="D1" s="83" t="s">
        <v>8</v>
      </c>
      <c r="E1" s="83" t="s">
        <v>22</v>
      </c>
      <c r="F1" s="83" t="s">
        <v>39</v>
      </c>
      <c r="G1" s="83" t="s">
        <v>23</v>
      </c>
      <c r="H1" s="83" t="s">
        <v>24</v>
      </c>
      <c r="I1" s="79" t="s">
        <v>33</v>
      </c>
      <c r="J1" s="83" t="s">
        <v>34</v>
      </c>
      <c r="K1" s="83" t="s">
        <v>25</v>
      </c>
      <c r="L1" s="83" t="s">
        <v>26</v>
      </c>
      <c r="M1" s="81" t="s">
        <v>27</v>
      </c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1" t="s">
        <v>28</v>
      </c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 t="s">
        <v>29</v>
      </c>
      <c r="AN1" s="82"/>
      <c r="AO1" s="82"/>
      <c r="AP1" s="82"/>
      <c r="AQ1" s="82"/>
      <c r="AR1" s="82"/>
      <c r="AS1" s="82"/>
      <c r="AT1" s="82"/>
      <c r="AU1" s="82"/>
      <c r="AV1" s="82"/>
      <c r="AW1" s="82"/>
      <c r="AX1" s="82"/>
      <c r="AY1" s="82"/>
      <c r="AZ1" s="22"/>
      <c r="BA1" s="22"/>
    </row>
    <row r="2" spans="1:53" x14ac:dyDescent="0.25">
      <c r="A2" s="84"/>
      <c r="B2" s="87"/>
      <c r="C2" s="87"/>
      <c r="D2" s="84"/>
      <c r="E2" s="84"/>
      <c r="F2" s="84"/>
      <c r="G2" s="84"/>
      <c r="H2" s="84"/>
      <c r="I2" s="79"/>
      <c r="J2" s="84"/>
      <c r="K2" s="84"/>
      <c r="L2" s="84"/>
      <c r="M2" s="80">
        <v>0.5</v>
      </c>
      <c r="N2" s="75">
        <v>1</v>
      </c>
      <c r="O2" s="75">
        <v>2</v>
      </c>
      <c r="P2" s="75">
        <v>4</v>
      </c>
      <c r="Q2" s="75">
        <v>8</v>
      </c>
      <c r="R2" s="75">
        <v>15</v>
      </c>
      <c r="S2" s="75">
        <v>30</v>
      </c>
      <c r="T2" s="75">
        <v>60</v>
      </c>
      <c r="U2" s="75">
        <v>120</v>
      </c>
      <c r="V2" s="75">
        <v>240</v>
      </c>
      <c r="W2" s="75">
        <v>480</v>
      </c>
      <c r="X2" s="75">
        <v>960</v>
      </c>
      <c r="Y2" s="75">
        <v>1440</v>
      </c>
      <c r="Z2" s="80">
        <v>0.5</v>
      </c>
      <c r="AA2" s="75">
        <v>1</v>
      </c>
      <c r="AB2" s="75">
        <v>2</v>
      </c>
      <c r="AC2" s="75">
        <v>4</v>
      </c>
      <c r="AD2" s="75">
        <v>8</v>
      </c>
      <c r="AE2" s="75">
        <v>15</v>
      </c>
      <c r="AF2" s="75">
        <v>30</v>
      </c>
      <c r="AG2" s="75">
        <v>60</v>
      </c>
      <c r="AH2" s="75">
        <v>120</v>
      </c>
      <c r="AI2" s="75">
        <v>240</v>
      </c>
      <c r="AJ2" s="75">
        <v>480</v>
      </c>
      <c r="AK2" s="75">
        <v>960</v>
      </c>
      <c r="AL2" s="75">
        <v>1440</v>
      </c>
      <c r="AM2" s="80">
        <v>0.5</v>
      </c>
      <c r="AN2" s="75">
        <v>1</v>
      </c>
      <c r="AO2" s="75">
        <v>2</v>
      </c>
      <c r="AP2" s="75">
        <v>4</v>
      </c>
      <c r="AQ2" s="75">
        <v>8</v>
      </c>
      <c r="AR2" s="75">
        <v>15</v>
      </c>
      <c r="AS2" s="75">
        <v>30</v>
      </c>
      <c r="AT2" s="75">
        <v>60</v>
      </c>
      <c r="AU2" s="75">
        <v>120</v>
      </c>
      <c r="AV2" s="75">
        <v>240</v>
      </c>
      <c r="AW2" s="75">
        <v>480</v>
      </c>
      <c r="AX2" s="75">
        <v>960</v>
      </c>
      <c r="AY2" s="75">
        <v>1440</v>
      </c>
      <c r="AZ2" s="22"/>
      <c r="BA2" s="22"/>
    </row>
    <row r="3" spans="1:53" x14ac:dyDescent="0.25">
      <c r="A3" s="84"/>
      <c r="B3" s="87"/>
      <c r="C3" s="87"/>
      <c r="D3" s="85"/>
      <c r="E3" s="85"/>
      <c r="F3" s="85"/>
      <c r="G3" s="85"/>
      <c r="H3" s="85"/>
      <c r="I3" s="79"/>
      <c r="J3" s="85"/>
      <c r="K3" s="85"/>
      <c r="L3" s="85"/>
      <c r="M3" s="80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80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80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22"/>
      <c r="BA3" s="22"/>
    </row>
    <row r="4" spans="1:53" x14ac:dyDescent="0.25">
      <c r="A4" s="85"/>
      <c r="B4" s="88"/>
      <c r="C4" s="88"/>
      <c r="D4" s="13" t="s">
        <v>18</v>
      </c>
      <c r="E4" s="13" t="s">
        <v>30</v>
      </c>
      <c r="F4" s="13" t="s">
        <v>38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76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8"/>
      <c r="Z4" s="76" t="s">
        <v>31</v>
      </c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8"/>
      <c r="AM4" s="79" t="s">
        <v>32</v>
      </c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20"/>
      <c r="BA4" s="20"/>
    </row>
    <row r="5" spans="1:53" x14ac:dyDescent="0.25">
      <c r="A5" s="30">
        <v>1</v>
      </c>
      <c r="B5" s="30" t="str">
        <f>GSD!B5</f>
        <v>RBH-8</v>
      </c>
      <c r="C5" s="34">
        <f>GSD!F5</f>
        <v>1.5</v>
      </c>
      <c r="D5" s="37" t="str">
        <f>GSD!E5</f>
        <v>UDS</v>
      </c>
      <c r="E5" s="34">
        <v>27</v>
      </c>
      <c r="F5" s="38">
        <f>(0.000000002615*E5^4) - (0.00000030607*E5^3) + (0.000016427499*E5^2) - (0.000618546309*E5) + 0.017919182437</f>
        <v>8.5594212700000009E-3</v>
      </c>
      <c r="G5" s="39">
        <v>2.79</v>
      </c>
      <c r="H5" s="30">
        <v>5.0000000000000001E-4</v>
      </c>
      <c r="I5" s="30">
        <v>1</v>
      </c>
      <c r="J5" s="30">
        <v>1</v>
      </c>
      <c r="K5" s="31">
        <f>(E5-27)*0.25</f>
        <v>0</v>
      </c>
      <c r="L5" s="30">
        <v>0.3</v>
      </c>
      <c r="M5" s="32">
        <v>1.01</v>
      </c>
      <c r="N5" s="32">
        <v>1.01</v>
      </c>
      <c r="O5" s="32">
        <v>1.01</v>
      </c>
      <c r="P5" s="32">
        <v>1.01</v>
      </c>
      <c r="Q5" s="32">
        <v>1.0089999999999999</v>
      </c>
      <c r="R5" s="32">
        <v>1.008</v>
      </c>
      <c r="S5" s="32">
        <v>1.008</v>
      </c>
      <c r="T5" s="32">
        <v>1.008</v>
      </c>
      <c r="U5" s="32">
        <v>1.008</v>
      </c>
      <c r="V5" s="32">
        <v>1.0069999999999999</v>
      </c>
      <c r="W5" s="32">
        <v>1.006</v>
      </c>
      <c r="X5" s="32">
        <v>1.0049999999999999</v>
      </c>
      <c r="Y5" s="32">
        <v>1.0029999999999999</v>
      </c>
      <c r="Z5" s="33">
        <v>6.4144326169216906E-2</v>
      </c>
      <c r="AA5" s="33">
        <v>4.5356888008894994E-2</v>
      </c>
      <c r="AB5" s="33">
        <v>3.2072163084608453E-2</v>
      </c>
      <c r="AC5" s="33">
        <v>2.2678444004447497E-2</v>
      </c>
      <c r="AD5" s="33">
        <v>1.6865825903076927E-2</v>
      </c>
      <c r="AE5" s="33">
        <v>1.2440042155973177E-2</v>
      </c>
      <c r="AF5" s="33">
        <v>8.7964381667351519E-3</v>
      </c>
      <c r="AG5" s="33">
        <v>6.2200210779865886E-3</v>
      </c>
      <c r="AH5" s="33">
        <v>4.398219083367576E-3</v>
      </c>
      <c r="AI5" s="33">
        <v>3.1404556451045031E-3</v>
      </c>
      <c r="AJ5" s="33">
        <v>2.2419587156199015E-3</v>
      </c>
      <c r="AK5" s="33">
        <v>1.600238565910366E-3</v>
      </c>
      <c r="AL5" s="33">
        <v>1.3306418303301469E-3</v>
      </c>
      <c r="AM5" s="34">
        <v>30.239547486033548</v>
      </c>
      <c r="AN5" s="34">
        <v>30.239547486033548</v>
      </c>
      <c r="AO5" s="34">
        <v>30.239547486033548</v>
      </c>
      <c r="AP5" s="34">
        <v>30.239547486033548</v>
      </c>
      <c r="AQ5" s="34">
        <v>27.12222905027901</v>
      </c>
      <c r="AR5" s="34">
        <v>24.004910614525162</v>
      </c>
      <c r="AS5" s="34">
        <v>24.004910614525162</v>
      </c>
      <c r="AT5" s="34">
        <v>24.004910614525162</v>
      </c>
      <c r="AU5" s="34">
        <v>24.004910614525162</v>
      </c>
      <c r="AV5" s="34">
        <v>20.887592178770621</v>
      </c>
      <c r="AW5" s="34">
        <v>17.770273743016777</v>
      </c>
      <c r="AX5" s="34">
        <v>14.652955307262237</v>
      </c>
      <c r="AY5" s="34">
        <v>8.4183184357538519</v>
      </c>
      <c r="AZ5" s="21"/>
      <c r="BA5" s="21"/>
    </row>
    <row r="6" spans="1:53" s="49" customFormat="1" x14ac:dyDescent="0.25">
      <c r="A6" s="43">
        <v>2</v>
      </c>
      <c r="B6" s="43" t="str">
        <f>B5</f>
        <v>RBH-8</v>
      </c>
      <c r="C6" s="44">
        <f>GSD!F6</f>
        <v>3.5</v>
      </c>
      <c r="D6" s="43" t="str">
        <f>GSD!E6</f>
        <v>SPT</v>
      </c>
      <c r="E6" s="44">
        <v>27</v>
      </c>
      <c r="F6" s="45">
        <f t="shared" ref="F6:F16" si="0">(0.000000002615*E6^4) - (0.00000030607*E6^3) + (0.000016427499*E6^2) - (0.000618546309*E6) + 0.017919182437</f>
        <v>8.5594212700000009E-3</v>
      </c>
      <c r="G6" s="46">
        <v>2.67</v>
      </c>
      <c r="H6" s="43">
        <v>5.0000000000000001E-4</v>
      </c>
      <c r="I6" s="43">
        <v>1</v>
      </c>
      <c r="J6" s="43">
        <v>1</v>
      </c>
      <c r="K6" s="44">
        <f t="shared" ref="K6:K16" si="1">(E6-27)*0.25</f>
        <v>0</v>
      </c>
      <c r="L6" s="43">
        <v>0.3</v>
      </c>
      <c r="M6" s="46">
        <v>1.0169999999999999</v>
      </c>
      <c r="N6" s="46">
        <v>1.0169999999999999</v>
      </c>
      <c r="O6" s="46">
        <v>1.0169999999999999</v>
      </c>
      <c r="P6" s="46">
        <v>1.016</v>
      </c>
      <c r="Q6" s="46">
        <v>1.016</v>
      </c>
      <c r="R6" s="46">
        <v>1.0149999999999999</v>
      </c>
      <c r="S6" s="46">
        <v>1.0149999999999999</v>
      </c>
      <c r="T6" s="46">
        <v>1.014</v>
      </c>
      <c r="U6" s="46">
        <v>1.014</v>
      </c>
      <c r="V6" s="46">
        <v>1.0129999999999999</v>
      </c>
      <c r="W6" s="46">
        <v>1.0129999999999999</v>
      </c>
      <c r="X6" s="46">
        <v>1.0109999999999999</v>
      </c>
      <c r="Y6" s="46">
        <v>1.0109999999999999</v>
      </c>
      <c r="Z6" s="47">
        <v>6.1031200406082994E-2</v>
      </c>
      <c r="AA6" s="47">
        <v>4.3155575671096458E-2</v>
      </c>
      <c r="AB6" s="47">
        <v>3.0515600203041497E-2</v>
      </c>
      <c r="AC6" s="47">
        <v>2.1859531846573393E-2</v>
      </c>
      <c r="AD6" s="47">
        <v>1.61883391710523E-2</v>
      </c>
      <c r="AE6" s="47">
        <v>1.1959518997122234E-2</v>
      </c>
      <c r="AF6" s="47">
        <v>8.4566569825944692E-3</v>
      </c>
      <c r="AG6" s="47">
        <v>6.0475948915520786E-3</v>
      </c>
      <c r="AH6" s="47">
        <v>4.2762953576855976E-3</v>
      </c>
      <c r="AI6" s="47">
        <v>3.0573388871705841E-3</v>
      </c>
      <c r="AJ6" s="47">
        <v>2.1618650595036527E-3</v>
      </c>
      <c r="AK6" s="47">
        <v>1.5616706780602748E-3</v>
      </c>
      <c r="AL6" s="47">
        <v>1.275098769171298E-3</v>
      </c>
      <c r="AM6" s="44">
        <v>53.401598802394901</v>
      </c>
      <c r="AN6" s="44">
        <v>53.401598802394901</v>
      </c>
      <c r="AO6" s="44">
        <v>53.401598802394901</v>
      </c>
      <c r="AP6" s="44">
        <v>50.203994011976093</v>
      </c>
      <c r="AQ6" s="44">
        <v>50.203994011976093</v>
      </c>
      <c r="AR6" s="44">
        <v>47.006389221556574</v>
      </c>
      <c r="AS6" s="44">
        <v>47.006389221556574</v>
      </c>
      <c r="AT6" s="44">
        <v>43.808784431137767</v>
      </c>
      <c r="AU6" s="44">
        <v>43.808784431137767</v>
      </c>
      <c r="AV6" s="44">
        <v>40.611179640718248</v>
      </c>
      <c r="AW6" s="44">
        <v>40.611179640718248</v>
      </c>
      <c r="AX6" s="44">
        <v>34.215970059879915</v>
      </c>
      <c r="AY6" s="44">
        <v>34.215970059879915</v>
      </c>
      <c r="AZ6" s="48"/>
      <c r="BA6" s="48"/>
    </row>
    <row r="7" spans="1:53" s="41" customFormat="1" x14ac:dyDescent="0.25">
      <c r="A7" s="37">
        <v>3</v>
      </c>
      <c r="B7" s="37" t="str">
        <f t="shared" ref="B7:B17" si="2">B6</f>
        <v>RBH-8</v>
      </c>
      <c r="C7" s="34">
        <f>GSD!F7</f>
        <v>4.5</v>
      </c>
      <c r="D7" s="37" t="str">
        <f>GSD!E7</f>
        <v>UDS</v>
      </c>
      <c r="E7" s="34">
        <v>27</v>
      </c>
      <c r="F7" s="38">
        <f t="shared" si="0"/>
        <v>8.5594212700000009E-3</v>
      </c>
      <c r="G7" s="39">
        <v>2.71</v>
      </c>
      <c r="H7" s="37">
        <v>5.0000000000000001E-4</v>
      </c>
      <c r="I7" s="37">
        <v>1</v>
      </c>
      <c r="J7" s="37">
        <v>1</v>
      </c>
      <c r="K7" s="34">
        <f t="shared" si="1"/>
        <v>0</v>
      </c>
      <c r="L7" s="37">
        <v>0.3</v>
      </c>
      <c r="M7" s="39">
        <v>1.0109999999999999</v>
      </c>
      <c r="N7" s="39">
        <v>1.0109999999999999</v>
      </c>
      <c r="O7" s="39">
        <v>1.0109999999999999</v>
      </c>
      <c r="P7" s="39">
        <v>1.0109999999999999</v>
      </c>
      <c r="Q7" s="39">
        <v>1.01</v>
      </c>
      <c r="R7" s="39">
        <v>1.01</v>
      </c>
      <c r="S7" s="39">
        <v>1.01</v>
      </c>
      <c r="T7" s="39">
        <v>1.0089999999999999</v>
      </c>
      <c r="U7" s="39">
        <v>1.0089999999999999</v>
      </c>
      <c r="V7" s="39">
        <v>1.008</v>
      </c>
      <c r="W7" s="39">
        <v>1.008</v>
      </c>
      <c r="X7" s="39">
        <v>1.0069999999999999</v>
      </c>
      <c r="Y7" s="39">
        <v>1.006</v>
      </c>
      <c r="Z7" s="33">
        <v>6.4895069975593203E-2</v>
      </c>
      <c r="AA7" s="33">
        <v>4.588774404531748E-2</v>
      </c>
      <c r="AB7" s="33">
        <v>3.2447534987796602E-2</v>
      </c>
      <c r="AC7" s="33">
        <v>2.294387202265874E-2</v>
      </c>
      <c r="AD7" s="33">
        <v>1.7081803326766593E-2</v>
      </c>
      <c r="AE7" s="33">
        <v>1.2474785339915802E-2</v>
      </c>
      <c r="AF7" s="33">
        <v>8.8210053077009947E-3</v>
      </c>
      <c r="AG7" s="33">
        <v>6.3009414146909673E-3</v>
      </c>
      <c r="AH7" s="33">
        <v>4.4554384021871412E-3</v>
      </c>
      <c r="AI7" s="33">
        <v>3.181927800229402E-3</v>
      </c>
      <c r="AJ7" s="33">
        <v>2.2499627247882046E-3</v>
      </c>
      <c r="AK7" s="33">
        <v>1.6065384662297645E-3</v>
      </c>
      <c r="AL7" s="33">
        <v>1.3243276421096547E-3</v>
      </c>
      <c r="AM7" s="34">
        <v>33.916204678362256</v>
      </c>
      <c r="AN7" s="34">
        <v>33.916204678362256</v>
      </c>
      <c r="AO7" s="34">
        <v>33.916204678362256</v>
      </c>
      <c r="AP7" s="34">
        <v>33.916204678362256</v>
      </c>
      <c r="AQ7" s="34">
        <v>30.746614035087749</v>
      </c>
      <c r="AR7" s="34">
        <v>30.746614035087749</v>
      </c>
      <c r="AS7" s="34">
        <v>30.746614035087749</v>
      </c>
      <c r="AT7" s="34">
        <v>27.577023391812542</v>
      </c>
      <c r="AU7" s="34">
        <v>27.577023391812542</v>
      </c>
      <c r="AV7" s="34">
        <v>24.407432748538035</v>
      </c>
      <c r="AW7" s="34">
        <v>24.407432748538035</v>
      </c>
      <c r="AX7" s="34">
        <v>21.237842105262825</v>
      </c>
      <c r="AY7" s="34">
        <v>18.068251461988321</v>
      </c>
      <c r="AZ7" s="40"/>
      <c r="BA7" s="40"/>
    </row>
    <row r="8" spans="1:53" x14ac:dyDescent="0.25">
      <c r="A8" s="30">
        <v>4</v>
      </c>
      <c r="B8" s="30" t="str">
        <f t="shared" si="2"/>
        <v>RBH-8</v>
      </c>
      <c r="C8" s="34">
        <f>GSD!F8</f>
        <v>6.5</v>
      </c>
      <c r="D8" s="37" t="str">
        <f>GSD!E8</f>
        <v>SPT</v>
      </c>
      <c r="E8" s="34">
        <v>27</v>
      </c>
      <c r="F8" s="38">
        <f t="shared" si="0"/>
        <v>8.5594212700000009E-3</v>
      </c>
      <c r="G8" s="39">
        <v>2.61</v>
      </c>
      <c r="H8" s="30">
        <v>5.0000000000000001E-4</v>
      </c>
      <c r="I8" s="30">
        <v>1</v>
      </c>
      <c r="J8" s="30">
        <v>1</v>
      </c>
      <c r="K8" s="31">
        <f t="shared" si="1"/>
        <v>0</v>
      </c>
      <c r="L8" s="30">
        <v>0.3</v>
      </c>
      <c r="M8" s="32">
        <v>1.016</v>
      </c>
      <c r="N8" s="32">
        <v>1.016</v>
      </c>
      <c r="O8" s="32">
        <v>1.016</v>
      </c>
      <c r="P8" s="32">
        <v>1.016</v>
      </c>
      <c r="Q8" s="32">
        <v>1.0149999999999999</v>
      </c>
      <c r="R8" s="32">
        <v>1.0149999999999999</v>
      </c>
      <c r="S8" s="32">
        <v>1.0149999999999999</v>
      </c>
      <c r="T8" s="32">
        <v>1.014</v>
      </c>
      <c r="U8" s="32">
        <v>1.014</v>
      </c>
      <c r="V8" s="32">
        <v>1.0129999999999999</v>
      </c>
      <c r="W8" s="32">
        <v>1.0129999999999999</v>
      </c>
      <c r="X8" s="32">
        <v>1.012</v>
      </c>
      <c r="Y8" s="32">
        <v>1.0109999999999999</v>
      </c>
      <c r="Z8" s="33">
        <v>6.2969630908077071E-2</v>
      </c>
      <c r="AA8" s="33">
        <v>4.4526253023915309E-2</v>
      </c>
      <c r="AB8" s="33">
        <v>3.1484815454038535E-2</v>
      </c>
      <c r="AC8" s="33">
        <v>2.2263126511957654E-2</v>
      </c>
      <c r="AD8" s="33">
        <v>1.6678602050714444E-2</v>
      </c>
      <c r="AE8" s="33">
        <v>1.2180328761104298E-2</v>
      </c>
      <c r="AF8" s="33">
        <v>8.6127930640583876E-3</v>
      </c>
      <c r="AG8" s="33">
        <v>6.1592522250103945E-3</v>
      </c>
      <c r="AH8" s="33">
        <v>4.355249015343181E-3</v>
      </c>
      <c r="AI8" s="33">
        <v>3.1137868327988124E-3</v>
      </c>
      <c r="AJ8" s="33">
        <v>2.2017797846414226E-3</v>
      </c>
      <c r="AK8" s="33">
        <v>1.5737884139393229E-3</v>
      </c>
      <c r="AL8" s="33">
        <v>1.298641041928445E-3</v>
      </c>
      <c r="AM8" s="34">
        <v>50.904726708074577</v>
      </c>
      <c r="AN8" s="34">
        <v>50.904726708074577</v>
      </c>
      <c r="AO8" s="34">
        <v>50.904726708074577</v>
      </c>
      <c r="AP8" s="34">
        <v>50.904726708074577</v>
      </c>
      <c r="AQ8" s="34">
        <v>47.6624906832295</v>
      </c>
      <c r="AR8" s="34">
        <v>47.6624906832295</v>
      </c>
      <c r="AS8" s="34">
        <v>47.6624906832295</v>
      </c>
      <c r="AT8" s="34">
        <v>44.42025465838514</v>
      </c>
      <c r="AU8" s="34">
        <v>44.42025465838514</v>
      </c>
      <c r="AV8" s="34">
        <v>41.178018633540056</v>
      </c>
      <c r="AW8" s="34">
        <v>41.178018633540056</v>
      </c>
      <c r="AX8" s="34">
        <v>37.935782608695689</v>
      </c>
      <c r="AY8" s="34">
        <v>34.693546583850605</v>
      </c>
      <c r="AZ8" s="21"/>
      <c r="BA8" s="21"/>
    </row>
    <row r="9" spans="1:53" s="41" customFormat="1" x14ac:dyDescent="0.25">
      <c r="A9" s="37">
        <v>5</v>
      </c>
      <c r="B9" s="37" t="str">
        <f t="shared" si="2"/>
        <v>RBH-8</v>
      </c>
      <c r="C9" s="34">
        <f>GSD!F9</f>
        <v>7.5</v>
      </c>
      <c r="D9" s="37" t="str">
        <f>GSD!E9</f>
        <v>UDS</v>
      </c>
      <c r="E9" s="34">
        <v>27</v>
      </c>
      <c r="F9" s="38">
        <f t="shared" si="0"/>
        <v>8.5594212700000009E-3</v>
      </c>
      <c r="G9" s="39">
        <v>2.61</v>
      </c>
      <c r="H9" s="37">
        <v>5.0000000000000001E-4</v>
      </c>
      <c r="I9" s="37">
        <v>1</v>
      </c>
      <c r="J9" s="37">
        <v>1</v>
      </c>
      <c r="K9" s="34">
        <f t="shared" si="1"/>
        <v>0</v>
      </c>
      <c r="L9" s="37">
        <v>0.3</v>
      </c>
      <c r="M9" s="39">
        <v>1.016</v>
      </c>
      <c r="N9" s="39">
        <v>1.016</v>
      </c>
      <c r="O9" s="39">
        <v>1.016</v>
      </c>
      <c r="P9" s="39">
        <v>1.016</v>
      </c>
      <c r="Q9" s="39">
        <v>1.0149999999999999</v>
      </c>
      <c r="R9" s="39">
        <v>1.0149999999999999</v>
      </c>
      <c r="S9" s="39">
        <v>1.0149999999999999</v>
      </c>
      <c r="T9" s="39">
        <v>1.014</v>
      </c>
      <c r="U9" s="39">
        <v>1.014</v>
      </c>
      <c r="V9" s="39">
        <v>1.0129999999999999</v>
      </c>
      <c r="W9" s="39">
        <v>1.0129999999999999</v>
      </c>
      <c r="X9" s="39">
        <v>1.012</v>
      </c>
      <c r="Y9" s="39">
        <v>1.0109999999999999</v>
      </c>
      <c r="Z9" s="33">
        <v>6.2969630908077071E-2</v>
      </c>
      <c r="AA9" s="33">
        <v>4.4526253023915309E-2</v>
      </c>
      <c r="AB9" s="33">
        <v>3.1484815454038535E-2</v>
      </c>
      <c r="AC9" s="33">
        <v>2.2263126511957654E-2</v>
      </c>
      <c r="AD9" s="33">
        <v>1.6678602050714444E-2</v>
      </c>
      <c r="AE9" s="33">
        <v>1.2180328761104298E-2</v>
      </c>
      <c r="AF9" s="33">
        <v>8.6127930640583876E-3</v>
      </c>
      <c r="AG9" s="33">
        <v>6.1592522250103945E-3</v>
      </c>
      <c r="AH9" s="33">
        <v>4.355249015343181E-3</v>
      </c>
      <c r="AI9" s="33">
        <v>3.1137868327988124E-3</v>
      </c>
      <c r="AJ9" s="33">
        <v>2.2017797846414226E-3</v>
      </c>
      <c r="AK9" s="33">
        <v>1.5737884139393229E-3</v>
      </c>
      <c r="AL9" s="33">
        <v>1.298641041928445E-3</v>
      </c>
      <c r="AM9" s="34">
        <v>50.904726708074577</v>
      </c>
      <c r="AN9" s="34">
        <v>50.904726708074577</v>
      </c>
      <c r="AO9" s="34">
        <v>50.904726708074577</v>
      </c>
      <c r="AP9" s="34">
        <v>50.904726708074577</v>
      </c>
      <c r="AQ9" s="34">
        <v>47.6624906832295</v>
      </c>
      <c r="AR9" s="34">
        <v>47.6624906832295</v>
      </c>
      <c r="AS9" s="34">
        <v>47.6624906832295</v>
      </c>
      <c r="AT9" s="34">
        <v>44.42025465838514</v>
      </c>
      <c r="AU9" s="34">
        <v>44.42025465838514</v>
      </c>
      <c r="AV9" s="34">
        <v>41.178018633540056</v>
      </c>
      <c r="AW9" s="34">
        <v>41.178018633540056</v>
      </c>
      <c r="AX9" s="34">
        <v>37.935782608695689</v>
      </c>
      <c r="AY9" s="34">
        <v>34.693546583850605</v>
      </c>
      <c r="AZ9" s="40"/>
      <c r="BA9" s="40"/>
    </row>
    <row r="10" spans="1:53" s="41" customFormat="1" x14ac:dyDescent="0.25">
      <c r="A10" s="37">
        <v>6</v>
      </c>
      <c r="B10" s="37" t="str">
        <f t="shared" si="2"/>
        <v>RBH-8</v>
      </c>
      <c r="C10" s="34">
        <f>GSD!F10</f>
        <v>9.5</v>
      </c>
      <c r="D10" s="37" t="str">
        <f>GSD!E10</f>
        <v>SPT</v>
      </c>
      <c r="E10" s="34">
        <v>27</v>
      </c>
      <c r="F10" s="38">
        <f t="shared" si="0"/>
        <v>8.5594212700000009E-3</v>
      </c>
      <c r="G10" s="39">
        <v>2.73</v>
      </c>
      <c r="H10" s="37">
        <v>5.0000000000000001E-4</v>
      </c>
      <c r="I10" s="37">
        <v>1</v>
      </c>
      <c r="J10" s="37">
        <v>1</v>
      </c>
      <c r="K10" s="34">
        <f t="shared" si="1"/>
        <v>0</v>
      </c>
      <c r="L10" s="37">
        <v>0.3</v>
      </c>
      <c r="M10" s="39">
        <v>1.016</v>
      </c>
      <c r="N10" s="39">
        <v>1.016</v>
      </c>
      <c r="O10" s="39">
        <v>1.016</v>
      </c>
      <c r="P10" s="39">
        <v>1.016</v>
      </c>
      <c r="Q10" s="39">
        <v>1.0149999999999999</v>
      </c>
      <c r="R10" s="39">
        <v>1.0149999999999999</v>
      </c>
      <c r="S10" s="39">
        <v>1.0149999999999999</v>
      </c>
      <c r="T10" s="39">
        <v>1.014</v>
      </c>
      <c r="U10" s="39">
        <v>1.0129999999999999</v>
      </c>
      <c r="V10" s="39">
        <v>1.0129999999999999</v>
      </c>
      <c r="W10" s="39">
        <v>1.0129999999999999</v>
      </c>
      <c r="X10" s="39">
        <v>1.012</v>
      </c>
      <c r="Y10" s="39">
        <v>1.0109999999999999</v>
      </c>
      <c r="Z10" s="33">
        <v>6.0746468347527664E-2</v>
      </c>
      <c r="AA10" s="33">
        <v>4.2954239701670775E-2</v>
      </c>
      <c r="AB10" s="33">
        <v>3.0373234173763832E-2</v>
      </c>
      <c r="AC10" s="33">
        <v>2.1477119850835388E-2</v>
      </c>
      <c r="AD10" s="33">
        <v>1.6089758776476754E-2</v>
      </c>
      <c r="AE10" s="33">
        <v>1.1750298435590721E-2</v>
      </c>
      <c r="AF10" s="33">
        <v>8.3087157047718792E-3</v>
      </c>
      <c r="AG10" s="33">
        <v>5.941797894245573E-3</v>
      </c>
      <c r="AH10" s="33">
        <v>4.2480905181481827E-3</v>
      </c>
      <c r="AI10" s="33">
        <v>3.0038536124768543E-3</v>
      </c>
      <c r="AJ10" s="33">
        <v>2.1240452590740914E-3</v>
      </c>
      <c r="AK10" s="33">
        <v>1.5182253205935185E-3</v>
      </c>
      <c r="AL10" s="33">
        <v>1.2527921128117608E-3</v>
      </c>
      <c r="AM10" s="34">
        <v>49.551867052023162</v>
      </c>
      <c r="AN10" s="34">
        <v>49.551867052023162</v>
      </c>
      <c r="AO10" s="34">
        <v>49.551867052023162</v>
      </c>
      <c r="AP10" s="34">
        <v>49.551867052023162</v>
      </c>
      <c r="AQ10" s="34">
        <v>46.395797687860963</v>
      </c>
      <c r="AR10" s="34">
        <v>46.395797687860963</v>
      </c>
      <c r="AS10" s="34">
        <v>46.395797687860963</v>
      </c>
      <c r="AT10" s="34">
        <v>43.239728323699467</v>
      </c>
      <c r="AU10" s="34">
        <v>40.08365895953726</v>
      </c>
      <c r="AV10" s="34">
        <v>40.08365895953726</v>
      </c>
      <c r="AW10" s="34">
        <v>40.08365895953726</v>
      </c>
      <c r="AX10" s="34">
        <v>36.927589595375757</v>
      </c>
      <c r="AY10" s="34">
        <v>33.771520231213557</v>
      </c>
      <c r="AZ10" s="40"/>
      <c r="BA10" s="40"/>
    </row>
    <row r="11" spans="1:53" s="49" customFormat="1" x14ac:dyDescent="0.25">
      <c r="A11" s="30">
        <v>7</v>
      </c>
      <c r="B11" s="43" t="str">
        <f t="shared" si="2"/>
        <v>RBH-8</v>
      </c>
      <c r="C11" s="44">
        <f>GSD!F11</f>
        <v>10.5</v>
      </c>
      <c r="D11" s="43" t="str">
        <f>GSD!E11</f>
        <v>UDS</v>
      </c>
      <c r="E11" s="44">
        <v>27</v>
      </c>
      <c r="F11" s="45">
        <f t="shared" si="0"/>
        <v>8.5594212700000009E-3</v>
      </c>
      <c r="G11" s="46">
        <v>2.62</v>
      </c>
      <c r="H11" s="43">
        <v>5.0000000000000001E-4</v>
      </c>
      <c r="I11" s="43">
        <v>1</v>
      </c>
      <c r="J11" s="43">
        <v>1</v>
      </c>
      <c r="K11" s="44">
        <f t="shared" si="1"/>
        <v>0</v>
      </c>
      <c r="L11" s="43">
        <v>0.3</v>
      </c>
      <c r="M11" s="46">
        <v>1.016</v>
      </c>
      <c r="N11" s="46">
        <v>1.016</v>
      </c>
      <c r="O11" s="46">
        <v>1.016</v>
      </c>
      <c r="P11" s="46">
        <v>1.016</v>
      </c>
      <c r="Q11" s="46">
        <v>1.0149999999999999</v>
      </c>
      <c r="R11" s="46">
        <v>1.0149999999999999</v>
      </c>
      <c r="S11" s="46">
        <v>1.014</v>
      </c>
      <c r="T11" s="46">
        <v>1.014</v>
      </c>
      <c r="U11" s="46">
        <v>1.0129999999999999</v>
      </c>
      <c r="V11" s="46">
        <v>1.0129999999999999</v>
      </c>
      <c r="W11" s="46">
        <v>1.0129999999999999</v>
      </c>
      <c r="X11" s="46">
        <v>1.012</v>
      </c>
      <c r="Y11" s="46">
        <v>1.0109999999999999</v>
      </c>
      <c r="Z11" s="47">
        <v>6.2774979342180473E-2</v>
      </c>
      <c r="AA11" s="47">
        <v>4.438861358170125E-2</v>
      </c>
      <c r="AB11" s="47">
        <v>3.1387489671090237E-2</v>
      </c>
      <c r="AC11" s="47">
        <v>2.2194306790850625E-2</v>
      </c>
      <c r="AD11" s="47">
        <v>1.6627045197683547E-2</v>
      </c>
      <c r="AE11" s="47">
        <v>1.2142676959238962E-2</v>
      </c>
      <c r="AF11" s="47">
        <v>8.6835721609145131E-3</v>
      </c>
      <c r="AG11" s="47">
        <v>6.1402127599053738E-3</v>
      </c>
      <c r="AH11" s="47">
        <v>4.3899472969331612E-3</v>
      </c>
      <c r="AI11" s="47">
        <v>3.1041615027129926E-3</v>
      </c>
      <c r="AJ11" s="47">
        <v>2.1949736484665806E-3</v>
      </c>
      <c r="AK11" s="47">
        <v>1.568923523122186E-3</v>
      </c>
      <c r="AL11" s="47">
        <v>1.2946266859809254E-3</v>
      </c>
      <c r="AM11" s="44">
        <v>50.784333333333372</v>
      </c>
      <c r="AN11" s="44">
        <v>50.784333333333372</v>
      </c>
      <c r="AO11" s="44">
        <v>50.784333333333372</v>
      </c>
      <c r="AP11" s="44">
        <v>50.784333333333372</v>
      </c>
      <c r="AQ11" s="44">
        <v>47.549765432098454</v>
      </c>
      <c r="AR11" s="44">
        <v>47.549765432098454</v>
      </c>
      <c r="AS11" s="44">
        <v>44.315197530864239</v>
      </c>
      <c r="AT11" s="44">
        <v>44.315197530864239</v>
      </c>
      <c r="AU11" s="44">
        <v>41.080629629629307</v>
      </c>
      <c r="AV11" s="44">
        <v>41.080629629629307</v>
      </c>
      <c r="AW11" s="44">
        <v>41.080629629629307</v>
      </c>
      <c r="AX11" s="44">
        <v>37.8460617283951</v>
      </c>
      <c r="AY11" s="44">
        <v>34.611493827160167</v>
      </c>
      <c r="AZ11" s="48"/>
      <c r="BA11" s="48"/>
    </row>
    <row r="12" spans="1:53" s="41" customFormat="1" x14ac:dyDescent="0.25">
      <c r="A12" s="30">
        <v>8</v>
      </c>
      <c r="B12" s="37" t="str">
        <f t="shared" si="2"/>
        <v>RBH-8</v>
      </c>
      <c r="C12" s="34">
        <f>GSD!F12</f>
        <v>12.5</v>
      </c>
      <c r="D12" s="37" t="str">
        <f>GSD!E12</f>
        <v>SPT</v>
      </c>
      <c r="E12" s="34">
        <v>27</v>
      </c>
      <c r="F12" s="38">
        <f t="shared" si="0"/>
        <v>8.5594212700000009E-3</v>
      </c>
      <c r="G12" s="39">
        <v>2.7</v>
      </c>
      <c r="H12" s="37">
        <v>5.0000000000000001E-4</v>
      </c>
      <c r="I12" s="37">
        <v>1</v>
      </c>
      <c r="J12" s="37">
        <v>1</v>
      </c>
      <c r="K12" s="34">
        <f t="shared" si="1"/>
        <v>0</v>
      </c>
      <c r="L12" s="37">
        <v>0.3</v>
      </c>
      <c r="M12" s="39">
        <v>1.016</v>
      </c>
      <c r="N12" s="39">
        <v>1.016</v>
      </c>
      <c r="O12" s="39">
        <v>1.016</v>
      </c>
      <c r="P12" s="39">
        <v>1.016</v>
      </c>
      <c r="Q12" s="39">
        <v>1.0149999999999999</v>
      </c>
      <c r="R12" s="39">
        <v>1.0149999999999999</v>
      </c>
      <c r="S12" s="39">
        <v>1.014</v>
      </c>
      <c r="T12" s="39">
        <v>1.014</v>
      </c>
      <c r="U12" s="39">
        <v>1.0129999999999999</v>
      </c>
      <c r="V12" s="39">
        <v>1.0129999999999999</v>
      </c>
      <c r="W12" s="39">
        <v>1.012</v>
      </c>
      <c r="X12" s="39">
        <v>1.012</v>
      </c>
      <c r="Y12" s="39">
        <v>1.01</v>
      </c>
      <c r="Z12" s="33">
        <v>6.1280122537151524E-2</v>
      </c>
      <c r="AA12" s="33">
        <v>4.3331590197962427E-2</v>
      </c>
      <c r="AB12" s="33">
        <v>3.0640061268575762E-2</v>
      </c>
      <c r="AC12" s="33">
        <v>2.1665795098981214E-2</v>
      </c>
      <c r="AD12" s="33">
        <v>1.6231106371072408E-2</v>
      </c>
      <c r="AE12" s="33">
        <v>1.1853524123602901E-2</v>
      </c>
      <c r="AF12" s="33">
        <v>8.4767907796583532E-3</v>
      </c>
      <c r="AG12" s="33">
        <v>5.9939962429960223E-3</v>
      </c>
      <c r="AH12" s="33">
        <v>4.2854097461556724E-3</v>
      </c>
      <c r="AI12" s="33">
        <v>3.0302422916695976E-3</v>
      </c>
      <c r="AJ12" s="33">
        <v>2.1659569423448121E-3</v>
      </c>
      <c r="AK12" s="33">
        <v>1.5315628416900967E-3</v>
      </c>
      <c r="AL12" s="33">
        <v>1.2769416695177155E-3</v>
      </c>
      <c r="AM12" s="34">
        <v>49.872176470588272</v>
      </c>
      <c r="AN12" s="34">
        <v>49.872176470588272</v>
      </c>
      <c r="AO12" s="34">
        <v>49.872176470588272</v>
      </c>
      <c r="AP12" s="34">
        <v>49.872176470588272</v>
      </c>
      <c r="AQ12" s="34">
        <v>46.695705882352634</v>
      </c>
      <c r="AR12" s="34">
        <v>46.695705882352634</v>
      </c>
      <c r="AS12" s="34">
        <v>43.519235294117685</v>
      </c>
      <c r="AT12" s="34">
        <v>43.519235294117685</v>
      </c>
      <c r="AU12" s="34">
        <v>40.34276470588204</v>
      </c>
      <c r="AV12" s="34">
        <v>40.34276470588204</v>
      </c>
      <c r="AW12" s="34">
        <v>37.166294117647091</v>
      </c>
      <c r="AX12" s="34">
        <v>37.166294117647091</v>
      </c>
      <c r="AY12" s="34">
        <v>30.8133529411765</v>
      </c>
      <c r="AZ12" s="40"/>
      <c r="BA12" s="40"/>
    </row>
    <row r="13" spans="1:53" s="49" customFormat="1" x14ac:dyDescent="0.25">
      <c r="A13" s="30">
        <v>9</v>
      </c>
      <c r="B13" s="43" t="str">
        <f t="shared" si="2"/>
        <v>RBH-8</v>
      </c>
      <c r="C13" s="44">
        <f>GSD!F13</f>
        <v>13.5</v>
      </c>
      <c r="D13" s="43" t="str">
        <f>GSD!E13</f>
        <v>UDS</v>
      </c>
      <c r="E13" s="44">
        <v>27</v>
      </c>
      <c r="F13" s="45">
        <f t="shared" si="0"/>
        <v>8.5594212700000009E-3</v>
      </c>
      <c r="G13" s="46">
        <v>2.62</v>
      </c>
      <c r="H13" s="43">
        <v>5.0000000000000001E-4</v>
      </c>
      <c r="I13" s="43">
        <v>1</v>
      </c>
      <c r="J13" s="43">
        <v>1</v>
      </c>
      <c r="K13" s="44">
        <f t="shared" si="1"/>
        <v>0</v>
      </c>
      <c r="L13" s="43">
        <v>0.3</v>
      </c>
      <c r="M13" s="46">
        <v>1.016</v>
      </c>
      <c r="N13" s="46">
        <v>1.016</v>
      </c>
      <c r="O13" s="46">
        <v>1.016</v>
      </c>
      <c r="P13" s="46">
        <v>1.016</v>
      </c>
      <c r="Q13" s="46">
        <v>1.014</v>
      </c>
      <c r="R13" s="46">
        <v>1.014</v>
      </c>
      <c r="S13" s="46">
        <v>1.014</v>
      </c>
      <c r="T13" s="46">
        <v>1.014</v>
      </c>
      <c r="U13" s="46">
        <v>1.0129999999999999</v>
      </c>
      <c r="V13" s="46">
        <v>1.012</v>
      </c>
      <c r="W13" s="46">
        <v>1.012</v>
      </c>
      <c r="X13" s="46">
        <v>1.012</v>
      </c>
      <c r="Y13" s="46">
        <v>1.0109999999999999</v>
      </c>
      <c r="Z13" s="47">
        <v>6.2774979342180473E-2</v>
      </c>
      <c r="AA13" s="47">
        <v>4.438861358170125E-2</v>
      </c>
      <c r="AB13" s="47">
        <v>3.1387489671090237E-2</v>
      </c>
      <c r="AC13" s="47">
        <v>2.2194306790850625E-2</v>
      </c>
      <c r="AD13" s="47">
        <v>1.6815665182406132E-2</v>
      </c>
      <c r="AE13" s="47">
        <v>1.2280425519810748E-2</v>
      </c>
      <c r="AF13" s="47">
        <v>8.6835721609145131E-3</v>
      </c>
      <c r="AG13" s="47">
        <v>6.1402127599053738E-3</v>
      </c>
      <c r="AH13" s="47">
        <v>4.3899472969331612E-3</v>
      </c>
      <c r="AI13" s="47">
        <v>3.1378470462443721E-3</v>
      </c>
      <c r="AJ13" s="47">
        <v>2.2187929247255737E-3</v>
      </c>
      <c r="AK13" s="47">
        <v>1.568923523122186E-3</v>
      </c>
      <c r="AL13" s="47">
        <v>1.2946266859809254E-3</v>
      </c>
      <c r="AM13" s="44">
        <v>50.784333333333372</v>
      </c>
      <c r="AN13" s="44">
        <v>50.784333333333372</v>
      </c>
      <c r="AO13" s="44">
        <v>50.784333333333372</v>
      </c>
      <c r="AP13" s="44">
        <v>50.784333333333372</v>
      </c>
      <c r="AQ13" s="44">
        <v>44.315197530864239</v>
      </c>
      <c r="AR13" s="44">
        <v>44.315197530864239</v>
      </c>
      <c r="AS13" s="44">
        <v>44.315197530864239</v>
      </c>
      <c r="AT13" s="44">
        <v>44.315197530864239</v>
      </c>
      <c r="AU13" s="44">
        <v>41.080629629629307</v>
      </c>
      <c r="AV13" s="44">
        <v>37.8460617283951</v>
      </c>
      <c r="AW13" s="44">
        <v>37.8460617283951</v>
      </c>
      <c r="AX13" s="44">
        <v>37.8460617283951</v>
      </c>
      <c r="AY13" s="44">
        <v>34.611493827160167</v>
      </c>
      <c r="AZ13" s="48"/>
      <c r="BA13" s="48"/>
    </row>
    <row r="14" spans="1:53" s="49" customFormat="1" x14ac:dyDescent="0.25">
      <c r="A14" s="30">
        <v>10</v>
      </c>
      <c r="B14" s="43" t="str">
        <f t="shared" si="2"/>
        <v>RBH-8</v>
      </c>
      <c r="C14" s="44">
        <f>GSD!F14</f>
        <v>15.5</v>
      </c>
      <c r="D14" s="43" t="str">
        <f>GSD!E14</f>
        <v>SPT</v>
      </c>
      <c r="E14" s="44">
        <v>27</v>
      </c>
      <c r="F14" s="45">
        <f t="shared" si="0"/>
        <v>8.5594212700000009E-3</v>
      </c>
      <c r="G14" s="46">
        <v>2.65</v>
      </c>
      <c r="H14" s="43">
        <v>5.0000000000000001E-4</v>
      </c>
      <c r="I14" s="43">
        <v>1</v>
      </c>
      <c r="J14" s="43">
        <v>1</v>
      </c>
      <c r="K14" s="44">
        <f t="shared" si="1"/>
        <v>0</v>
      </c>
      <c r="L14" s="43">
        <v>0.3</v>
      </c>
      <c r="M14" s="32">
        <v>1.016</v>
      </c>
      <c r="N14" s="32">
        <v>1.016</v>
      </c>
      <c r="O14" s="32">
        <v>1.016</v>
      </c>
      <c r="P14" s="32">
        <v>1.0149999999999999</v>
      </c>
      <c r="Q14" s="32">
        <v>1.014</v>
      </c>
      <c r="R14" s="32">
        <v>1.014</v>
      </c>
      <c r="S14" s="32">
        <v>1.014</v>
      </c>
      <c r="T14" s="32">
        <v>1.0129999999999999</v>
      </c>
      <c r="U14" s="32">
        <v>1.0129999999999999</v>
      </c>
      <c r="V14" s="32">
        <v>1.012</v>
      </c>
      <c r="W14" s="32">
        <v>1.012</v>
      </c>
      <c r="X14" s="32">
        <v>1.012</v>
      </c>
      <c r="Y14" s="32">
        <v>1.01</v>
      </c>
      <c r="Z14" s="47">
        <v>6.2201679851066879E-2</v>
      </c>
      <c r="AA14" s="47">
        <v>4.3983229623884026E-2</v>
      </c>
      <c r="AB14" s="47">
        <v>3.110083992553344E-2</v>
      </c>
      <c r="AC14" s="47">
        <v>2.2271454119278045E-2</v>
      </c>
      <c r="AD14" s="47">
        <v>1.6662094247093494E-2</v>
      </c>
      <c r="AE14" s="47">
        <v>1.2168273165880218E-2</v>
      </c>
      <c r="AF14" s="47">
        <v>8.6042684709242007E-3</v>
      </c>
      <c r="AG14" s="47">
        <v>6.1516248040569569E-3</v>
      </c>
      <c r="AH14" s="47">
        <v>4.3498556142640412E-3</v>
      </c>
      <c r="AI14" s="47">
        <v>3.1091903085814503E-3</v>
      </c>
      <c r="AJ14" s="47">
        <v>2.1985295511974378E-3</v>
      </c>
      <c r="AK14" s="47">
        <v>1.5545951542907251E-3</v>
      </c>
      <c r="AL14" s="47">
        <v>1.2961448774465819E-3</v>
      </c>
      <c r="AM14" s="44">
        <v>50.431909090909137</v>
      </c>
      <c r="AN14" s="44">
        <v>50.431909090909137</v>
      </c>
      <c r="AO14" s="44">
        <v>50.431909090909137</v>
      </c>
      <c r="AP14" s="44">
        <v>47.219787878787571</v>
      </c>
      <c r="AQ14" s="44">
        <v>44.007666666666708</v>
      </c>
      <c r="AR14" s="44">
        <v>44.007666666666708</v>
      </c>
      <c r="AS14" s="44">
        <v>44.007666666666708</v>
      </c>
      <c r="AT14" s="44">
        <v>40.795545454545135</v>
      </c>
      <c r="AU14" s="44">
        <v>40.795545454545135</v>
      </c>
      <c r="AV14" s="44">
        <v>37.583424242424279</v>
      </c>
      <c r="AW14" s="44">
        <v>37.583424242424279</v>
      </c>
      <c r="AX14" s="44">
        <v>37.583424242424279</v>
      </c>
      <c r="AY14" s="44">
        <v>31.15918181818185</v>
      </c>
      <c r="AZ14" s="48"/>
      <c r="BA14" s="48"/>
    </row>
    <row r="15" spans="1:53" s="49" customFormat="1" x14ac:dyDescent="0.25">
      <c r="A15" s="30">
        <v>11</v>
      </c>
      <c r="B15" s="43" t="str">
        <f t="shared" si="2"/>
        <v>RBH-8</v>
      </c>
      <c r="C15" s="44">
        <f>GSD!F15</f>
        <v>16.5</v>
      </c>
      <c r="D15" s="43" t="str">
        <f>GSD!E15</f>
        <v>UDS</v>
      </c>
      <c r="E15" s="44">
        <v>27</v>
      </c>
      <c r="F15" s="45">
        <f t="shared" si="0"/>
        <v>8.5594212700000009E-3</v>
      </c>
      <c r="G15" s="46">
        <v>2.66</v>
      </c>
      <c r="H15" s="43">
        <v>5.0000000000000001E-4</v>
      </c>
      <c r="I15" s="43">
        <v>1</v>
      </c>
      <c r="J15" s="43">
        <v>1</v>
      </c>
      <c r="K15" s="44">
        <f t="shared" si="1"/>
        <v>0</v>
      </c>
      <c r="L15" s="43">
        <v>0.3</v>
      </c>
      <c r="M15" s="46">
        <v>1.0089999999999999</v>
      </c>
      <c r="N15" s="46">
        <v>1.0089999999999999</v>
      </c>
      <c r="O15" s="46">
        <v>1.008</v>
      </c>
      <c r="P15" s="46">
        <v>1.008</v>
      </c>
      <c r="Q15" s="46">
        <v>1.008</v>
      </c>
      <c r="R15" s="46">
        <v>1.0069999999999999</v>
      </c>
      <c r="S15" s="46">
        <v>1.0069999999999999</v>
      </c>
      <c r="T15" s="46">
        <v>1.006</v>
      </c>
      <c r="U15" s="46">
        <v>1.006</v>
      </c>
      <c r="V15" s="46">
        <v>1.0049999999999999</v>
      </c>
      <c r="W15" s="46">
        <v>1.004</v>
      </c>
      <c r="X15" s="46">
        <v>1.004</v>
      </c>
      <c r="Y15" s="46">
        <v>1.004</v>
      </c>
      <c r="Z15" s="47">
        <v>6.7343963835964332E-2</v>
      </c>
      <c r="AA15" s="47">
        <v>4.7619373500391998E-2</v>
      </c>
      <c r="AB15" s="47">
        <v>3.4035661061375989E-2</v>
      </c>
      <c r="AC15" s="47">
        <v>2.4066846738665888E-2</v>
      </c>
      <c r="AD15" s="47">
        <v>1.7688661029666777E-2</v>
      </c>
      <c r="AE15" s="47">
        <v>1.3044430605637857E-2</v>
      </c>
      <c r="AF15" s="47">
        <v>9.223805337963872E-3</v>
      </c>
      <c r="AG15" s="47">
        <v>6.5848377132361443E-3</v>
      </c>
      <c r="AH15" s="47">
        <v>4.6561834000421959E-3</v>
      </c>
      <c r="AI15" s="47">
        <v>3.3234350814702546E-3</v>
      </c>
      <c r="AJ15" s="47">
        <v>2.3717524695971229E-3</v>
      </c>
      <c r="AK15" s="47">
        <v>1.6770822545480665E-3</v>
      </c>
      <c r="AL15" s="47">
        <v>1.3693319267730586E-3</v>
      </c>
      <c r="AM15" s="44">
        <v>27.883530120481598</v>
      </c>
      <c r="AN15" s="44">
        <v>27.883530120481598</v>
      </c>
      <c r="AO15" s="44">
        <v>24.678710843373519</v>
      </c>
      <c r="AP15" s="44">
        <v>24.678710843373519</v>
      </c>
      <c r="AQ15" s="44">
        <v>24.678710843373519</v>
      </c>
      <c r="AR15" s="44">
        <v>21.473891566264722</v>
      </c>
      <c r="AS15" s="44">
        <v>21.473891566264722</v>
      </c>
      <c r="AT15" s="44">
        <v>18.269072289156643</v>
      </c>
      <c r="AU15" s="44">
        <v>18.269072289156643</v>
      </c>
      <c r="AV15" s="44">
        <v>15.06425301204785</v>
      </c>
      <c r="AW15" s="44">
        <v>11.859433734939769</v>
      </c>
      <c r="AX15" s="44">
        <v>11.859433734939769</v>
      </c>
      <c r="AY15" s="44">
        <v>11.859433734939769</v>
      </c>
      <c r="AZ15" s="48"/>
      <c r="BA15" s="48"/>
    </row>
    <row r="16" spans="1:53" s="41" customFormat="1" x14ac:dyDescent="0.25">
      <c r="A16" s="30">
        <v>12</v>
      </c>
      <c r="B16" s="37" t="str">
        <f t="shared" si="2"/>
        <v>RBH-8</v>
      </c>
      <c r="C16" s="34">
        <f>GSD!F16</f>
        <v>18.5</v>
      </c>
      <c r="D16" s="37" t="str">
        <f>GSD!E16</f>
        <v>SPT</v>
      </c>
      <c r="E16" s="34">
        <v>27</v>
      </c>
      <c r="F16" s="38">
        <f t="shared" si="0"/>
        <v>8.5594212700000009E-3</v>
      </c>
      <c r="G16" s="39">
        <v>2.66</v>
      </c>
      <c r="H16" s="37">
        <v>5.0000000000000001E-4</v>
      </c>
      <c r="I16" s="37">
        <v>1</v>
      </c>
      <c r="J16" s="37">
        <v>1</v>
      </c>
      <c r="K16" s="34">
        <f t="shared" si="1"/>
        <v>0</v>
      </c>
      <c r="L16" s="37">
        <v>0.3</v>
      </c>
      <c r="M16" s="32">
        <v>1.016</v>
      </c>
      <c r="N16" s="32">
        <v>1.016</v>
      </c>
      <c r="O16" s="32">
        <v>1.016</v>
      </c>
      <c r="P16" s="32">
        <v>1.0149999999999999</v>
      </c>
      <c r="Q16" s="32">
        <v>1.014</v>
      </c>
      <c r="R16" s="32">
        <v>1.014</v>
      </c>
      <c r="S16" s="32">
        <v>1.0129999999999999</v>
      </c>
      <c r="T16" s="32">
        <v>1.0129999999999999</v>
      </c>
      <c r="U16" s="32">
        <v>1.012</v>
      </c>
      <c r="V16" s="32">
        <v>1.012</v>
      </c>
      <c r="W16" s="32">
        <v>1.0109999999999999</v>
      </c>
      <c r="X16" s="32">
        <v>1.0109999999999999</v>
      </c>
      <c r="Y16" s="32">
        <v>1.01</v>
      </c>
      <c r="Z16" s="33">
        <v>6.2014042380262847E-2</v>
      </c>
      <c r="AA16" s="33">
        <v>4.3850549895873808E-2</v>
      </c>
      <c r="AB16" s="33">
        <v>3.1007021190131424E-2</v>
      </c>
      <c r="AC16" s="33">
        <v>2.2204270092543155E-2</v>
      </c>
      <c r="AD16" s="33">
        <v>1.6611831404830892E-2</v>
      </c>
      <c r="AE16" s="33">
        <v>1.2131566375864817E-2</v>
      </c>
      <c r="AF16" s="33">
        <v>8.6734676959489779E-3</v>
      </c>
      <c r="AG16" s="33">
        <v>6.133067824207983E-3</v>
      </c>
      <c r="AH16" s="33">
        <v>4.3837949421515398E-3</v>
      </c>
      <c r="AI16" s="33">
        <v>3.0998111309266424E-3</v>
      </c>
      <c r="AJ16" s="33">
        <v>2.2151780809620768E-3</v>
      </c>
      <c r="AK16" s="33">
        <v>1.5663674425840874E-3</v>
      </c>
      <c r="AL16" s="33">
        <v>1.2922349292396847E-3</v>
      </c>
      <c r="AM16" s="34">
        <v>50.317265060241006</v>
      </c>
      <c r="AN16" s="34">
        <v>50.317265060241006</v>
      </c>
      <c r="AO16" s="34">
        <v>50.317265060241006</v>
      </c>
      <c r="AP16" s="34">
        <v>47.112445783132216</v>
      </c>
      <c r="AQ16" s="34">
        <v>43.907626506024137</v>
      </c>
      <c r="AR16" s="34">
        <v>43.907626506024137</v>
      </c>
      <c r="AS16" s="34">
        <v>40.702807228915347</v>
      </c>
      <c r="AT16" s="34">
        <v>40.702807228915347</v>
      </c>
      <c r="AU16" s="34">
        <v>37.497987951807261</v>
      </c>
      <c r="AV16" s="34">
        <v>37.497987951807261</v>
      </c>
      <c r="AW16" s="34">
        <v>34.293168674698471</v>
      </c>
      <c r="AX16" s="34">
        <v>34.293168674698471</v>
      </c>
      <c r="AY16" s="34">
        <v>31.088349397590392</v>
      </c>
      <c r="AZ16" s="40"/>
      <c r="BA16" s="40"/>
    </row>
    <row r="17" spans="1:53" s="41" customFormat="1" x14ac:dyDescent="0.25">
      <c r="A17" s="37">
        <v>13</v>
      </c>
      <c r="B17" s="37" t="str">
        <f t="shared" si="2"/>
        <v>RBH-8</v>
      </c>
      <c r="C17" s="34">
        <f>GSD!F17</f>
        <v>19.5</v>
      </c>
      <c r="D17" s="37" t="str">
        <f>GSD!E17</f>
        <v>SPT</v>
      </c>
      <c r="E17" s="34">
        <v>27</v>
      </c>
      <c r="F17" s="38">
        <f t="shared" ref="F17" si="3">(0.000000002615*E17^4) - (0.00000030607*E17^3) + (0.000016427499*E17^2) - (0.000618546309*E17) + 0.017919182437</f>
        <v>8.5594212700000009E-3</v>
      </c>
      <c r="G17" s="39">
        <v>2.72</v>
      </c>
      <c r="H17" s="37">
        <v>5.0000000000000001E-4</v>
      </c>
      <c r="I17" s="37">
        <v>1</v>
      </c>
      <c r="J17" s="37">
        <v>1</v>
      </c>
      <c r="K17" s="34">
        <f t="shared" ref="K17" si="4">(E17-27)*0.25</f>
        <v>0</v>
      </c>
      <c r="L17" s="37">
        <v>0.3</v>
      </c>
      <c r="M17" s="32">
        <v>1.016</v>
      </c>
      <c r="N17" s="32">
        <v>1.016</v>
      </c>
      <c r="O17" s="32">
        <v>1.016</v>
      </c>
      <c r="P17" s="32">
        <v>1.0149999999999999</v>
      </c>
      <c r="Q17" s="32">
        <v>1.014</v>
      </c>
      <c r="R17" s="32">
        <v>1.014</v>
      </c>
      <c r="S17" s="32">
        <v>1.0129999999999999</v>
      </c>
      <c r="T17" s="32">
        <v>1.0129999999999999</v>
      </c>
      <c r="U17" s="32">
        <v>1.012</v>
      </c>
      <c r="V17" s="32">
        <v>1.012</v>
      </c>
      <c r="W17" s="32">
        <v>1.0109999999999999</v>
      </c>
      <c r="X17" s="32">
        <v>1.0109999999999999</v>
      </c>
      <c r="Y17" s="32">
        <v>1.01</v>
      </c>
      <c r="Z17" s="33">
        <v>6.0922800992302913E-2</v>
      </c>
      <c r="AA17" s="33">
        <v>4.3078925710535919E-2</v>
      </c>
      <c r="AB17" s="33">
        <v>3.0461400496151456E-2</v>
      </c>
      <c r="AC17" s="33">
        <v>2.1813548611014064E-2</v>
      </c>
      <c r="AD17" s="33">
        <v>1.6319518288914207E-2</v>
      </c>
      <c r="AE17" s="33">
        <v>1.1918091059275228E-2</v>
      </c>
      <c r="AF17" s="33">
        <v>8.5208434424143397E-3</v>
      </c>
      <c r="AG17" s="33">
        <v>6.025146179560105E-3</v>
      </c>
      <c r="AH17" s="33">
        <v>4.3066546962718787E-3</v>
      </c>
      <c r="AI17" s="33">
        <v>3.0452647399627367E-3</v>
      </c>
      <c r="AJ17" s="33">
        <v>2.1761982965315613E-3</v>
      </c>
      <c r="AK17" s="33">
        <v>1.5388045726840802E-3</v>
      </c>
      <c r="AL17" s="33">
        <v>1.2694958820234591E-3</v>
      </c>
      <c r="AM17" s="34">
        <v>49.657395348837248</v>
      </c>
      <c r="AN17" s="34">
        <v>49.657395348837248</v>
      </c>
      <c r="AO17" s="34">
        <v>49.657395348837248</v>
      </c>
      <c r="AP17" s="34">
        <v>46.494604651162483</v>
      </c>
      <c r="AQ17" s="34">
        <v>43.331813953488414</v>
      </c>
      <c r="AR17" s="34">
        <v>43.331813953488414</v>
      </c>
      <c r="AS17" s="34">
        <v>40.169023255813642</v>
      </c>
      <c r="AT17" s="34">
        <v>40.169023255813642</v>
      </c>
      <c r="AU17" s="34">
        <v>37.006232558139565</v>
      </c>
      <c r="AV17" s="34">
        <v>37.006232558139565</v>
      </c>
      <c r="AW17" s="34">
        <v>33.843441860464793</v>
      </c>
      <c r="AX17" s="34">
        <v>33.843441860464793</v>
      </c>
      <c r="AY17" s="34">
        <v>30.680651162790728</v>
      </c>
      <c r="AZ17" s="40"/>
      <c r="BA17" s="40"/>
    </row>
    <row r="19" spans="1:53" x14ac:dyDescent="0.25">
      <c r="G19" t="s">
        <v>51</v>
      </c>
      <c r="J19" s="18"/>
    </row>
    <row r="20" spans="1:53" x14ac:dyDescent="0.25">
      <c r="J20" s="18"/>
    </row>
    <row r="21" spans="1:53" x14ac:dyDescent="0.25">
      <c r="J21" s="18"/>
    </row>
    <row r="22" spans="1:53" x14ac:dyDescent="0.25">
      <c r="J22" s="18"/>
    </row>
    <row r="23" spans="1:53" x14ac:dyDescent="0.25">
      <c r="J23" s="18"/>
    </row>
    <row r="24" spans="1:53" x14ac:dyDescent="0.25">
      <c r="J24" s="18"/>
    </row>
    <row r="25" spans="1:53" x14ac:dyDescent="0.25">
      <c r="J25" s="18"/>
    </row>
    <row r="26" spans="1:53" x14ac:dyDescent="0.25">
      <c r="J26" s="18"/>
    </row>
    <row r="27" spans="1:53" x14ac:dyDescent="0.25">
      <c r="J27" s="18"/>
    </row>
    <row r="28" spans="1:53" x14ac:dyDescent="0.25">
      <c r="J28" s="18"/>
    </row>
    <row r="29" spans="1:53" x14ac:dyDescent="0.25">
      <c r="J29" s="18"/>
    </row>
    <row r="30" spans="1:53" x14ac:dyDescent="0.25">
      <c r="J30" s="18"/>
    </row>
    <row r="31" spans="1:53" x14ac:dyDescent="0.25">
      <c r="J31" s="18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workbookViewId="0"/>
  </sheetViews>
  <sheetFormatPr defaultRowHeight="15" x14ac:dyDescent="0.25"/>
  <sheetData>
    <row r="1" spans="1:6" ht="30" x14ac:dyDescent="0.25">
      <c r="A1" s="17" t="s">
        <v>35</v>
      </c>
      <c r="B1" s="17" t="s">
        <v>36</v>
      </c>
      <c r="C1" s="17" t="s">
        <v>37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S30"/>
  <sheetViews>
    <sheetView tabSelected="1" zoomScale="85" zoomScaleNormal="85" workbookViewId="0">
      <selection activeCell="C14" sqref="C14:C15"/>
    </sheetView>
  </sheetViews>
  <sheetFormatPr defaultRowHeight="15" x14ac:dyDescent="0.25"/>
  <cols>
    <col min="4" max="27" width="9.140625" customWidth="1"/>
    <col min="28" max="28" width="9.140625" style="42"/>
  </cols>
  <sheetData>
    <row r="1" spans="1:45" x14ac:dyDescent="0.25">
      <c r="J1" s="25">
        <v>0.5</v>
      </c>
      <c r="K1" s="25">
        <v>1</v>
      </c>
      <c r="L1" s="25">
        <v>2</v>
      </c>
      <c r="M1" s="25">
        <v>4</v>
      </c>
      <c r="N1" s="25">
        <v>8</v>
      </c>
      <c r="O1" s="25">
        <v>15</v>
      </c>
      <c r="P1" s="25">
        <v>30</v>
      </c>
      <c r="Q1" s="25">
        <v>60</v>
      </c>
      <c r="R1" s="25">
        <v>120</v>
      </c>
      <c r="S1" s="25">
        <v>240</v>
      </c>
      <c r="T1" s="25">
        <v>480</v>
      </c>
      <c r="U1" s="25">
        <v>960</v>
      </c>
      <c r="V1" s="25">
        <v>1440</v>
      </c>
      <c r="W1" s="25">
        <v>4.75</v>
      </c>
      <c r="X1" s="50">
        <v>2</v>
      </c>
      <c r="Y1" s="28">
        <v>0.42499999999999999</v>
      </c>
      <c r="Z1" s="28">
        <v>0.21199999999999999</v>
      </c>
      <c r="AA1" s="28">
        <v>0.15</v>
      </c>
      <c r="AB1" s="25">
        <v>7.4999999999999997E-2</v>
      </c>
      <c r="AC1" s="25">
        <v>0.5</v>
      </c>
      <c r="AD1" s="25">
        <v>1</v>
      </c>
      <c r="AE1" s="25">
        <v>2</v>
      </c>
      <c r="AF1" s="25">
        <v>4</v>
      </c>
      <c r="AG1" s="25">
        <v>8</v>
      </c>
      <c r="AH1" s="25">
        <v>15</v>
      </c>
      <c r="AI1" s="25">
        <v>30</v>
      </c>
      <c r="AJ1" s="25">
        <v>60</v>
      </c>
      <c r="AK1" s="25">
        <v>120</v>
      </c>
      <c r="AL1" s="25">
        <v>240</v>
      </c>
      <c r="AM1" s="25">
        <v>480</v>
      </c>
      <c r="AN1" s="25">
        <v>960</v>
      </c>
      <c r="AO1" s="25">
        <v>1440</v>
      </c>
    </row>
    <row r="2" spans="1:45" x14ac:dyDescent="0.25">
      <c r="A2" s="29" t="s">
        <v>40</v>
      </c>
      <c r="B2" s="29" t="s">
        <v>5</v>
      </c>
      <c r="C2" s="29" t="s">
        <v>9</v>
      </c>
      <c r="D2" s="89" t="s">
        <v>41</v>
      </c>
      <c r="E2" s="89"/>
      <c r="F2" s="89"/>
      <c r="G2" s="89"/>
      <c r="H2" s="89"/>
      <c r="I2" s="89"/>
      <c r="J2" s="89" t="s">
        <v>42</v>
      </c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90" t="s">
        <v>43</v>
      </c>
      <c r="X2" s="90"/>
      <c r="Y2" s="90"/>
      <c r="Z2" s="90"/>
      <c r="AA2" s="90"/>
      <c r="AB2" s="90"/>
      <c r="AC2" s="89" t="s">
        <v>44</v>
      </c>
      <c r="AD2" s="89"/>
      <c r="AE2" s="89"/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29" t="s">
        <v>1</v>
      </c>
      <c r="AQ2" s="29" t="s">
        <v>45</v>
      </c>
      <c r="AR2" s="29" t="s">
        <v>46</v>
      </c>
      <c r="AS2" s="29" t="s">
        <v>2</v>
      </c>
    </row>
    <row r="3" spans="1:45" s="18" customFormat="1" x14ac:dyDescent="0.25">
      <c r="A3" s="35">
        <v>1</v>
      </c>
      <c r="B3" s="35" t="str">
        <f>GSD!B5</f>
        <v>RBH-8</v>
      </c>
      <c r="C3" s="27">
        <f>GSD!F5</f>
        <v>1.5</v>
      </c>
      <c r="D3" s="23">
        <v>4.75</v>
      </c>
      <c r="E3" s="23">
        <v>2</v>
      </c>
      <c r="F3" s="23">
        <v>0.42499999999999999</v>
      </c>
      <c r="G3" s="23">
        <v>0.21199999999999999</v>
      </c>
      <c r="H3" s="23">
        <v>0.15</v>
      </c>
      <c r="I3" s="23">
        <v>7.4999999999999997E-2</v>
      </c>
      <c r="J3" s="24">
        <f>HYD!Z5</f>
        <v>6.4144326169216906E-2</v>
      </c>
      <c r="K3" s="24">
        <f>HYD!AA5</f>
        <v>4.5356888008894994E-2</v>
      </c>
      <c r="L3" s="24">
        <f>HYD!AB5</f>
        <v>3.2072163084608453E-2</v>
      </c>
      <c r="M3" s="24">
        <f>HYD!AC5</f>
        <v>2.2678444004447497E-2</v>
      </c>
      <c r="N3" s="24">
        <f>HYD!AD5</f>
        <v>1.6865825903076927E-2</v>
      </c>
      <c r="O3" s="24">
        <f>HYD!AE5</f>
        <v>1.2440042155973177E-2</v>
      </c>
      <c r="P3" s="24">
        <f>HYD!AF5</f>
        <v>8.7964381667351519E-3</v>
      </c>
      <c r="Q3" s="24">
        <f>HYD!AG5</f>
        <v>6.2200210779865886E-3</v>
      </c>
      <c r="R3" s="24">
        <f>HYD!AH5</f>
        <v>4.398219083367576E-3</v>
      </c>
      <c r="S3" s="24">
        <f>HYD!AI5</f>
        <v>3.1404556451045031E-3</v>
      </c>
      <c r="T3" s="24">
        <f>HYD!AJ5</f>
        <v>2.2419587156199015E-3</v>
      </c>
      <c r="U3" s="24">
        <f>HYD!AK5</f>
        <v>1.600238565910366E-3</v>
      </c>
      <c r="V3" s="24">
        <f>HYD!AL5</f>
        <v>1.3306418303301469E-3</v>
      </c>
      <c r="W3" s="1">
        <f>GSD!Q5</f>
        <v>99.68</v>
      </c>
      <c r="X3" s="1">
        <f>GSD!R5</f>
        <v>98.63</v>
      </c>
      <c r="Y3" s="1">
        <f>GSD!S5</f>
        <v>93.905000000000001</v>
      </c>
      <c r="Z3" s="1">
        <f>GSD!T5</f>
        <v>62.759999999999991</v>
      </c>
      <c r="AA3" s="1">
        <f>GSD!U5</f>
        <v>48.81</v>
      </c>
      <c r="AB3" s="52">
        <f>GSD!V5</f>
        <v>38.72</v>
      </c>
      <c r="AC3" s="52">
        <f>HYD!AM5</f>
        <v>30.239547486033548</v>
      </c>
      <c r="AD3" s="51">
        <f>HYD!AN5</f>
        <v>30.239547486033548</v>
      </c>
      <c r="AE3" s="51">
        <f>HYD!AO5</f>
        <v>30.239547486033548</v>
      </c>
      <c r="AF3" s="51">
        <f>HYD!AP5</f>
        <v>30.239547486033548</v>
      </c>
      <c r="AG3" s="51">
        <f>HYD!AQ5</f>
        <v>27.12222905027901</v>
      </c>
      <c r="AH3" s="51">
        <f>HYD!AR5</f>
        <v>24.004910614525162</v>
      </c>
      <c r="AI3" s="51">
        <f>HYD!AS5</f>
        <v>24.004910614525162</v>
      </c>
      <c r="AJ3" s="51">
        <f>HYD!AT5</f>
        <v>24.004910614525162</v>
      </c>
      <c r="AK3" s="51">
        <f>HYD!AU5</f>
        <v>24.004910614525162</v>
      </c>
      <c r="AL3" s="51">
        <f>HYD!AV5</f>
        <v>20.887592178770621</v>
      </c>
      <c r="AM3" s="51">
        <f>HYD!AW5</f>
        <v>17.770273743016777</v>
      </c>
      <c r="AN3" s="51">
        <f>HYD!AX5</f>
        <v>14.652955307262237</v>
      </c>
      <c r="AO3" s="51">
        <f>HYD!AY5</f>
        <v>8.4183184357538519</v>
      </c>
      <c r="AP3" s="1">
        <v>0.31999999999999318</v>
      </c>
      <c r="AQ3" s="1">
        <v>60.960000000000008</v>
      </c>
      <c r="AR3" s="1">
        <v>22.005506931304403</v>
      </c>
      <c r="AS3" s="1">
        <v>16.714493068695596</v>
      </c>
    </row>
    <row r="4" spans="1:45" x14ac:dyDescent="0.25">
      <c r="A4" s="35">
        <v>2</v>
      </c>
      <c r="B4" s="35" t="str">
        <f>B3</f>
        <v>RBH-8</v>
      </c>
      <c r="C4" s="27">
        <f>GSD!F6</f>
        <v>3.5</v>
      </c>
      <c r="D4" s="23">
        <v>4.75</v>
      </c>
      <c r="E4" s="23">
        <v>2</v>
      </c>
      <c r="F4" s="23">
        <v>0.42499999999999999</v>
      </c>
      <c r="G4" s="23">
        <v>0.21199999999999999</v>
      </c>
      <c r="H4" s="23">
        <v>0.15</v>
      </c>
      <c r="I4" s="23">
        <v>7.4999999999999997E-2</v>
      </c>
      <c r="J4" s="24">
        <f>HYD!Z6</f>
        <v>6.1031200406082994E-2</v>
      </c>
      <c r="K4" s="24">
        <f>HYD!AA6</f>
        <v>4.3155575671096458E-2</v>
      </c>
      <c r="L4" s="24">
        <f>HYD!AB6</f>
        <v>3.0515600203041497E-2</v>
      </c>
      <c r="M4" s="24">
        <f>HYD!AC6</f>
        <v>2.1859531846573393E-2</v>
      </c>
      <c r="N4" s="24">
        <f>HYD!AD6</f>
        <v>1.61883391710523E-2</v>
      </c>
      <c r="O4" s="24">
        <f>HYD!AE6</f>
        <v>1.1959518997122234E-2</v>
      </c>
      <c r="P4" s="24">
        <f>HYD!AF6</f>
        <v>8.4566569825944692E-3</v>
      </c>
      <c r="Q4" s="24">
        <f>HYD!AG6</f>
        <v>6.0475948915520786E-3</v>
      </c>
      <c r="R4" s="24">
        <f>HYD!AH6</f>
        <v>4.2762953576855976E-3</v>
      </c>
      <c r="S4" s="24">
        <f>HYD!AI6</f>
        <v>3.0573388871705841E-3</v>
      </c>
      <c r="T4" s="24">
        <f>HYD!AJ6</f>
        <v>2.1618650595036527E-3</v>
      </c>
      <c r="U4" s="24">
        <f>HYD!AK6</f>
        <v>1.5616706780602748E-3</v>
      </c>
      <c r="V4" s="24">
        <f>HYD!AL6</f>
        <v>1.275098769171298E-3</v>
      </c>
      <c r="W4" s="1">
        <f>GSD!Q6</f>
        <v>97.09</v>
      </c>
      <c r="X4" s="1">
        <f>GSD!R6</f>
        <v>93.18</v>
      </c>
      <c r="Y4" s="1">
        <f>GSD!S6</f>
        <v>86.76</v>
      </c>
      <c r="Z4" s="1">
        <f>GSD!T6</f>
        <v>78.210000000000008</v>
      </c>
      <c r="AA4" s="1">
        <f>GSD!U6</f>
        <v>73.89</v>
      </c>
      <c r="AB4" s="52">
        <f>GSD!V6</f>
        <v>70.7</v>
      </c>
      <c r="AC4" s="52">
        <f>HYD!AM6</f>
        <v>53.401598802394901</v>
      </c>
      <c r="AD4" s="51">
        <f>HYD!AN6</f>
        <v>53.401598802394901</v>
      </c>
      <c r="AE4" s="51">
        <f>HYD!AO6</f>
        <v>53.401598802394901</v>
      </c>
      <c r="AF4" s="51">
        <f>HYD!AP6</f>
        <v>50.203994011976093</v>
      </c>
      <c r="AG4" s="51">
        <f>HYD!AQ6</f>
        <v>50.203994011976093</v>
      </c>
      <c r="AH4" s="51">
        <f>HYD!AR6</f>
        <v>47.006389221556574</v>
      </c>
      <c r="AI4" s="51">
        <f>HYD!AS6</f>
        <v>47.006389221556574</v>
      </c>
      <c r="AJ4" s="51">
        <f>HYD!AT6</f>
        <v>43.808784431137767</v>
      </c>
      <c r="AK4" s="51">
        <f>HYD!AU6</f>
        <v>43.808784431137767</v>
      </c>
      <c r="AL4" s="51">
        <f>HYD!AV6</f>
        <v>40.611179640718248</v>
      </c>
      <c r="AM4" s="51">
        <f>HYD!AW6</f>
        <v>40.611179640718248</v>
      </c>
      <c r="AN4" s="51">
        <f>HYD!AX6</f>
        <v>34.215970059879915</v>
      </c>
      <c r="AO4" s="51">
        <f>HYD!AY6</f>
        <v>34.215970059879915</v>
      </c>
      <c r="AP4" s="1">
        <v>2.9099999999999966</v>
      </c>
      <c r="AQ4" s="1">
        <v>26.39</v>
      </c>
      <c r="AR4" s="1">
        <v>31.619196901893766</v>
      </c>
      <c r="AS4" s="1">
        <v>39.080803098106237</v>
      </c>
    </row>
    <row r="5" spans="1:45" x14ac:dyDescent="0.25">
      <c r="A5" s="35">
        <v>3</v>
      </c>
      <c r="B5" s="35" t="str">
        <f t="shared" ref="B5:B15" si="0">B4</f>
        <v>RBH-8</v>
      </c>
      <c r="C5" s="27">
        <f>GSD!F7</f>
        <v>4.5</v>
      </c>
      <c r="D5" s="23">
        <v>4.75</v>
      </c>
      <c r="E5" s="23">
        <v>2</v>
      </c>
      <c r="F5" s="23">
        <v>0.42499999999999999</v>
      </c>
      <c r="G5" s="23">
        <v>0.21199999999999999</v>
      </c>
      <c r="H5" s="23">
        <v>0.15</v>
      </c>
      <c r="I5" s="23">
        <v>7.4999999999999997E-2</v>
      </c>
      <c r="J5" s="24">
        <f>HYD!Z7</f>
        <v>6.4895069975593203E-2</v>
      </c>
      <c r="K5" s="24">
        <f>HYD!AA7</f>
        <v>4.588774404531748E-2</v>
      </c>
      <c r="L5" s="24">
        <f>HYD!AB7</f>
        <v>3.2447534987796602E-2</v>
      </c>
      <c r="M5" s="24">
        <f>HYD!AC7</f>
        <v>2.294387202265874E-2</v>
      </c>
      <c r="N5" s="24">
        <f>HYD!AD7</f>
        <v>1.7081803326766593E-2</v>
      </c>
      <c r="O5" s="24">
        <f>HYD!AE7</f>
        <v>1.2474785339915802E-2</v>
      </c>
      <c r="P5" s="24">
        <f>HYD!AF7</f>
        <v>8.8210053077009947E-3</v>
      </c>
      <c r="Q5" s="24">
        <f>HYD!AG7</f>
        <v>6.3009414146909673E-3</v>
      </c>
      <c r="R5" s="24">
        <f>HYD!AH7</f>
        <v>4.4554384021871412E-3</v>
      </c>
      <c r="S5" s="24">
        <f>HYD!AI7</f>
        <v>3.181927800229402E-3</v>
      </c>
      <c r="T5" s="24">
        <f>HYD!AJ7</f>
        <v>2.2499627247882046E-3</v>
      </c>
      <c r="U5" s="24">
        <f>HYD!AK7</f>
        <v>1.6065384662297645E-3</v>
      </c>
      <c r="V5" s="24">
        <f>HYD!AL7</f>
        <v>1.3243276421096547E-3</v>
      </c>
      <c r="W5" s="1">
        <f>GSD!Q7</f>
        <v>99.784999999999997</v>
      </c>
      <c r="X5" s="1">
        <f>GSD!R7</f>
        <v>99.63</v>
      </c>
      <c r="Y5" s="1">
        <f>GSD!S7</f>
        <v>95.275000000000006</v>
      </c>
      <c r="Z5" s="1">
        <f>GSD!T7</f>
        <v>69.564999999999998</v>
      </c>
      <c r="AA5" s="1">
        <f>GSD!U7</f>
        <v>56.265000000000001</v>
      </c>
      <c r="AB5" s="52">
        <f>GSD!V7</f>
        <v>44.870000000000005</v>
      </c>
      <c r="AC5" s="52">
        <f>HYD!AM7</f>
        <v>33.916204678362256</v>
      </c>
      <c r="AD5" s="51">
        <f>HYD!AN7</f>
        <v>33.916204678362256</v>
      </c>
      <c r="AE5" s="51">
        <f>HYD!AO7</f>
        <v>33.916204678362256</v>
      </c>
      <c r="AF5" s="51">
        <f>HYD!AP7</f>
        <v>33.916204678362256</v>
      </c>
      <c r="AG5" s="51">
        <f>HYD!AQ7</f>
        <v>30.746614035087749</v>
      </c>
      <c r="AH5" s="51">
        <f>HYD!AR7</f>
        <v>30.746614035087749</v>
      </c>
      <c r="AI5" s="51">
        <f>HYD!AS7</f>
        <v>30.746614035087749</v>
      </c>
      <c r="AJ5" s="51">
        <f>HYD!AT7</f>
        <v>27.577023391812542</v>
      </c>
      <c r="AK5" s="51">
        <f>HYD!AU7</f>
        <v>27.577023391812542</v>
      </c>
      <c r="AL5" s="51">
        <f>HYD!AV7</f>
        <v>24.407432748538035</v>
      </c>
      <c r="AM5" s="51">
        <f>HYD!AW7</f>
        <v>24.407432748538035</v>
      </c>
      <c r="AN5" s="51">
        <f>HYD!AX7</f>
        <v>21.237842105262825</v>
      </c>
      <c r="AO5" s="51">
        <f>HYD!AY7</f>
        <v>18.068251461988321</v>
      </c>
      <c r="AP5" s="1">
        <v>0.21500000000000341</v>
      </c>
      <c r="AQ5" s="1">
        <v>54.914999999999992</v>
      </c>
      <c r="AR5" s="1">
        <v>21.570750893618236</v>
      </c>
      <c r="AS5" s="1">
        <v>23.299249106381769</v>
      </c>
    </row>
    <row r="6" spans="1:45" x14ac:dyDescent="0.25">
      <c r="A6" s="35">
        <v>4</v>
      </c>
      <c r="B6" s="35" t="str">
        <f t="shared" si="0"/>
        <v>RBH-8</v>
      </c>
      <c r="C6" s="27">
        <f>GSD!F8</f>
        <v>6.5</v>
      </c>
      <c r="D6" s="23">
        <v>4.75</v>
      </c>
      <c r="E6" s="23">
        <v>2</v>
      </c>
      <c r="F6" s="23">
        <v>0.42499999999999999</v>
      </c>
      <c r="G6" s="23">
        <v>0.21199999999999999</v>
      </c>
      <c r="H6" s="23">
        <v>0.15</v>
      </c>
      <c r="I6" s="23">
        <v>7.4999999999999997E-2</v>
      </c>
      <c r="J6" s="24">
        <f>HYD!Z8</f>
        <v>6.2969630908077071E-2</v>
      </c>
      <c r="K6" s="24">
        <f>HYD!AA8</f>
        <v>4.4526253023915309E-2</v>
      </c>
      <c r="L6" s="24">
        <f>HYD!AB8</f>
        <v>3.1484815454038535E-2</v>
      </c>
      <c r="M6" s="24">
        <f>HYD!AC8</f>
        <v>2.2263126511957654E-2</v>
      </c>
      <c r="N6" s="24">
        <f>HYD!AD8</f>
        <v>1.6678602050714444E-2</v>
      </c>
      <c r="O6" s="24">
        <f>HYD!AE8</f>
        <v>1.2180328761104298E-2</v>
      </c>
      <c r="P6" s="24">
        <f>HYD!AF8</f>
        <v>8.6127930640583876E-3</v>
      </c>
      <c r="Q6" s="24">
        <f>HYD!AG8</f>
        <v>6.1592522250103945E-3</v>
      </c>
      <c r="R6" s="24">
        <f>HYD!AH8</f>
        <v>4.355249015343181E-3</v>
      </c>
      <c r="S6" s="24">
        <f>HYD!AI8</f>
        <v>3.1137868327988124E-3</v>
      </c>
      <c r="T6" s="24">
        <f>HYD!AJ8</f>
        <v>2.2017797846414226E-3</v>
      </c>
      <c r="U6" s="24">
        <f>HYD!AK8</f>
        <v>1.5737884139393229E-3</v>
      </c>
      <c r="V6" s="24">
        <f>HYD!AL8</f>
        <v>1.298641041928445E-3</v>
      </c>
      <c r="W6" s="1">
        <f>GSD!Q8</f>
        <v>97.8</v>
      </c>
      <c r="X6" s="1">
        <f>GSD!R8</f>
        <v>95.41</v>
      </c>
      <c r="Y6" s="1">
        <f>GSD!S8</f>
        <v>88.98</v>
      </c>
      <c r="Z6" s="1">
        <f>GSD!T8</f>
        <v>74.710000000000008</v>
      </c>
      <c r="AA6" s="1">
        <f>GSD!U8</f>
        <v>65.97</v>
      </c>
      <c r="AB6" s="52">
        <f>GSD!V8</f>
        <v>61.870000000000005</v>
      </c>
      <c r="AC6" s="52">
        <f>HYD!AM8</f>
        <v>50.904726708074577</v>
      </c>
      <c r="AD6" s="51">
        <f>HYD!AN8</f>
        <v>50.904726708074577</v>
      </c>
      <c r="AE6" s="51">
        <f>HYD!AO8</f>
        <v>50.904726708074577</v>
      </c>
      <c r="AF6" s="51">
        <f>HYD!AP8</f>
        <v>50.904726708074577</v>
      </c>
      <c r="AG6" s="51">
        <f>HYD!AQ8</f>
        <v>47.6624906832295</v>
      </c>
      <c r="AH6" s="51">
        <f>HYD!AR8</f>
        <v>47.6624906832295</v>
      </c>
      <c r="AI6" s="51">
        <f>HYD!AS8</f>
        <v>47.6624906832295</v>
      </c>
      <c r="AJ6" s="51">
        <f>HYD!AT8</f>
        <v>44.42025465838514</v>
      </c>
      <c r="AK6" s="51">
        <f>HYD!AU8</f>
        <v>44.42025465838514</v>
      </c>
      <c r="AL6" s="51">
        <f>HYD!AV8</f>
        <v>41.178018633540056</v>
      </c>
      <c r="AM6" s="51">
        <f>HYD!AW8</f>
        <v>41.178018633540056</v>
      </c>
      <c r="AN6" s="51">
        <f>HYD!AX8</f>
        <v>37.935782608695689</v>
      </c>
      <c r="AO6" s="51">
        <f>HYD!AY8</f>
        <v>34.693546583850605</v>
      </c>
      <c r="AP6" s="1">
        <v>2.2000000000000028</v>
      </c>
      <c r="AQ6" s="1">
        <v>35.929999999999993</v>
      </c>
      <c r="AR6" s="1">
        <v>21.620088149763312</v>
      </c>
      <c r="AS6" s="1">
        <v>40.249911850236693</v>
      </c>
    </row>
    <row r="7" spans="1:45" x14ac:dyDescent="0.25">
      <c r="A7" s="35">
        <v>5</v>
      </c>
      <c r="B7" s="35" t="str">
        <f t="shared" si="0"/>
        <v>RBH-8</v>
      </c>
      <c r="C7" s="27">
        <f>GSD!F9</f>
        <v>7.5</v>
      </c>
      <c r="D7" s="23">
        <v>4.75</v>
      </c>
      <c r="E7" s="23">
        <v>2</v>
      </c>
      <c r="F7" s="23">
        <v>0.42499999999999999</v>
      </c>
      <c r="G7" s="23">
        <v>0.21199999999999999</v>
      </c>
      <c r="H7" s="23">
        <v>0.15</v>
      </c>
      <c r="I7" s="23">
        <v>7.4999999999999997E-2</v>
      </c>
      <c r="J7" s="24">
        <f>HYD!Z9</f>
        <v>6.2969630908077071E-2</v>
      </c>
      <c r="K7" s="24">
        <f>HYD!AA9</f>
        <v>4.4526253023915309E-2</v>
      </c>
      <c r="L7" s="24">
        <f>HYD!AB9</f>
        <v>3.1484815454038535E-2</v>
      </c>
      <c r="M7" s="24">
        <f>HYD!AC9</f>
        <v>2.2263126511957654E-2</v>
      </c>
      <c r="N7" s="24">
        <f>HYD!AD9</f>
        <v>1.6678602050714444E-2</v>
      </c>
      <c r="O7" s="24">
        <f>HYD!AE9</f>
        <v>1.2180328761104298E-2</v>
      </c>
      <c r="P7" s="24">
        <f>HYD!AF9</f>
        <v>8.6127930640583876E-3</v>
      </c>
      <c r="Q7" s="24">
        <f>HYD!AG9</f>
        <v>6.1592522250103945E-3</v>
      </c>
      <c r="R7" s="24">
        <f>HYD!AH9</f>
        <v>4.355249015343181E-3</v>
      </c>
      <c r="S7" s="24">
        <f>HYD!AI9</f>
        <v>3.1137868327988124E-3</v>
      </c>
      <c r="T7" s="24">
        <f>HYD!AJ9</f>
        <v>2.2017797846414226E-3</v>
      </c>
      <c r="U7" s="24">
        <f>HYD!AK9</f>
        <v>1.5737884139393229E-3</v>
      </c>
      <c r="V7" s="24">
        <f>HYD!AL9</f>
        <v>1.298641041928445E-3</v>
      </c>
      <c r="W7" s="1">
        <f>GSD!Q9</f>
        <v>100</v>
      </c>
      <c r="X7" s="1">
        <f>GSD!R9</f>
        <v>98.325000000000003</v>
      </c>
      <c r="Y7" s="1">
        <f>GSD!S9</f>
        <v>88.245000000000005</v>
      </c>
      <c r="Z7" s="1">
        <f>GSD!T9</f>
        <v>73.045000000000002</v>
      </c>
      <c r="AA7" s="1">
        <f>GSD!U9</f>
        <v>64.12</v>
      </c>
      <c r="AB7" s="52">
        <f>GSD!V9</f>
        <v>59.48</v>
      </c>
      <c r="AC7" s="52">
        <f>HYD!AM9</f>
        <v>50.904726708074577</v>
      </c>
      <c r="AD7" s="51">
        <f>HYD!AN9</f>
        <v>50.904726708074577</v>
      </c>
      <c r="AE7" s="51">
        <f>HYD!AO9</f>
        <v>50.904726708074577</v>
      </c>
      <c r="AF7" s="51">
        <f>HYD!AP9</f>
        <v>50.904726708074577</v>
      </c>
      <c r="AG7" s="51">
        <f>HYD!AQ9</f>
        <v>47.6624906832295</v>
      </c>
      <c r="AH7" s="51">
        <f>HYD!AR9</f>
        <v>47.6624906832295</v>
      </c>
      <c r="AI7" s="51">
        <f>HYD!AS9</f>
        <v>47.6624906832295</v>
      </c>
      <c r="AJ7" s="51">
        <f>HYD!AT9</f>
        <v>44.42025465838514</v>
      </c>
      <c r="AK7" s="51">
        <f>HYD!AU9</f>
        <v>44.42025465838514</v>
      </c>
      <c r="AL7" s="51">
        <f>HYD!AV9</f>
        <v>41.178018633540056</v>
      </c>
      <c r="AM7" s="51">
        <f>HYD!AW9</f>
        <v>41.178018633540056</v>
      </c>
      <c r="AN7" s="51">
        <f>HYD!AX9</f>
        <v>37.935782608695689</v>
      </c>
      <c r="AO7" s="51">
        <f>HYD!AY9</f>
        <v>34.693546583850605</v>
      </c>
      <c r="AP7" s="1">
        <v>0</v>
      </c>
      <c r="AQ7" s="1">
        <v>40.520000000000003</v>
      </c>
      <c r="AR7" s="1">
        <v>19.230088149763304</v>
      </c>
      <c r="AS7" s="1">
        <v>40.249911850236693</v>
      </c>
    </row>
    <row r="8" spans="1:45" x14ac:dyDescent="0.25">
      <c r="A8" s="35">
        <v>6</v>
      </c>
      <c r="B8" s="35" t="str">
        <f t="shared" si="0"/>
        <v>RBH-8</v>
      </c>
      <c r="C8" s="27">
        <f>GSD!F10</f>
        <v>9.5</v>
      </c>
      <c r="D8" s="23">
        <v>4.75</v>
      </c>
      <c r="E8" s="23">
        <v>2</v>
      </c>
      <c r="F8" s="23">
        <v>0.42499999999999999</v>
      </c>
      <c r="G8" s="23">
        <v>0.21199999999999999</v>
      </c>
      <c r="H8" s="23">
        <v>0.15</v>
      </c>
      <c r="I8" s="23">
        <v>7.4999999999999997E-2</v>
      </c>
      <c r="J8" s="24">
        <f>HYD!Z10</f>
        <v>6.0746468347527664E-2</v>
      </c>
      <c r="K8" s="24">
        <f>HYD!AA10</f>
        <v>4.2954239701670775E-2</v>
      </c>
      <c r="L8" s="24">
        <f>HYD!AB10</f>
        <v>3.0373234173763832E-2</v>
      </c>
      <c r="M8" s="24">
        <f>HYD!AC10</f>
        <v>2.1477119850835388E-2</v>
      </c>
      <c r="N8" s="24">
        <f>HYD!AD10</f>
        <v>1.6089758776476754E-2</v>
      </c>
      <c r="O8" s="24">
        <f>HYD!AE10</f>
        <v>1.1750298435590721E-2</v>
      </c>
      <c r="P8" s="24">
        <f>HYD!AF10</f>
        <v>8.3087157047718792E-3</v>
      </c>
      <c r="Q8" s="24">
        <f>HYD!AG10</f>
        <v>5.941797894245573E-3</v>
      </c>
      <c r="R8" s="24">
        <f>HYD!AH10</f>
        <v>4.2480905181481827E-3</v>
      </c>
      <c r="S8" s="24">
        <f>HYD!AI10</f>
        <v>3.0038536124768543E-3</v>
      </c>
      <c r="T8" s="24">
        <f>HYD!AJ10</f>
        <v>2.1240452590740914E-3</v>
      </c>
      <c r="U8" s="24">
        <f>HYD!AK10</f>
        <v>1.5182253205935185E-3</v>
      </c>
      <c r="V8" s="24">
        <f>HYD!AL10</f>
        <v>1.2527921128117608E-3</v>
      </c>
      <c r="W8" s="1">
        <f>GSD!Q10</f>
        <v>98.74</v>
      </c>
      <c r="X8" s="1">
        <f>GSD!R10</f>
        <v>96.88</v>
      </c>
      <c r="Y8" s="1">
        <f>GSD!S10</f>
        <v>90.48</v>
      </c>
      <c r="Z8" s="1">
        <f>GSD!T10</f>
        <v>82.2</v>
      </c>
      <c r="AA8" s="1">
        <f>GSD!U10</f>
        <v>76.47</v>
      </c>
      <c r="AB8" s="52">
        <f>GSD!V10</f>
        <v>69.98</v>
      </c>
      <c r="AC8" s="52">
        <f>HYD!AM10</f>
        <v>49.551867052023162</v>
      </c>
      <c r="AD8" s="51">
        <f>HYD!AN10</f>
        <v>49.551867052023162</v>
      </c>
      <c r="AE8" s="51">
        <f>HYD!AO10</f>
        <v>49.551867052023162</v>
      </c>
      <c r="AF8" s="51">
        <f>HYD!AP10</f>
        <v>49.551867052023162</v>
      </c>
      <c r="AG8" s="51">
        <f>HYD!AQ10</f>
        <v>46.395797687860963</v>
      </c>
      <c r="AH8" s="51">
        <f>HYD!AR10</f>
        <v>46.395797687860963</v>
      </c>
      <c r="AI8" s="51">
        <f>HYD!AS10</f>
        <v>46.395797687860963</v>
      </c>
      <c r="AJ8" s="51">
        <f>HYD!AT10</f>
        <v>43.239728323699467</v>
      </c>
      <c r="AK8" s="51">
        <f>HYD!AU10</f>
        <v>40.08365895953726</v>
      </c>
      <c r="AL8" s="51">
        <f>HYD!AV10</f>
        <v>40.08365895953726</v>
      </c>
      <c r="AM8" s="51">
        <f>HYD!AW10</f>
        <v>40.08365895953726</v>
      </c>
      <c r="AN8" s="51">
        <f>HYD!AX10</f>
        <v>36.927589595375757</v>
      </c>
      <c r="AO8" s="51">
        <f>HYD!AY10</f>
        <v>33.771520231213557</v>
      </c>
      <c r="AP8" s="1">
        <v>1.2600000000000051</v>
      </c>
      <c r="AQ8" s="1">
        <v>28.759999999999991</v>
      </c>
      <c r="AR8" s="1">
        <v>30.461940620914632</v>
      </c>
      <c r="AS8" s="1">
        <v>39.518059379085372</v>
      </c>
    </row>
    <row r="9" spans="1:45" x14ac:dyDescent="0.25">
      <c r="A9" s="35">
        <v>7</v>
      </c>
      <c r="B9" s="35" t="str">
        <f t="shared" si="0"/>
        <v>RBH-8</v>
      </c>
      <c r="C9" s="27">
        <f>GSD!F11</f>
        <v>10.5</v>
      </c>
      <c r="D9" s="23">
        <v>4.75</v>
      </c>
      <c r="E9" s="23">
        <v>2</v>
      </c>
      <c r="F9" s="23">
        <v>0.42499999999999999</v>
      </c>
      <c r="G9" s="23">
        <v>0.21199999999999999</v>
      </c>
      <c r="H9" s="23">
        <v>0.15</v>
      </c>
      <c r="I9" s="23">
        <v>7.4999999999999997E-2</v>
      </c>
      <c r="J9" s="24">
        <f>HYD!Z11</f>
        <v>6.2774979342180473E-2</v>
      </c>
      <c r="K9" s="24">
        <f>HYD!AA11</f>
        <v>4.438861358170125E-2</v>
      </c>
      <c r="L9" s="24">
        <f>HYD!AB11</f>
        <v>3.1387489671090237E-2</v>
      </c>
      <c r="M9" s="24">
        <f>HYD!AC11</f>
        <v>2.2194306790850625E-2</v>
      </c>
      <c r="N9" s="24">
        <f>HYD!AD11</f>
        <v>1.6627045197683547E-2</v>
      </c>
      <c r="O9" s="24">
        <f>HYD!AE11</f>
        <v>1.2142676959238962E-2</v>
      </c>
      <c r="P9" s="24">
        <f>HYD!AF11</f>
        <v>8.6835721609145131E-3</v>
      </c>
      <c r="Q9" s="24">
        <f>HYD!AG11</f>
        <v>6.1402127599053738E-3</v>
      </c>
      <c r="R9" s="24">
        <f>HYD!AH11</f>
        <v>4.3899472969331612E-3</v>
      </c>
      <c r="S9" s="24">
        <f>HYD!AI11</f>
        <v>3.1041615027129926E-3</v>
      </c>
      <c r="T9" s="24">
        <f>HYD!AJ11</f>
        <v>2.1949736484665806E-3</v>
      </c>
      <c r="U9" s="24">
        <f>HYD!AK11</f>
        <v>1.568923523122186E-3</v>
      </c>
      <c r="V9" s="24">
        <f>HYD!AL11</f>
        <v>1.2946266859809254E-3</v>
      </c>
      <c r="W9" s="1">
        <f>GSD!Q11</f>
        <v>99.3</v>
      </c>
      <c r="X9" s="1">
        <f>GSD!R11</f>
        <v>98.394999999999996</v>
      </c>
      <c r="Y9" s="1">
        <f>GSD!S11</f>
        <v>92.289999999999992</v>
      </c>
      <c r="Z9" s="1">
        <f>GSD!T11</f>
        <v>82.525000000000006</v>
      </c>
      <c r="AA9" s="1">
        <f>GSD!U11</f>
        <v>75.03</v>
      </c>
      <c r="AB9" s="52">
        <f>GSD!V11</f>
        <v>65.584999999999994</v>
      </c>
      <c r="AC9" s="52">
        <f>HYD!AM11</f>
        <v>50.784333333333372</v>
      </c>
      <c r="AD9" s="51">
        <f>HYD!AN11</f>
        <v>50.784333333333372</v>
      </c>
      <c r="AE9" s="51">
        <f>HYD!AO11</f>
        <v>50.784333333333372</v>
      </c>
      <c r="AF9" s="51">
        <f>HYD!AP11</f>
        <v>50.784333333333372</v>
      </c>
      <c r="AG9" s="51">
        <f>HYD!AQ11</f>
        <v>47.549765432098454</v>
      </c>
      <c r="AH9" s="51">
        <f>HYD!AR11</f>
        <v>47.549765432098454</v>
      </c>
      <c r="AI9" s="51">
        <f>HYD!AS11</f>
        <v>44.315197530864239</v>
      </c>
      <c r="AJ9" s="51">
        <f>HYD!AT11</f>
        <v>44.315197530864239</v>
      </c>
      <c r="AK9" s="51">
        <f>HYD!AU11</f>
        <v>41.080629629629307</v>
      </c>
      <c r="AL9" s="51">
        <f>HYD!AV11</f>
        <v>41.080629629629307</v>
      </c>
      <c r="AM9" s="51">
        <f>HYD!AW11</f>
        <v>41.080629629629307</v>
      </c>
      <c r="AN9" s="51">
        <f>HYD!AX11</f>
        <v>37.8460617283951</v>
      </c>
      <c r="AO9" s="51">
        <f>HYD!AY11</f>
        <v>34.611493827160167</v>
      </c>
      <c r="AP9" s="36">
        <v>0.70000000000000284</v>
      </c>
      <c r="AQ9" s="36">
        <v>33.715000000000003</v>
      </c>
      <c r="AR9" s="36">
        <v>25.400458524407313</v>
      </c>
      <c r="AS9" s="36">
        <v>40.184541475592681</v>
      </c>
    </row>
    <row r="10" spans="1:45" x14ac:dyDescent="0.25">
      <c r="A10" s="35">
        <v>8</v>
      </c>
      <c r="B10" s="35" t="str">
        <f t="shared" si="0"/>
        <v>RBH-8</v>
      </c>
      <c r="C10" s="27">
        <f>GSD!F12</f>
        <v>12.5</v>
      </c>
      <c r="D10" s="23">
        <v>4.75</v>
      </c>
      <c r="E10" s="23">
        <v>2</v>
      </c>
      <c r="F10" s="23">
        <v>0.42499999999999999</v>
      </c>
      <c r="G10" s="23">
        <v>0.21199999999999999</v>
      </c>
      <c r="H10" s="23">
        <v>0.15</v>
      </c>
      <c r="I10" s="23">
        <v>7.4999999999999997E-2</v>
      </c>
      <c r="J10" s="24">
        <f>HYD!Z12</f>
        <v>6.1280122537151524E-2</v>
      </c>
      <c r="K10" s="24">
        <f>HYD!AA12</f>
        <v>4.3331590197962427E-2</v>
      </c>
      <c r="L10" s="24">
        <f>HYD!AB12</f>
        <v>3.0640061268575762E-2</v>
      </c>
      <c r="M10" s="24">
        <f>HYD!AC12</f>
        <v>2.1665795098981214E-2</v>
      </c>
      <c r="N10" s="24">
        <f>HYD!AD12</f>
        <v>1.6231106371072408E-2</v>
      </c>
      <c r="O10" s="24">
        <f>HYD!AE12</f>
        <v>1.1853524123602901E-2</v>
      </c>
      <c r="P10" s="24">
        <f>HYD!AF12</f>
        <v>8.4767907796583532E-3</v>
      </c>
      <c r="Q10" s="24">
        <f>HYD!AG12</f>
        <v>5.9939962429960223E-3</v>
      </c>
      <c r="R10" s="24">
        <f>HYD!AH12</f>
        <v>4.2854097461556724E-3</v>
      </c>
      <c r="S10" s="24">
        <f>HYD!AI12</f>
        <v>3.0302422916695976E-3</v>
      </c>
      <c r="T10" s="24">
        <f>HYD!AJ12</f>
        <v>2.1659569423448121E-3</v>
      </c>
      <c r="U10" s="24">
        <f>HYD!AK12</f>
        <v>1.5315628416900967E-3</v>
      </c>
      <c r="V10" s="24">
        <f>HYD!AL12</f>
        <v>1.2769416695177155E-3</v>
      </c>
      <c r="W10" s="1">
        <f>GSD!Q12</f>
        <v>97.6</v>
      </c>
      <c r="X10" s="1">
        <f>GSD!R12</f>
        <v>95.22</v>
      </c>
      <c r="Y10" s="1">
        <f>GSD!S12</f>
        <v>88.710000000000008</v>
      </c>
      <c r="Z10" s="1">
        <f>GSD!T12</f>
        <v>78.760000000000005</v>
      </c>
      <c r="AA10" s="1">
        <f>GSD!U12</f>
        <v>70.87</v>
      </c>
      <c r="AB10" s="52">
        <f>GSD!V12</f>
        <v>65.819999999999993</v>
      </c>
      <c r="AC10" s="52">
        <f>HYD!AM12</f>
        <v>49.872176470588272</v>
      </c>
      <c r="AD10" s="51">
        <f>HYD!AN12</f>
        <v>49.872176470588272</v>
      </c>
      <c r="AE10" s="51">
        <f>HYD!AO12</f>
        <v>49.872176470588272</v>
      </c>
      <c r="AF10" s="51">
        <f>HYD!AP12</f>
        <v>49.872176470588272</v>
      </c>
      <c r="AG10" s="51">
        <f>HYD!AQ12</f>
        <v>46.695705882352634</v>
      </c>
      <c r="AH10" s="51">
        <f>HYD!AR12</f>
        <v>46.695705882352634</v>
      </c>
      <c r="AI10" s="51">
        <f>HYD!AS12</f>
        <v>43.519235294117685</v>
      </c>
      <c r="AJ10" s="51">
        <f>HYD!AT12</f>
        <v>43.519235294117685</v>
      </c>
      <c r="AK10" s="51">
        <f>HYD!AU12</f>
        <v>40.34276470588204</v>
      </c>
      <c r="AL10" s="51">
        <f>HYD!AV12</f>
        <v>40.34276470588204</v>
      </c>
      <c r="AM10" s="51">
        <f>HYD!AW12</f>
        <v>37.166294117647091</v>
      </c>
      <c r="AN10" s="51">
        <f>HYD!AX12</f>
        <v>37.166294117647091</v>
      </c>
      <c r="AO10" s="51">
        <f>HYD!AY12</f>
        <v>30.8133529411765</v>
      </c>
      <c r="AP10" s="36">
        <v>2.4000000000000057</v>
      </c>
      <c r="AQ10" s="36">
        <v>31.78</v>
      </c>
      <c r="AR10" s="36">
        <v>28.653705882352902</v>
      </c>
      <c r="AS10" s="36">
        <v>37.166294117647091</v>
      </c>
    </row>
    <row r="11" spans="1:45" x14ac:dyDescent="0.25">
      <c r="A11" s="35">
        <v>9</v>
      </c>
      <c r="B11" s="35" t="str">
        <f t="shared" si="0"/>
        <v>RBH-8</v>
      </c>
      <c r="C11" s="27">
        <f>GSD!F13</f>
        <v>13.5</v>
      </c>
      <c r="D11" s="23">
        <v>4.75</v>
      </c>
      <c r="E11" s="23">
        <v>2</v>
      </c>
      <c r="F11" s="23">
        <v>0.42499999999999999</v>
      </c>
      <c r="G11" s="23">
        <v>0.21199999999999999</v>
      </c>
      <c r="H11" s="23">
        <v>0.15</v>
      </c>
      <c r="I11" s="23">
        <v>7.4999999999999997E-2</v>
      </c>
      <c r="J11" s="24">
        <f>HYD!Z13</f>
        <v>6.2774979342180473E-2</v>
      </c>
      <c r="K11" s="24">
        <f>HYD!AA13</f>
        <v>4.438861358170125E-2</v>
      </c>
      <c r="L11" s="24">
        <f>HYD!AB13</f>
        <v>3.1387489671090237E-2</v>
      </c>
      <c r="M11" s="24">
        <f>HYD!AC13</f>
        <v>2.2194306790850625E-2</v>
      </c>
      <c r="N11" s="24">
        <f>HYD!AD13</f>
        <v>1.6815665182406132E-2</v>
      </c>
      <c r="O11" s="24">
        <f>HYD!AE13</f>
        <v>1.2280425519810748E-2</v>
      </c>
      <c r="P11" s="24">
        <f>HYD!AF13</f>
        <v>8.6835721609145131E-3</v>
      </c>
      <c r="Q11" s="24">
        <f>HYD!AG13</f>
        <v>6.1402127599053738E-3</v>
      </c>
      <c r="R11" s="24">
        <f>HYD!AH13</f>
        <v>4.3899472969331612E-3</v>
      </c>
      <c r="S11" s="24">
        <f>HYD!AI13</f>
        <v>3.1378470462443721E-3</v>
      </c>
      <c r="T11" s="24">
        <f>HYD!AJ13</f>
        <v>2.2187929247255737E-3</v>
      </c>
      <c r="U11" s="24">
        <f>HYD!AK13</f>
        <v>1.568923523122186E-3</v>
      </c>
      <c r="V11" s="24">
        <f>HYD!AL13</f>
        <v>1.2946266859809254E-3</v>
      </c>
      <c r="W11" s="1">
        <f>GSD!Q13</f>
        <v>98.85</v>
      </c>
      <c r="X11" s="1">
        <f>GSD!R13</f>
        <v>97.094999999999999</v>
      </c>
      <c r="Y11" s="1">
        <f>GSD!S13</f>
        <v>90.32</v>
      </c>
      <c r="Z11" s="1">
        <f>GSD!T13</f>
        <v>83.26</v>
      </c>
      <c r="AA11" s="1">
        <f>GSD!U13</f>
        <v>78.545000000000002</v>
      </c>
      <c r="AB11" s="52">
        <f>GSD!V13</f>
        <v>66.710000000000008</v>
      </c>
      <c r="AC11" s="52">
        <f>HYD!AM13</f>
        <v>50.784333333333372</v>
      </c>
      <c r="AD11" s="51">
        <f>HYD!AN13</f>
        <v>50.784333333333372</v>
      </c>
      <c r="AE11" s="51">
        <f>HYD!AO13</f>
        <v>50.784333333333372</v>
      </c>
      <c r="AF11" s="51">
        <f>HYD!AP13</f>
        <v>50.784333333333372</v>
      </c>
      <c r="AG11" s="51">
        <f>HYD!AQ13</f>
        <v>44.315197530864239</v>
      </c>
      <c r="AH11" s="51">
        <f>HYD!AR13</f>
        <v>44.315197530864239</v>
      </c>
      <c r="AI11" s="51">
        <f>HYD!AS13</f>
        <v>44.315197530864239</v>
      </c>
      <c r="AJ11" s="51">
        <f>HYD!AT13</f>
        <v>44.315197530864239</v>
      </c>
      <c r="AK11" s="51">
        <f>HYD!AU13</f>
        <v>41.080629629629307</v>
      </c>
      <c r="AL11" s="51">
        <f>HYD!AV13</f>
        <v>37.8460617283951</v>
      </c>
      <c r="AM11" s="51">
        <f>HYD!AW13</f>
        <v>37.8460617283951</v>
      </c>
      <c r="AN11" s="51">
        <f>HYD!AX13</f>
        <v>37.8460617283951</v>
      </c>
      <c r="AO11" s="51">
        <f>HYD!AY13</f>
        <v>34.611493827160167</v>
      </c>
      <c r="AP11" s="36">
        <v>1.1500000000000057</v>
      </c>
      <c r="AQ11" s="36">
        <v>32.139999999999986</v>
      </c>
      <c r="AR11" s="36">
        <v>28.863938271604908</v>
      </c>
      <c r="AS11" s="36">
        <v>37.8460617283951</v>
      </c>
    </row>
    <row r="12" spans="1:45" x14ac:dyDescent="0.25">
      <c r="A12" s="35">
        <v>10</v>
      </c>
      <c r="B12" s="35" t="str">
        <f t="shared" si="0"/>
        <v>RBH-8</v>
      </c>
      <c r="C12" s="27">
        <f>GSD!F14</f>
        <v>15.5</v>
      </c>
      <c r="D12" s="23">
        <v>4.75</v>
      </c>
      <c r="E12" s="23">
        <v>2</v>
      </c>
      <c r="F12" s="23">
        <v>0.42499999999999999</v>
      </c>
      <c r="G12" s="23">
        <v>0.21199999999999999</v>
      </c>
      <c r="H12" s="23">
        <v>0.15</v>
      </c>
      <c r="I12" s="23">
        <v>7.4999999999999997E-2</v>
      </c>
      <c r="J12" s="24">
        <f>HYD!Z14</f>
        <v>6.2201679851066879E-2</v>
      </c>
      <c r="K12" s="24">
        <f>HYD!AA14</f>
        <v>4.3983229623884026E-2</v>
      </c>
      <c r="L12" s="24">
        <f>HYD!AB14</f>
        <v>3.110083992553344E-2</v>
      </c>
      <c r="M12" s="24">
        <f>HYD!AC14</f>
        <v>2.2271454119278045E-2</v>
      </c>
      <c r="N12" s="24">
        <f>HYD!AD14</f>
        <v>1.6662094247093494E-2</v>
      </c>
      <c r="O12" s="24">
        <f>HYD!AE14</f>
        <v>1.2168273165880218E-2</v>
      </c>
      <c r="P12" s="24">
        <f>HYD!AF14</f>
        <v>8.6042684709242007E-3</v>
      </c>
      <c r="Q12" s="24">
        <f>HYD!AG14</f>
        <v>6.1516248040569569E-3</v>
      </c>
      <c r="R12" s="24">
        <f>HYD!AH14</f>
        <v>4.3498556142640412E-3</v>
      </c>
      <c r="S12" s="24">
        <f>HYD!AI14</f>
        <v>3.1091903085814503E-3</v>
      </c>
      <c r="T12" s="24">
        <f>HYD!AJ14</f>
        <v>2.1985295511974378E-3</v>
      </c>
      <c r="U12" s="24">
        <f>HYD!AK14</f>
        <v>1.5545951542907251E-3</v>
      </c>
      <c r="V12" s="24">
        <f>HYD!AL14</f>
        <v>1.2961448774465819E-3</v>
      </c>
      <c r="W12" s="1">
        <f>GSD!Q14</f>
        <v>98.56</v>
      </c>
      <c r="X12" s="1">
        <f>GSD!R14</f>
        <v>96.3</v>
      </c>
      <c r="Y12" s="1">
        <f>GSD!S14</f>
        <v>89.92</v>
      </c>
      <c r="Z12" s="1">
        <f>GSD!T14</f>
        <v>82.59</v>
      </c>
      <c r="AA12" s="1">
        <f>GSD!U14</f>
        <v>77.89</v>
      </c>
      <c r="AB12" s="52">
        <f>GSD!V14</f>
        <v>70.760000000000005</v>
      </c>
      <c r="AC12" s="52">
        <f>HYD!AM14</f>
        <v>50.431909090909137</v>
      </c>
      <c r="AD12" s="51">
        <f>HYD!AN14</f>
        <v>50.431909090909137</v>
      </c>
      <c r="AE12" s="51">
        <f>HYD!AO14</f>
        <v>50.431909090909137</v>
      </c>
      <c r="AF12" s="51">
        <f>HYD!AP14</f>
        <v>47.219787878787571</v>
      </c>
      <c r="AG12" s="51">
        <f>HYD!AQ14</f>
        <v>44.007666666666708</v>
      </c>
      <c r="AH12" s="51">
        <f>HYD!AR14</f>
        <v>44.007666666666708</v>
      </c>
      <c r="AI12" s="51">
        <f>HYD!AS14</f>
        <v>44.007666666666708</v>
      </c>
      <c r="AJ12" s="51">
        <f>HYD!AT14</f>
        <v>40.795545454545135</v>
      </c>
      <c r="AK12" s="51">
        <f>HYD!AU14</f>
        <v>40.795545454545135</v>
      </c>
      <c r="AL12" s="51">
        <f>HYD!AV14</f>
        <v>37.583424242424279</v>
      </c>
      <c r="AM12" s="51">
        <f>HYD!AW14</f>
        <v>37.583424242424279</v>
      </c>
      <c r="AN12" s="51">
        <f>HYD!AX14</f>
        <v>37.583424242424279</v>
      </c>
      <c r="AO12" s="51">
        <f>HYD!AY14</f>
        <v>31.15918181818185</v>
      </c>
      <c r="AP12" s="36">
        <v>1.4399999999999977</v>
      </c>
      <c r="AQ12" s="36">
        <v>27.799999999999997</v>
      </c>
      <c r="AR12" s="36">
        <v>33.176575757575726</v>
      </c>
      <c r="AS12" s="36">
        <v>37.583424242424279</v>
      </c>
    </row>
    <row r="13" spans="1:45" x14ac:dyDescent="0.25">
      <c r="A13" s="35">
        <v>11</v>
      </c>
      <c r="B13" s="35" t="str">
        <f t="shared" si="0"/>
        <v>RBH-8</v>
      </c>
      <c r="C13" s="27">
        <f>GSD!F15</f>
        <v>16.5</v>
      </c>
      <c r="D13" s="23">
        <v>4.75</v>
      </c>
      <c r="E13" s="23">
        <v>2</v>
      </c>
      <c r="F13" s="23">
        <v>0.42499999999999999</v>
      </c>
      <c r="G13" s="23">
        <v>0.21199999999999999</v>
      </c>
      <c r="H13" s="23">
        <v>0.15</v>
      </c>
      <c r="I13" s="23">
        <v>7.4999999999999997E-2</v>
      </c>
      <c r="J13" s="24">
        <f>HYD!Z15</f>
        <v>6.7343963835964332E-2</v>
      </c>
      <c r="K13" s="24">
        <f>HYD!AA15</f>
        <v>4.7619373500391998E-2</v>
      </c>
      <c r="L13" s="24">
        <f>HYD!AB15</f>
        <v>3.4035661061375989E-2</v>
      </c>
      <c r="M13" s="24">
        <f>HYD!AC15</f>
        <v>2.4066846738665888E-2</v>
      </c>
      <c r="N13" s="24">
        <f>HYD!AD15</f>
        <v>1.7688661029666777E-2</v>
      </c>
      <c r="O13" s="24">
        <f>HYD!AE15</f>
        <v>1.3044430605637857E-2</v>
      </c>
      <c r="P13" s="24">
        <f>HYD!AF15</f>
        <v>9.223805337963872E-3</v>
      </c>
      <c r="Q13" s="24">
        <f>HYD!AG15</f>
        <v>6.5848377132361443E-3</v>
      </c>
      <c r="R13" s="24">
        <f>HYD!AH15</f>
        <v>4.6561834000421959E-3</v>
      </c>
      <c r="S13" s="24">
        <f>HYD!AI15</f>
        <v>3.3234350814702546E-3</v>
      </c>
      <c r="T13" s="24">
        <f>HYD!AJ15</f>
        <v>2.3717524695971229E-3</v>
      </c>
      <c r="U13" s="24">
        <f>HYD!AK15</f>
        <v>1.6770822545480665E-3</v>
      </c>
      <c r="V13" s="24">
        <f>HYD!AL15</f>
        <v>1.3693319267730586E-3</v>
      </c>
      <c r="W13" s="1">
        <f>GSD!Q15</f>
        <v>99.86</v>
      </c>
      <c r="X13" s="1">
        <f>GSD!R15</f>
        <v>99.49</v>
      </c>
      <c r="Y13" s="1">
        <f>GSD!S15</f>
        <v>97.5</v>
      </c>
      <c r="Z13" s="1">
        <f>GSD!T15</f>
        <v>66.25</v>
      </c>
      <c r="AA13" s="1">
        <f>GSD!U15</f>
        <v>52.239999999999995</v>
      </c>
      <c r="AB13" s="52">
        <f>GSD!V15</f>
        <v>40.835000000000001</v>
      </c>
      <c r="AC13" s="52">
        <f>HYD!AM15</f>
        <v>27.883530120481598</v>
      </c>
      <c r="AD13" s="51">
        <f>HYD!AN15</f>
        <v>27.883530120481598</v>
      </c>
      <c r="AE13" s="51">
        <f>HYD!AO15</f>
        <v>24.678710843373519</v>
      </c>
      <c r="AF13" s="51">
        <f>HYD!AP15</f>
        <v>24.678710843373519</v>
      </c>
      <c r="AG13" s="51">
        <f>HYD!AQ15</f>
        <v>24.678710843373519</v>
      </c>
      <c r="AH13" s="51">
        <f>HYD!AR15</f>
        <v>21.473891566264722</v>
      </c>
      <c r="AI13" s="51">
        <f>HYD!AS15</f>
        <v>21.473891566264722</v>
      </c>
      <c r="AJ13" s="51">
        <f>HYD!AT15</f>
        <v>18.269072289156643</v>
      </c>
      <c r="AK13" s="51">
        <f>HYD!AU15</f>
        <v>18.269072289156643</v>
      </c>
      <c r="AL13" s="51">
        <f>HYD!AV15</f>
        <v>15.06425301204785</v>
      </c>
      <c r="AM13" s="51">
        <f>HYD!AW15</f>
        <v>11.859433734939769</v>
      </c>
      <c r="AN13" s="51">
        <f>HYD!AX15</f>
        <v>11.859433734939769</v>
      </c>
      <c r="AO13" s="51">
        <f>HYD!AY15</f>
        <v>11.859433734939769</v>
      </c>
      <c r="AP13" s="36">
        <v>0.14000000000000057</v>
      </c>
      <c r="AQ13" s="36">
        <v>59.024999999999999</v>
      </c>
      <c r="AR13" s="36">
        <v>28.97556626506023</v>
      </c>
      <c r="AS13" s="36">
        <v>11.859433734939769</v>
      </c>
    </row>
    <row r="14" spans="1:45" x14ac:dyDescent="0.25">
      <c r="A14" s="35">
        <v>12</v>
      </c>
      <c r="B14" s="35" t="str">
        <f t="shared" si="0"/>
        <v>RBH-8</v>
      </c>
      <c r="C14" s="27">
        <f>GSD!F16</f>
        <v>18.5</v>
      </c>
      <c r="D14" s="23">
        <v>4.75</v>
      </c>
      <c r="E14" s="23">
        <v>2</v>
      </c>
      <c r="F14" s="23">
        <v>0.42499999999999999</v>
      </c>
      <c r="G14" s="23">
        <v>0.21199999999999999</v>
      </c>
      <c r="H14" s="23">
        <v>0.15</v>
      </c>
      <c r="I14" s="23">
        <v>7.4999999999999997E-2</v>
      </c>
      <c r="J14" s="24">
        <f>HYD!Z16</f>
        <v>6.2014042380262847E-2</v>
      </c>
      <c r="K14" s="24">
        <f>HYD!AA16</f>
        <v>4.3850549895873808E-2</v>
      </c>
      <c r="L14" s="24">
        <f>HYD!AB16</f>
        <v>3.1007021190131424E-2</v>
      </c>
      <c r="M14" s="24">
        <f>HYD!AC16</f>
        <v>2.2204270092543155E-2</v>
      </c>
      <c r="N14" s="24">
        <f>HYD!AD16</f>
        <v>1.6611831404830892E-2</v>
      </c>
      <c r="O14" s="24">
        <f>HYD!AE16</f>
        <v>1.2131566375864817E-2</v>
      </c>
      <c r="P14" s="24">
        <f>HYD!AF16</f>
        <v>8.6734676959489779E-3</v>
      </c>
      <c r="Q14" s="24">
        <f>HYD!AG16</f>
        <v>6.133067824207983E-3</v>
      </c>
      <c r="R14" s="24">
        <f>HYD!AH16</f>
        <v>4.3837949421515398E-3</v>
      </c>
      <c r="S14" s="24">
        <f>HYD!AI16</f>
        <v>3.0998111309266424E-3</v>
      </c>
      <c r="T14" s="24">
        <f>HYD!AJ16</f>
        <v>2.2151780809620768E-3</v>
      </c>
      <c r="U14" s="24">
        <f>HYD!AK16</f>
        <v>1.5663674425840874E-3</v>
      </c>
      <c r="V14" s="24">
        <f>HYD!AL16</f>
        <v>1.2922349292396847E-3</v>
      </c>
      <c r="W14" s="1">
        <f>GSD!Q16</f>
        <v>99.46</v>
      </c>
      <c r="X14" s="1">
        <f>GSD!R16</f>
        <v>97.97</v>
      </c>
      <c r="Y14" s="1">
        <f>GSD!S16</f>
        <v>94.23</v>
      </c>
      <c r="Z14" s="1">
        <f>GSD!T16</f>
        <v>88.43</v>
      </c>
      <c r="AA14" s="1">
        <f>GSD!U16</f>
        <v>83.05</v>
      </c>
      <c r="AB14" s="52">
        <f>GSD!V16</f>
        <v>76.430000000000007</v>
      </c>
      <c r="AC14" s="52">
        <f>HYD!AM16</f>
        <v>50.317265060241006</v>
      </c>
      <c r="AD14" s="51">
        <f>HYD!AN16</f>
        <v>50.317265060241006</v>
      </c>
      <c r="AE14" s="51">
        <f>HYD!AO16</f>
        <v>50.317265060241006</v>
      </c>
      <c r="AF14" s="51">
        <f>HYD!AP16</f>
        <v>47.112445783132216</v>
      </c>
      <c r="AG14" s="51">
        <f>HYD!AQ16</f>
        <v>43.907626506024137</v>
      </c>
      <c r="AH14" s="51">
        <f>HYD!AR16</f>
        <v>43.907626506024137</v>
      </c>
      <c r="AI14" s="51">
        <f>HYD!AS16</f>
        <v>40.702807228915347</v>
      </c>
      <c r="AJ14" s="51">
        <f>HYD!AT16</f>
        <v>40.702807228915347</v>
      </c>
      <c r="AK14" s="51">
        <f>HYD!AU16</f>
        <v>37.497987951807261</v>
      </c>
      <c r="AL14" s="51">
        <f>HYD!AV16</f>
        <v>37.497987951807261</v>
      </c>
      <c r="AM14" s="51">
        <f>HYD!AW16</f>
        <v>34.293168674698471</v>
      </c>
      <c r="AN14" s="51">
        <f>HYD!AX16</f>
        <v>34.293168674698471</v>
      </c>
      <c r="AO14" s="51">
        <f>HYD!AY16</f>
        <v>31.088349397590392</v>
      </c>
      <c r="AP14" s="36">
        <v>0.54000000000000625</v>
      </c>
      <c r="AQ14" s="36">
        <v>23.029999999999987</v>
      </c>
      <c r="AR14" s="36">
        <v>42.136831325301536</v>
      </c>
      <c r="AS14" s="36">
        <v>34.293168674698471</v>
      </c>
    </row>
    <row r="15" spans="1:45" x14ac:dyDescent="0.25">
      <c r="A15" s="35">
        <v>13</v>
      </c>
      <c r="B15" s="35" t="str">
        <f t="shared" si="0"/>
        <v>RBH-8</v>
      </c>
      <c r="C15" s="27">
        <f>GSD!F17</f>
        <v>19.5</v>
      </c>
      <c r="D15" s="23">
        <v>4.75</v>
      </c>
      <c r="E15" s="23">
        <v>2</v>
      </c>
      <c r="F15" s="23">
        <v>0.42499999999999999</v>
      </c>
      <c r="G15" s="23">
        <v>0.21199999999999999</v>
      </c>
      <c r="H15" s="23">
        <v>0.15</v>
      </c>
      <c r="I15" s="23">
        <v>7.4999999999999997E-2</v>
      </c>
      <c r="J15" s="24">
        <f>HYD!Z17</f>
        <v>6.0922800992302913E-2</v>
      </c>
      <c r="K15" s="24">
        <f>HYD!AA17</f>
        <v>4.3078925710535919E-2</v>
      </c>
      <c r="L15" s="24">
        <f>HYD!AB17</f>
        <v>3.0461400496151456E-2</v>
      </c>
      <c r="M15" s="24">
        <f>HYD!AC17</f>
        <v>2.1813548611014064E-2</v>
      </c>
      <c r="N15" s="24">
        <f>HYD!AD17</f>
        <v>1.6319518288914207E-2</v>
      </c>
      <c r="O15" s="24">
        <f>HYD!AE17</f>
        <v>1.1918091059275228E-2</v>
      </c>
      <c r="P15" s="24">
        <f>HYD!AF17</f>
        <v>8.5208434424143397E-3</v>
      </c>
      <c r="Q15" s="24">
        <f>HYD!AG17</f>
        <v>6.025146179560105E-3</v>
      </c>
      <c r="R15" s="24">
        <f>HYD!AH17</f>
        <v>4.3066546962718787E-3</v>
      </c>
      <c r="S15" s="24">
        <f>HYD!AI17</f>
        <v>3.0452647399627367E-3</v>
      </c>
      <c r="T15" s="24">
        <f>HYD!AJ17</f>
        <v>2.1761982965315613E-3</v>
      </c>
      <c r="U15" s="24">
        <f>HYD!AK17</f>
        <v>1.5388045726840802E-3</v>
      </c>
      <c r="V15" s="24">
        <f>HYD!AL17</f>
        <v>1.2694958820234591E-3</v>
      </c>
      <c r="W15" s="1">
        <f>GSD!Q17</f>
        <v>98.8</v>
      </c>
      <c r="X15" s="1">
        <f>GSD!R17</f>
        <v>97.28</v>
      </c>
      <c r="Y15" s="1">
        <f>GSD!S17</f>
        <v>93.01</v>
      </c>
      <c r="Z15" s="1">
        <f>GSD!T17</f>
        <v>84.89</v>
      </c>
      <c r="AA15" s="1">
        <f>GSD!U17</f>
        <v>77.91</v>
      </c>
      <c r="AB15" s="52">
        <f>GSD!V17</f>
        <v>68.25</v>
      </c>
      <c r="AC15" s="52">
        <f>HYD!AM17</f>
        <v>49.657395348837248</v>
      </c>
      <c r="AD15" s="51">
        <f>HYD!AN17</f>
        <v>49.657395348837248</v>
      </c>
      <c r="AE15" s="51">
        <f>HYD!AO17</f>
        <v>49.657395348837248</v>
      </c>
      <c r="AF15" s="51">
        <f>HYD!AP17</f>
        <v>46.494604651162483</v>
      </c>
      <c r="AG15" s="51">
        <f>HYD!AQ17</f>
        <v>43.331813953488414</v>
      </c>
      <c r="AH15" s="51">
        <f>HYD!AR17</f>
        <v>43.331813953488414</v>
      </c>
      <c r="AI15" s="51">
        <f>HYD!AS17</f>
        <v>40.169023255813642</v>
      </c>
      <c r="AJ15" s="51">
        <f>HYD!AT17</f>
        <v>40.169023255813642</v>
      </c>
      <c r="AK15" s="51">
        <f>HYD!AU17</f>
        <v>37.006232558139565</v>
      </c>
      <c r="AL15" s="51">
        <f>HYD!AV17</f>
        <v>37.006232558139565</v>
      </c>
      <c r="AM15" s="51">
        <f>HYD!AW17</f>
        <v>33.843441860464793</v>
      </c>
      <c r="AN15" s="51">
        <f>HYD!AX17</f>
        <v>33.843441860464793</v>
      </c>
      <c r="AO15" s="51">
        <f>HYD!AY17</f>
        <v>30.680651162790728</v>
      </c>
      <c r="AP15" s="36">
        <v>1.2000000000000028</v>
      </c>
      <c r="AQ15" s="36">
        <v>30.549999999999997</v>
      </c>
      <c r="AR15" s="36">
        <v>34.406558139535207</v>
      </c>
      <c r="AS15" s="36">
        <v>33.843441860464793</v>
      </c>
    </row>
    <row r="16" spans="1:45" x14ac:dyDescent="0.25">
      <c r="AB16" s="1"/>
      <c r="AC16" s="36"/>
    </row>
    <row r="17" spans="28:29" x14ac:dyDescent="0.25">
      <c r="AB17" s="1"/>
      <c r="AC17" s="36"/>
    </row>
    <row r="18" spans="28:29" x14ac:dyDescent="0.25">
      <c r="AB18" s="1"/>
      <c r="AC18" s="36"/>
    </row>
    <row r="19" spans="28:29" x14ac:dyDescent="0.25">
      <c r="AB19" s="1"/>
      <c r="AC19" s="36"/>
    </row>
    <row r="20" spans="28:29" x14ac:dyDescent="0.25">
      <c r="AB20" s="1"/>
      <c r="AC20" s="36"/>
    </row>
    <row r="21" spans="28:29" x14ac:dyDescent="0.25">
      <c r="AB21" s="1"/>
      <c r="AC21" s="36"/>
    </row>
    <row r="22" spans="28:29" x14ac:dyDescent="0.25">
      <c r="AB22" s="1"/>
      <c r="AC22" s="36"/>
    </row>
    <row r="23" spans="28:29" x14ac:dyDescent="0.25">
      <c r="AB23" s="1"/>
      <c r="AC23" s="36"/>
    </row>
    <row r="24" spans="28:29" x14ac:dyDescent="0.25">
      <c r="AB24" s="1"/>
      <c r="AC24" s="36"/>
    </row>
    <row r="25" spans="28:29" x14ac:dyDescent="0.25">
      <c r="AB25" s="1"/>
      <c r="AC25" s="36"/>
    </row>
    <row r="26" spans="28:29" x14ac:dyDescent="0.25">
      <c r="AB26" s="1"/>
      <c r="AC26" s="36"/>
    </row>
    <row r="27" spans="28:29" x14ac:dyDescent="0.25">
      <c r="AB27" s="1"/>
      <c r="AC27" s="36"/>
    </row>
    <row r="28" spans="28:29" x14ac:dyDescent="0.25">
      <c r="AB28" s="1"/>
      <c r="AC28" s="36"/>
    </row>
    <row r="29" spans="28:29" x14ac:dyDescent="0.25">
      <c r="AB29" s="1"/>
      <c r="AC29" s="36"/>
    </row>
    <row r="30" spans="28:29" x14ac:dyDescent="0.25">
      <c r="AB30" s="1"/>
      <c r="AC30" s="36"/>
    </row>
  </sheetData>
  <mergeCells count="4">
    <mergeCell ref="D2:I2"/>
    <mergeCell ref="J2:V2"/>
    <mergeCell ref="W2:AB2"/>
    <mergeCell ref="AC2:AO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2026-08-18T08:04:07Z</dcterms:modified>
</cp:coreProperties>
</file>