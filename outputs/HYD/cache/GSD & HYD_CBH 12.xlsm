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6. Lined Canal _CH_292.171 km (CBH-12)\GSD &amp; HYD_CBH 12\"/>
    </mc:Choice>
  </mc:AlternateContent>
  <xr:revisionPtr revIDLastSave="0" documentId="13_ncr:1_{C1741BEA-1AD4-4928-BD0C-6BD1BC490A2D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<sst xmlns="http://schemas.openxmlformats.org/spreadsheetml/2006/main" count="82" uniqueCount="59">
  <si>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</si>
  <si>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</si>
  <si>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</si>
  <si>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</si>
  <si>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</si>
  <si>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</si>
  <si>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</si>
  <si>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</si>
  <si>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</si>
  <si>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</si>
  <si>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</si>
  <si>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</si>
  <si>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</si>
  <si>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</si>
  <si>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</si>
  <si>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</si>
  <si>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</si>
  <si>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</si>
  <si>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</si>
  <si>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</si>
  <si>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</si>
  <si>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</si>
  <si>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</si>
  <si>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</si>
  <si>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</si>
  <si>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</si>
  <si>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</si>
  <si>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</si>
  <si>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</si>
  <si>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</si>
  <si>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</si>
  <si>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</si>
  <si>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</si>
  <si>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</si>
  <si>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</si>
  <si>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</si>
  <si>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</si>
  <si>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</si>
  <si>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</si>
  <si>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</si>
  <si>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</si>
  <si>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</si>
  <si>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</si>
  <si>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</si>
  <si>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</si>
  <si>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</si>
  <si>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</si>
  <si>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</si>
  <si>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CBH-12</t>
  </si>
  <si>
    <t>A167</t>
  </si>
  <si>
    <t>A171</t>
  </si>
  <si>
    <t>A195</t>
  </si>
  <si>
    <t>A189</t>
  </si>
  <si>
    <t>B201</t>
  </si>
  <si>
    <t>A169</t>
  </si>
  <si>
    <t>A175</t>
  </si>
  <si>
    <t>B205</t>
  </si>
  <si>
    <t>A180</t>
  </si>
  <si>
    <t xml:space="preserve">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</si>
</sst>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1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91.25</c:v>
                </c:pt>
                <c:pt idx="1">
                  <c:v>81.25</c:v>
                </c:pt>
                <c:pt idx="2">
                  <c:v>79.039999999999992</c:v>
                </c:pt>
                <c:pt idx="3">
                  <c:v>75.289999999999992</c:v>
                </c:pt>
                <c:pt idx="4">
                  <c:v>73.039999999999992</c:v>
                </c:pt>
                <c:pt idx="5">
                  <c:v>71.89</c:v>
                </c:pt>
                <c:pt idx="6">
                  <c:v>65.83</c:v>
                </c:pt>
                <c:pt idx="7">
                  <c:v>62.6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98.54</c:v>
                </c:pt>
                <c:pt idx="1">
                  <c:v>93.71</c:v>
                </c:pt>
                <c:pt idx="2">
                  <c:v>91.814999999999998</c:v>
                </c:pt>
                <c:pt idx="3">
                  <c:v>88.8</c:v>
                </c:pt>
                <c:pt idx="4">
                  <c:v>86.41</c:v>
                </c:pt>
                <c:pt idx="5">
                  <c:v>83.754999999999995</c:v>
                </c:pt>
                <c:pt idx="6">
                  <c:v>69.224999999999994</c:v>
                </c:pt>
                <c:pt idx="7">
                  <c:v>64.385000000000005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96.25</c:v>
                </c:pt>
                <c:pt idx="1">
                  <c:v>88.94</c:v>
                </c:pt>
                <c:pt idx="2">
                  <c:v>86.91</c:v>
                </c:pt>
                <c:pt idx="3">
                  <c:v>83.38</c:v>
                </c:pt>
                <c:pt idx="4">
                  <c:v>80.91</c:v>
                </c:pt>
                <c:pt idx="5">
                  <c:v>79.550000000000011</c:v>
                </c:pt>
                <c:pt idx="6">
                  <c:v>71.490000000000009</c:v>
                </c:pt>
                <c:pt idx="7">
                  <c:v>66.69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97.805000000000007</c:v>
                </c:pt>
                <c:pt idx="1">
                  <c:v>97.045000000000002</c:v>
                </c:pt>
                <c:pt idx="2">
                  <c:v>96.775000000000006</c:v>
                </c:pt>
                <c:pt idx="3">
                  <c:v>95.3</c:v>
                </c:pt>
                <c:pt idx="4">
                  <c:v>93.305000000000007</c:v>
                </c:pt>
                <c:pt idx="5">
                  <c:v>92.26</c:v>
                </c:pt>
                <c:pt idx="6">
                  <c:v>81.069999999999993</c:v>
                </c:pt>
                <c:pt idx="7">
                  <c:v>73.3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99.54</c:v>
                </c:pt>
                <c:pt idx="1">
                  <c:v>97.36</c:v>
                </c:pt>
                <c:pt idx="2">
                  <c:v>96.24</c:v>
                </c:pt>
                <c:pt idx="3">
                  <c:v>85.92</c:v>
                </c:pt>
                <c:pt idx="4">
                  <c:v>74.009999999999991</c:v>
                </c:pt>
                <c:pt idx="5">
                  <c:v>66.460000000000008</c:v>
                </c:pt>
                <c:pt idx="6">
                  <c:v>24.810000000000002</c:v>
                </c:pt>
                <c:pt idx="7">
                  <c:v>17.170000000000002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99.92</c:v>
                </c:pt>
                <c:pt idx="1">
                  <c:v>99.564999999999998</c:v>
                </c:pt>
                <c:pt idx="2">
                  <c:v>99.375</c:v>
                </c:pt>
                <c:pt idx="3">
                  <c:v>98.114999999999995</c:v>
                </c:pt>
                <c:pt idx="4">
                  <c:v>96.34</c:v>
                </c:pt>
                <c:pt idx="5">
                  <c:v>94.86</c:v>
                </c:pt>
                <c:pt idx="6">
                  <c:v>78.39</c:v>
                </c:pt>
                <c:pt idx="7">
                  <c:v>69.835000000000008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98.98</c:v>
                </c:pt>
                <c:pt idx="1">
                  <c:v>76.680000000000007</c:v>
                </c:pt>
                <c:pt idx="2">
                  <c:v>75.67</c:v>
                </c:pt>
                <c:pt idx="3">
                  <c:v>66.199999999999989</c:v>
                </c:pt>
                <c:pt idx="4">
                  <c:v>54.789999999999992</c:v>
                </c:pt>
                <c:pt idx="5">
                  <c:v>44.859999999999992</c:v>
                </c:pt>
                <c:pt idx="6">
                  <c:v>8.2800000000000011</c:v>
                </c:pt>
                <c:pt idx="7">
                  <c:v>2.1899999999999977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99.49</c:v>
                </c:pt>
                <c:pt idx="1">
                  <c:v>97.83</c:v>
                </c:pt>
                <c:pt idx="2">
                  <c:v>96.88</c:v>
                </c:pt>
                <c:pt idx="3">
                  <c:v>82.6</c:v>
                </c:pt>
                <c:pt idx="4">
                  <c:v>69.710000000000008</c:v>
                </c:pt>
                <c:pt idx="5">
                  <c:v>61.870000000000005</c:v>
                </c:pt>
                <c:pt idx="6">
                  <c:v>26.909999999999997</c:v>
                </c:pt>
                <c:pt idx="7">
                  <c:v>20.67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98.73</c:v>
                </c:pt>
                <c:pt idx="1">
                  <c:v>94.78</c:v>
                </c:pt>
                <c:pt idx="2">
                  <c:v>93.31</c:v>
                </c:pt>
                <c:pt idx="3">
                  <c:v>83.710000000000008</c:v>
                </c:pt>
                <c:pt idx="4">
                  <c:v>71.91</c:v>
                </c:pt>
                <c:pt idx="5">
                  <c:v>64.42</c:v>
                </c:pt>
                <c:pt idx="6">
                  <c:v>26.210000000000004</c:v>
                </c:pt>
                <c:pt idx="7">
                  <c:v>20.03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91.25</c:v>
                </c:pt>
                <c:pt idx="1">
                  <c:v>81.25</c:v>
                </c:pt>
                <c:pt idx="2">
                  <c:v>79.039999999999992</c:v>
                </c:pt>
                <c:pt idx="3">
                  <c:v>75.289999999999992</c:v>
                </c:pt>
                <c:pt idx="4">
                  <c:v>73.039999999999992</c:v>
                </c:pt>
                <c:pt idx="5">
                  <c:v>71.89</c:v>
                </c:pt>
                <c:pt idx="6">
                  <c:v>65.83</c:v>
                </c:pt>
                <c:pt idx="7">
                  <c:v>62.6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98.54</c:v>
                </c:pt>
                <c:pt idx="1">
                  <c:v>93.71</c:v>
                </c:pt>
                <c:pt idx="2">
                  <c:v>91.814999999999998</c:v>
                </c:pt>
                <c:pt idx="3">
                  <c:v>88.8</c:v>
                </c:pt>
                <c:pt idx="4">
                  <c:v>86.41</c:v>
                </c:pt>
                <c:pt idx="5">
                  <c:v>83.754999999999995</c:v>
                </c:pt>
                <c:pt idx="6">
                  <c:v>69.224999999999994</c:v>
                </c:pt>
                <c:pt idx="7">
                  <c:v>64.385000000000005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96.25</c:v>
                </c:pt>
                <c:pt idx="1">
                  <c:v>88.94</c:v>
                </c:pt>
                <c:pt idx="2">
                  <c:v>86.91</c:v>
                </c:pt>
                <c:pt idx="3">
                  <c:v>83.38</c:v>
                </c:pt>
                <c:pt idx="4">
                  <c:v>80.91</c:v>
                </c:pt>
                <c:pt idx="5">
                  <c:v>79.550000000000011</c:v>
                </c:pt>
                <c:pt idx="6">
                  <c:v>71.490000000000009</c:v>
                </c:pt>
                <c:pt idx="7">
                  <c:v>66.69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7.1386552101094208E-2</c:v>
                </c:pt>
                <c:pt idx="9" formatCode="0.00000">
                  <c:v>5.0477915076210494E-2</c:v>
                </c:pt>
                <c:pt idx="10" formatCode="0.00000">
                  <c:v>3.5693276050547104E-2</c:v>
                </c:pt>
                <c:pt idx="11" formatCode="0.00000">
                  <c:v>2.5503247023033419E-2</c:v>
                </c:pt>
                <c:pt idx="12" formatCode="0.00000">
                  <c:v>1.8820764834795802E-2</c:v>
                </c:pt>
                <c:pt idx="13" formatCode="0.00000">
                  <c:v>1.3744743266023537E-2</c:v>
                </c:pt>
                <c:pt idx="14" formatCode="0.00000">
                  <c:v>9.7190011690733765E-3</c:v>
                </c:pt>
                <c:pt idx="15" formatCode="0.00000">
                  <c:v>6.937112795397226E-3</c:v>
                </c:pt>
                <c:pt idx="16" formatCode="0.00000">
                  <c:v>4.9052794994813454E-3</c:v>
                </c:pt>
                <c:pt idx="17" formatCode="0.00000">
                  <c:v>3.468556397698613E-3</c:v>
                </c:pt>
                <c:pt idx="18" formatCode="0.00000">
                  <c:v>2.4753175556356099E-3</c:v>
                </c:pt>
                <c:pt idx="19" formatCode="0.00000">
                  <c:v>1.7503138291800489E-3</c:v>
                </c:pt>
                <c:pt idx="20" formatCode="0.00000">
                  <c:v>1.4420994256601192E-3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97.805000000000007</c:v>
                </c:pt>
                <c:pt idx="1">
                  <c:v>97.045000000000002</c:v>
                </c:pt>
                <c:pt idx="2">
                  <c:v>96.775000000000006</c:v>
                </c:pt>
                <c:pt idx="3">
                  <c:v>95.3</c:v>
                </c:pt>
                <c:pt idx="4">
                  <c:v>93.305000000000007</c:v>
                </c:pt>
                <c:pt idx="5">
                  <c:v>92.26</c:v>
                </c:pt>
                <c:pt idx="6">
                  <c:v>81.069999999999993</c:v>
                </c:pt>
                <c:pt idx="7">
                  <c:v>73.3</c:v>
                </c:pt>
                <c:pt idx="8">
                  <c:v>22.194307086613826</c:v>
                </c:pt>
                <c:pt idx="9">
                  <c:v>22.194307086613826</c:v>
                </c:pt>
                <c:pt idx="10">
                  <c:v>22.194307086613826</c:v>
                </c:pt>
                <c:pt idx="11">
                  <c:v>18.881971128608942</c:v>
                </c:pt>
                <c:pt idx="12">
                  <c:v>18.881971128608942</c:v>
                </c:pt>
                <c:pt idx="13">
                  <c:v>18.881971128608942</c:v>
                </c:pt>
                <c:pt idx="14">
                  <c:v>18.881971128608942</c:v>
                </c:pt>
                <c:pt idx="15">
                  <c:v>15.56963517060332</c:v>
                </c:pt>
                <c:pt idx="16">
                  <c:v>15.56963517060332</c:v>
                </c:pt>
                <c:pt idx="17">
                  <c:v>15.56963517060332</c:v>
                </c:pt>
                <c:pt idx="18">
                  <c:v>12.257299212598436</c:v>
                </c:pt>
                <c:pt idx="19">
                  <c:v>12.257299212598436</c:v>
                </c:pt>
                <c:pt idx="20">
                  <c:v>8.9449632545928175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99.54</c:v>
                </c:pt>
                <c:pt idx="1">
                  <c:v>97.36</c:v>
                </c:pt>
                <c:pt idx="2">
                  <c:v>96.24</c:v>
                </c:pt>
                <c:pt idx="3">
                  <c:v>85.92</c:v>
                </c:pt>
                <c:pt idx="4">
                  <c:v>74.009999999999991</c:v>
                </c:pt>
                <c:pt idx="5">
                  <c:v>66.460000000000008</c:v>
                </c:pt>
                <c:pt idx="6">
                  <c:v>24.810000000000002</c:v>
                </c:pt>
                <c:pt idx="7">
                  <c:v>17.170000000000002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99.92</c:v>
                </c:pt>
                <c:pt idx="1">
                  <c:v>99.564999999999998</c:v>
                </c:pt>
                <c:pt idx="2">
                  <c:v>99.375</c:v>
                </c:pt>
                <c:pt idx="3">
                  <c:v>98.114999999999995</c:v>
                </c:pt>
                <c:pt idx="4">
                  <c:v>96.34</c:v>
                </c:pt>
                <c:pt idx="5">
                  <c:v>94.86</c:v>
                </c:pt>
                <c:pt idx="6">
                  <c:v>78.39</c:v>
                </c:pt>
                <c:pt idx="7">
                  <c:v>69.835000000000008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98.98</c:v>
                </c:pt>
                <c:pt idx="1">
                  <c:v>76.680000000000007</c:v>
                </c:pt>
                <c:pt idx="2">
                  <c:v>75.67</c:v>
                </c:pt>
                <c:pt idx="3">
                  <c:v>66.199999999999989</c:v>
                </c:pt>
                <c:pt idx="4">
                  <c:v>54.789999999999992</c:v>
                </c:pt>
                <c:pt idx="5">
                  <c:v>44.859999999999992</c:v>
                </c:pt>
                <c:pt idx="6">
                  <c:v>8.2800000000000011</c:v>
                </c:pt>
                <c:pt idx="7">
                  <c:v>2.1899999999999977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99.49</c:v>
                </c:pt>
                <c:pt idx="1">
                  <c:v>97.83</c:v>
                </c:pt>
                <c:pt idx="2">
                  <c:v>96.88</c:v>
                </c:pt>
                <c:pt idx="3">
                  <c:v>82.6</c:v>
                </c:pt>
                <c:pt idx="4">
                  <c:v>69.710000000000008</c:v>
                </c:pt>
                <c:pt idx="5">
                  <c:v>61.870000000000005</c:v>
                </c:pt>
                <c:pt idx="6">
                  <c:v>26.909999999999997</c:v>
                </c:pt>
                <c:pt idx="7">
                  <c:v>20.67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98.73</c:v>
                </c:pt>
                <c:pt idx="1">
                  <c:v>94.78</c:v>
                </c:pt>
                <c:pt idx="2">
                  <c:v>93.31</c:v>
                </c:pt>
                <c:pt idx="3">
                  <c:v>83.710000000000008</c:v>
                </c:pt>
                <c:pt idx="4">
                  <c:v>71.91</c:v>
                </c:pt>
                <c:pt idx="5">
                  <c:v>64.42</c:v>
                </c:pt>
                <c:pt idx="6">
                  <c:v>26.210000000000004</c:v>
                </c:pt>
                <c:pt idx="7">
                  <c:v>20.03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J4" sqref="J4:R4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5" width="9" style="1" customWidth="1"/>
    <col min="26" max="16384" width="9" style="1"/>
  </cols>
  <sheetData>
    <row r="1" spans="1:29" ht="25.15" customHeight="1" x14ac:dyDescent="0.25">
      <c r="A1" s="56" t="s">
        <v>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 ht="24.6" customHeight="1" x14ac:dyDescent="0.25">
      <c r="A2" s="57" t="s">
        <v>4</v>
      </c>
      <c r="B2" s="60" t="s">
        <v>5</v>
      </c>
      <c r="C2" s="60" t="s">
        <v>6</v>
      </c>
      <c r="D2" s="60" t="s">
        <v>7</v>
      </c>
      <c r="E2" s="63" t="s">
        <v>8</v>
      </c>
      <c r="F2" s="63" t="s">
        <v>9</v>
      </c>
      <c r="G2" s="63" t="s">
        <v>58</v>
      </c>
      <c r="H2" s="63" t="s">
        <v>10</v>
      </c>
      <c r="I2" s="64" t="s">
        <v>11</v>
      </c>
      <c r="J2" s="67" t="s">
        <v>12</v>
      </c>
      <c r="K2" s="67"/>
      <c r="L2" s="67"/>
      <c r="M2" s="67"/>
      <c r="N2" s="67"/>
      <c r="O2" s="67"/>
      <c r="P2" s="67"/>
      <c r="Q2" s="67"/>
      <c r="R2" s="67"/>
      <c r="S2" s="67" t="s">
        <v>0</v>
      </c>
      <c r="T2" s="67"/>
      <c r="U2" s="67"/>
      <c r="V2" s="67"/>
      <c r="W2" s="67"/>
      <c r="X2" s="67"/>
      <c r="Y2" s="67"/>
      <c r="Z2" s="67"/>
      <c r="AA2" s="66" t="s">
        <v>13</v>
      </c>
      <c r="AB2" s="66" t="s">
        <v>14</v>
      </c>
      <c r="AC2" s="66" t="s">
        <v>15</v>
      </c>
    </row>
    <row r="3" spans="1:29" ht="40.5" customHeight="1" x14ac:dyDescent="0.25">
      <c r="A3" s="58"/>
      <c r="B3" s="61"/>
      <c r="C3" s="61"/>
      <c r="D3" s="61"/>
      <c r="E3" s="63"/>
      <c r="F3" s="63"/>
      <c r="G3" s="63"/>
      <c r="H3" s="63"/>
      <c r="I3" s="65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16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6"/>
      <c r="AB3" s="66"/>
      <c r="AC3" s="66"/>
    </row>
    <row r="4" spans="1:29" ht="21.6" customHeight="1" x14ac:dyDescent="0.25">
      <c r="A4" s="59"/>
      <c r="B4" s="62"/>
      <c r="C4" s="62"/>
      <c r="D4" s="62"/>
      <c r="E4" s="2" t="s">
        <v>17</v>
      </c>
      <c r="F4" s="8" t="s">
        <v>18</v>
      </c>
      <c r="G4" s="8" t="s">
        <v>17</v>
      </c>
      <c r="H4" s="8" t="s">
        <v>19</v>
      </c>
      <c r="I4" s="8" t="s">
        <v>19</v>
      </c>
      <c r="J4" s="67" t="s">
        <v>19</v>
      </c>
      <c r="K4" s="67"/>
      <c r="L4" s="67"/>
      <c r="M4" s="67"/>
      <c r="N4" s="67"/>
      <c r="O4" s="67"/>
      <c r="P4" s="67"/>
      <c r="Q4" s="67"/>
      <c r="R4" s="67"/>
      <c r="S4" s="67" t="s">
        <v>19</v>
      </c>
      <c r="T4" s="67"/>
      <c r="U4" s="67"/>
      <c r="V4" s="67"/>
      <c r="W4" s="67"/>
      <c r="X4" s="67"/>
      <c r="Y4" s="67"/>
      <c r="Z4" s="67"/>
      <c r="AA4" s="87" t="s">
        <v>20</v>
      </c>
      <c r="AB4" s="68"/>
      <c r="AC4" s="68"/>
    </row>
    <row r="5" spans="1:29" ht="30" customHeight="1" x14ac:dyDescent="0.25">
      <c r="A5" s="9">
        <v>1</v>
      </c>
      <c r="B5" s="69" t="s">
        <v>48</v>
      </c>
      <c r="C5" s="69"/>
      <c r="D5" s="70"/>
      <c r="E5" s="46" t="s">
        <v>21</v>
      </c>
      <c r="F5" s="24">
        <v>0.5</v>
      </c>
      <c r="G5" s="46" t="s">
        <v>49</v>
      </c>
      <c r="H5" s="33">
        <v>100</v>
      </c>
      <c r="I5" s="24">
        <f>H5-SUM(J5:Q5)</f>
        <v>62.6</v>
      </c>
      <c r="J5" s="24">
        <v>8.75</v>
      </c>
      <c r="K5" s="24">
        <v>10</v>
      </c>
      <c r="L5" s="24">
        <v>2.21</v>
      </c>
      <c r="M5" s="24">
        <v>3.75</v>
      </c>
      <c r="N5" s="24">
        <v>2.25</v>
      </c>
      <c r="O5" s="24">
        <v>1.1499999999999999</v>
      </c>
      <c r="P5" s="24">
        <v>6.06</v>
      </c>
      <c r="Q5" s="24">
        <v>3.23</v>
      </c>
      <c r="R5" s="10"/>
      <c r="S5" s="11">
        <f t="shared" ref="S5:S13" si="0">((H5-(SUM(J5)))/H5)*100</f>
        <v>91.25</v>
      </c>
      <c r="T5" s="11">
        <f t="shared" ref="T5:T13" si="1">((H5-(SUM(J5:K5)))/H5)*100</f>
        <v>81.25</v>
      </c>
      <c r="U5" s="11">
        <f t="shared" ref="U5:U13" si="2">((H5-(SUM(J5:L5)))/H5)*100</f>
        <v>79.039999999999992</v>
      </c>
      <c r="V5" s="11">
        <f t="shared" ref="V5:V13" si="3">((H5-(SUM(J5:M5)))/H5)*100</f>
        <v>75.289999999999992</v>
      </c>
      <c r="W5" s="11">
        <f t="shared" ref="W5:W13" si="4">((H5-(SUM(J5:N5)))/H5)*100</f>
        <v>73.039999999999992</v>
      </c>
      <c r="X5" s="11">
        <f t="shared" ref="X5:X13" si="5">((H5-(SUM(J5:O5)))/H5)*100</f>
        <v>71.89</v>
      </c>
      <c r="Y5" s="11">
        <f t="shared" ref="Y5:Y13" si="6">((H5-(SUM(J5:P5)))/H5)*100</f>
        <v>65.83</v>
      </c>
      <c r="Z5" s="11">
        <f t="shared" ref="Z5:Z13" si="7">((H5-(SUM(J5:Q5)))/H5)*100</f>
        <v>62.6</v>
      </c>
      <c r="AA5" s="11">
        <f t="shared" ref="AA5:AA13" si="8">100-S5</f>
        <v>8.75</v>
      </c>
      <c r="AB5" s="11">
        <f t="shared" ref="AB5:AB13" si="9">S5-Z5</f>
        <v>28.65</v>
      </c>
      <c r="AC5" s="11">
        <f t="shared" ref="AC5:AC13" si="10">Z5</f>
        <v>62.6</v>
      </c>
    </row>
    <row r="6" spans="1:29" ht="30" customHeight="1" x14ac:dyDescent="0.25">
      <c r="A6" s="9">
        <v>2</v>
      </c>
      <c r="B6" s="69"/>
      <c r="C6" s="69"/>
      <c r="D6" s="70"/>
      <c r="E6" s="46" t="s">
        <v>47</v>
      </c>
      <c r="F6" s="24">
        <v>1.5</v>
      </c>
      <c r="G6" s="46" t="s">
        <v>50</v>
      </c>
      <c r="H6" s="55">
        <v>200</v>
      </c>
      <c r="I6" s="24">
        <f t="shared" ref="I6:I13" si="11">H6-SUM(J6:Q6)</f>
        <v>128.77000000000001</v>
      </c>
      <c r="J6" s="24">
        <v>2.92</v>
      </c>
      <c r="K6" s="24">
        <v>9.66</v>
      </c>
      <c r="L6" s="24">
        <v>3.79</v>
      </c>
      <c r="M6" s="24">
        <v>6.03</v>
      </c>
      <c r="N6" s="24">
        <v>4.78</v>
      </c>
      <c r="O6" s="24">
        <v>5.31</v>
      </c>
      <c r="P6" s="24">
        <v>29.06</v>
      </c>
      <c r="Q6" s="24">
        <v>9.68</v>
      </c>
      <c r="R6" s="10"/>
      <c r="S6" s="11">
        <f t="shared" si="0"/>
        <v>98.54</v>
      </c>
      <c r="T6" s="11">
        <f t="shared" si="1"/>
        <v>93.71</v>
      </c>
      <c r="U6" s="11">
        <f t="shared" si="2"/>
        <v>91.814999999999998</v>
      </c>
      <c r="V6" s="11">
        <f t="shared" si="3"/>
        <v>88.8</v>
      </c>
      <c r="W6" s="11">
        <f t="shared" si="4"/>
        <v>86.41</v>
      </c>
      <c r="X6" s="11">
        <f t="shared" si="5"/>
        <v>83.754999999999995</v>
      </c>
      <c r="Y6" s="11">
        <f t="shared" si="6"/>
        <v>69.224999999999994</v>
      </c>
      <c r="Z6" s="11">
        <f t="shared" si="7"/>
        <v>64.385000000000005</v>
      </c>
      <c r="AA6" s="11">
        <f t="shared" si="8"/>
        <v>1.4599999999999937</v>
      </c>
      <c r="AB6" s="11">
        <f t="shared" si="9"/>
        <v>34.155000000000001</v>
      </c>
      <c r="AC6" s="11">
        <f t="shared" si="10"/>
        <v>64.385000000000005</v>
      </c>
    </row>
    <row r="7" spans="1:29" ht="30" customHeight="1" x14ac:dyDescent="0.25">
      <c r="A7" s="9">
        <v>3</v>
      </c>
      <c r="B7" s="69"/>
      <c r="C7" s="69"/>
      <c r="D7" s="70"/>
      <c r="E7" s="46" t="s">
        <v>21</v>
      </c>
      <c r="F7" s="24">
        <v>3.5</v>
      </c>
      <c r="G7" s="46" t="s">
        <v>51</v>
      </c>
      <c r="H7" s="55">
        <v>100</v>
      </c>
      <c r="I7" s="24">
        <f t="shared" si="11"/>
        <v>66.69</v>
      </c>
      <c r="J7" s="24">
        <v>3.75</v>
      </c>
      <c r="K7" s="24">
        <v>7.31</v>
      </c>
      <c r="L7" s="24">
        <v>2.0299999999999998</v>
      </c>
      <c r="M7" s="24">
        <v>3.53</v>
      </c>
      <c r="N7" s="24">
        <v>2.4700000000000002</v>
      </c>
      <c r="O7" s="24">
        <v>1.36</v>
      </c>
      <c r="P7" s="24">
        <v>8.06</v>
      </c>
      <c r="Q7" s="24">
        <v>4.8</v>
      </c>
      <c r="R7" s="10"/>
      <c r="S7" s="11">
        <f t="shared" si="0"/>
        <v>96.25</v>
      </c>
      <c r="T7" s="11">
        <f t="shared" si="1"/>
        <v>88.94</v>
      </c>
      <c r="U7" s="11">
        <f t="shared" si="2"/>
        <v>86.91</v>
      </c>
      <c r="V7" s="11">
        <f t="shared" si="3"/>
        <v>83.38</v>
      </c>
      <c r="W7" s="11">
        <f t="shared" si="4"/>
        <v>80.91</v>
      </c>
      <c r="X7" s="11">
        <f t="shared" si="5"/>
        <v>79.550000000000011</v>
      </c>
      <c r="Y7" s="11">
        <f t="shared" si="6"/>
        <v>71.490000000000009</v>
      </c>
      <c r="Z7" s="11">
        <f t="shared" si="7"/>
        <v>66.69</v>
      </c>
      <c r="AA7" s="11">
        <f t="shared" si="8"/>
        <v>3.75</v>
      </c>
      <c r="AB7" s="11">
        <f t="shared" si="9"/>
        <v>29.560000000000002</v>
      </c>
      <c r="AC7" s="11">
        <f t="shared" si="10"/>
        <v>66.69</v>
      </c>
    </row>
    <row r="8" spans="1:29" ht="30" customHeight="1" x14ac:dyDescent="0.25">
      <c r="A8" s="9">
        <v>4</v>
      </c>
      <c r="B8" s="69"/>
      <c r="C8" s="69"/>
      <c r="D8" s="70"/>
      <c r="E8" s="46" t="s">
        <v>47</v>
      </c>
      <c r="F8" s="24">
        <v>4.5</v>
      </c>
      <c r="G8" s="46" t="s">
        <v>52</v>
      </c>
      <c r="H8" s="55">
        <v>200</v>
      </c>
      <c r="I8" s="24">
        <f t="shared" si="11"/>
        <v>146.6</v>
      </c>
      <c r="J8" s="24">
        <v>4.3899999999999997</v>
      </c>
      <c r="K8" s="24">
        <v>1.52</v>
      </c>
      <c r="L8" s="24">
        <v>0.54</v>
      </c>
      <c r="M8" s="24">
        <v>2.95</v>
      </c>
      <c r="N8" s="24">
        <v>3.99</v>
      </c>
      <c r="O8" s="24">
        <v>2.09</v>
      </c>
      <c r="P8" s="24">
        <v>22.38</v>
      </c>
      <c r="Q8" s="24">
        <v>15.54</v>
      </c>
      <c r="R8" s="10"/>
      <c r="S8" s="11">
        <f t="shared" si="0"/>
        <v>97.805000000000007</v>
      </c>
      <c r="T8" s="11">
        <f t="shared" si="1"/>
        <v>97.045000000000002</v>
      </c>
      <c r="U8" s="11">
        <f t="shared" si="2"/>
        <v>96.775000000000006</v>
      </c>
      <c r="V8" s="11">
        <f t="shared" si="3"/>
        <v>95.3</v>
      </c>
      <c r="W8" s="11">
        <f t="shared" si="4"/>
        <v>93.305000000000007</v>
      </c>
      <c r="X8" s="11">
        <f t="shared" si="5"/>
        <v>92.26</v>
      </c>
      <c r="Y8" s="11">
        <f t="shared" si="6"/>
        <v>81.069999999999993</v>
      </c>
      <c r="Z8" s="11">
        <f t="shared" si="7"/>
        <v>73.3</v>
      </c>
      <c r="AA8" s="11">
        <f t="shared" si="8"/>
        <v>2.1949999999999932</v>
      </c>
      <c r="AB8" s="11">
        <f t="shared" si="9"/>
        <v>24.50500000000001</v>
      </c>
      <c r="AC8" s="11">
        <f t="shared" si="10"/>
        <v>73.3</v>
      </c>
    </row>
    <row r="9" spans="1:29" ht="30" customHeight="1" x14ac:dyDescent="0.25">
      <c r="A9" s="9">
        <v>5</v>
      </c>
      <c r="B9" s="69"/>
      <c r="C9" s="69"/>
      <c r="D9" s="70"/>
      <c r="E9" s="46" t="s">
        <v>21</v>
      </c>
      <c r="F9" s="24">
        <v>6.5</v>
      </c>
      <c r="G9" s="46" t="s">
        <v>53</v>
      </c>
      <c r="H9" s="55">
        <v>100</v>
      </c>
      <c r="I9" s="24">
        <f t="shared" si="11"/>
        <v>17.170000000000002</v>
      </c>
      <c r="J9" s="24">
        <v>0.46</v>
      </c>
      <c r="K9" s="24">
        <v>2.1800000000000002</v>
      </c>
      <c r="L9" s="24">
        <v>1.1200000000000001</v>
      </c>
      <c r="M9" s="24">
        <v>10.32</v>
      </c>
      <c r="N9" s="24">
        <v>11.91</v>
      </c>
      <c r="O9" s="24">
        <v>7.55</v>
      </c>
      <c r="P9" s="24">
        <v>41.65</v>
      </c>
      <c r="Q9" s="24">
        <v>7.64</v>
      </c>
      <c r="R9" s="10"/>
      <c r="S9" s="11">
        <f t="shared" si="0"/>
        <v>99.54</v>
      </c>
      <c r="T9" s="11">
        <f t="shared" si="1"/>
        <v>97.36</v>
      </c>
      <c r="U9" s="11">
        <f t="shared" si="2"/>
        <v>96.24</v>
      </c>
      <c r="V9" s="11">
        <f t="shared" si="3"/>
        <v>85.92</v>
      </c>
      <c r="W9" s="11">
        <f t="shared" si="4"/>
        <v>74.009999999999991</v>
      </c>
      <c r="X9" s="11">
        <f>((H9-(SUM(J9:O9)))/H9)*100</f>
        <v>66.460000000000008</v>
      </c>
      <c r="Y9" s="11">
        <f t="shared" si="6"/>
        <v>24.810000000000002</v>
      </c>
      <c r="Z9" s="11">
        <f t="shared" si="7"/>
        <v>17.170000000000002</v>
      </c>
      <c r="AA9" s="11">
        <f t="shared" si="8"/>
        <v>0.45999999999999375</v>
      </c>
      <c r="AB9" s="11">
        <f t="shared" si="9"/>
        <v>82.37</v>
      </c>
      <c r="AC9" s="11">
        <f t="shared" si="10"/>
        <v>17.170000000000002</v>
      </c>
    </row>
    <row r="10" spans="1:29" s="34" customFormat="1" ht="30" customHeight="1" x14ac:dyDescent="0.25">
      <c r="A10" s="42"/>
      <c r="B10" s="69"/>
      <c r="C10" s="69"/>
      <c r="D10" s="70"/>
      <c r="E10" s="46" t="s">
        <v>47</v>
      </c>
      <c r="F10" s="43">
        <v>7.5</v>
      </c>
      <c r="G10" s="47" t="s">
        <v>54</v>
      </c>
      <c r="H10" s="55">
        <v>200</v>
      </c>
      <c r="I10" s="24">
        <f t="shared" si="11"/>
        <v>139.67000000000002</v>
      </c>
      <c r="J10" s="43">
        <v>0.16</v>
      </c>
      <c r="K10" s="43">
        <v>0.71</v>
      </c>
      <c r="L10" s="43">
        <v>0.38</v>
      </c>
      <c r="M10" s="43">
        <v>2.52</v>
      </c>
      <c r="N10" s="43">
        <v>3.55</v>
      </c>
      <c r="O10" s="43">
        <v>2.96</v>
      </c>
      <c r="P10" s="43">
        <v>32.94</v>
      </c>
      <c r="Q10" s="43">
        <v>17.11</v>
      </c>
      <c r="R10" s="44"/>
      <c r="S10" s="45">
        <f t="shared" si="0"/>
        <v>99.92</v>
      </c>
      <c r="T10" s="45">
        <f t="shared" si="1"/>
        <v>99.564999999999998</v>
      </c>
      <c r="U10" s="45">
        <f t="shared" si="2"/>
        <v>99.375</v>
      </c>
      <c r="V10" s="45">
        <f t="shared" si="3"/>
        <v>98.114999999999995</v>
      </c>
      <c r="W10" s="45">
        <f t="shared" si="4"/>
        <v>96.34</v>
      </c>
      <c r="X10" s="45">
        <f t="shared" si="5"/>
        <v>94.86</v>
      </c>
      <c r="Y10" s="45">
        <f t="shared" si="6"/>
        <v>78.39</v>
      </c>
      <c r="Z10" s="45">
        <f t="shared" si="7"/>
        <v>69.835000000000008</v>
      </c>
      <c r="AA10" s="45">
        <f t="shared" si="8"/>
        <v>7.9999999999998295E-2</v>
      </c>
      <c r="AB10" s="45">
        <f t="shared" si="9"/>
        <v>30.084999999999994</v>
      </c>
      <c r="AC10" s="45">
        <f t="shared" si="10"/>
        <v>69.835000000000008</v>
      </c>
    </row>
    <row r="11" spans="1:29" ht="30" customHeight="1" x14ac:dyDescent="0.25">
      <c r="A11" s="9">
        <v>7</v>
      </c>
      <c r="B11" s="69"/>
      <c r="C11" s="69"/>
      <c r="D11" s="70"/>
      <c r="E11" s="46" t="s">
        <v>21</v>
      </c>
      <c r="F11" s="24">
        <v>10.5</v>
      </c>
      <c r="G11" s="46" t="s">
        <v>55</v>
      </c>
      <c r="H11" s="55">
        <v>100</v>
      </c>
      <c r="I11" s="24">
        <f t="shared" si="11"/>
        <v>2.1899999999999977</v>
      </c>
      <c r="J11" s="24">
        <v>1.02</v>
      </c>
      <c r="K11" s="24">
        <v>22.3</v>
      </c>
      <c r="L11" s="24">
        <v>1.01</v>
      </c>
      <c r="M11" s="24">
        <v>9.4700000000000006</v>
      </c>
      <c r="N11" s="24">
        <v>11.41</v>
      </c>
      <c r="O11" s="24">
        <v>9.93</v>
      </c>
      <c r="P11" s="24">
        <v>36.58</v>
      </c>
      <c r="Q11" s="24">
        <v>6.09</v>
      </c>
      <c r="R11" s="10"/>
      <c r="S11" s="11">
        <f t="shared" si="0"/>
        <v>98.98</v>
      </c>
      <c r="T11" s="11">
        <f t="shared" si="1"/>
        <v>76.680000000000007</v>
      </c>
      <c r="U11" s="11">
        <f t="shared" si="2"/>
        <v>75.67</v>
      </c>
      <c r="V11" s="11">
        <f t="shared" si="3"/>
        <v>66.199999999999989</v>
      </c>
      <c r="W11" s="11">
        <f t="shared" si="4"/>
        <v>54.789999999999992</v>
      </c>
      <c r="X11" s="11">
        <f t="shared" si="5"/>
        <v>44.859999999999992</v>
      </c>
      <c r="Y11" s="11">
        <f t="shared" si="6"/>
        <v>8.2800000000000011</v>
      </c>
      <c r="Z11" s="11">
        <f t="shared" si="7"/>
        <v>2.1899999999999977</v>
      </c>
      <c r="AA11" s="11">
        <f t="shared" si="8"/>
        <v>1.019999999999996</v>
      </c>
      <c r="AB11" s="11">
        <f t="shared" si="9"/>
        <v>96.79</v>
      </c>
      <c r="AC11" s="11">
        <f t="shared" si="10"/>
        <v>2.1899999999999977</v>
      </c>
    </row>
    <row r="12" spans="1:29" ht="30" customHeight="1" x14ac:dyDescent="0.25">
      <c r="A12" s="9">
        <v>8</v>
      </c>
      <c r="B12" s="69"/>
      <c r="C12" s="69"/>
      <c r="D12" s="70"/>
      <c r="E12" s="46" t="s">
        <v>21</v>
      </c>
      <c r="F12" s="24">
        <v>13.5</v>
      </c>
      <c r="G12" s="46" t="s">
        <v>56</v>
      </c>
      <c r="H12" s="55">
        <v>100</v>
      </c>
      <c r="I12" s="24">
        <f t="shared" si="11"/>
        <v>20.67</v>
      </c>
      <c r="J12" s="24">
        <v>0.51</v>
      </c>
      <c r="K12" s="24">
        <v>1.66</v>
      </c>
      <c r="L12" s="24">
        <v>0.95</v>
      </c>
      <c r="M12" s="24">
        <v>14.28</v>
      </c>
      <c r="N12" s="24">
        <v>12.89</v>
      </c>
      <c r="O12" s="24">
        <v>7.84</v>
      </c>
      <c r="P12" s="24">
        <v>34.96</v>
      </c>
      <c r="Q12" s="24">
        <v>6.24</v>
      </c>
      <c r="R12" s="10"/>
      <c r="S12" s="11">
        <f t="shared" si="0"/>
        <v>99.49</v>
      </c>
      <c r="T12" s="11">
        <f t="shared" si="1"/>
        <v>97.83</v>
      </c>
      <c r="U12" s="11">
        <f t="shared" si="2"/>
        <v>96.88</v>
      </c>
      <c r="V12" s="11">
        <f t="shared" si="3"/>
        <v>82.6</v>
      </c>
      <c r="W12" s="11">
        <f t="shared" si="4"/>
        <v>69.710000000000008</v>
      </c>
      <c r="X12" s="11">
        <f t="shared" si="5"/>
        <v>61.870000000000005</v>
      </c>
      <c r="Y12" s="11">
        <f t="shared" si="6"/>
        <v>26.909999999999997</v>
      </c>
      <c r="Z12" s="11">
        <f t="shared" si="7"/>
        <v>20.67</v>
      </c>
      <c r="AA12" s="11">
        <f t="shared" si="8"/>
        <v>0.51000000000000512</v>
      </c>
      <c r="AB12" s="11">
        <f t="shared" si="9"/>
        <v>78.819999999999993</v>
      </c>
      <c r="AC12" s="11">
        <f t="shared" si="10"/>
        <v>20.67</v>
      </c>
    </row>
    <row r="13" spans="1:29" ht="30" customHeight="1" x14ac:dyDescent="0.25">
      <c r="A13" s="9">
        <v>9</v>
      </c>
      <c r="B13" s="69"/>
      <c r="C13" s="69"/>
      <c r="D13" s="70"/>
      <c r="E13" s="46" t="s">
        <v>21</v>
      </c>
      <c r="F13" s="24">
        <v>15</v>
      </c>
      <c r="G13" s="46" t="s">
        <v>57</v>
      </c>
      <c r="H13" s="55">
        <v>100</v>
      </c>
      <c r="I13" s="24">
        <f t="shared" si="11"/>
        <v>20.03</v>
      </c>
      <c r="J13" s="24">
        <v>1.27</v>
      </c>
      <c r="K13" s="24">
        <v>3.95</v>
      </c>
      <c r="L13" s="24">
        <v>1.47</v>
      </c>
      <c r="M13" s="24">
        <v>9.6</v>
      </c>
      <c r="N13" s="24">
        <v>11.8</v>
      </c>
      <c r="O13" s="24">
        <v>7.49</v>
      </c>
      <c r="P13" s="24">
        <v>38.21</v>
      </c>
      <c r="Q13" s="24">
        <v>6.18</v>
      </c>
      <c r="R13" s="10"/>
      <c r="S13" s="11">
        <f t="shared" si="0"/>
        <v>98.73</v>
      </c>
      <c r="T13" s="11">
        <f t="shared" si="1"/>
        <v>94.78</v>
      </c>
      <c r="U13" s="11">
        <f t="shared" si="2"/>
        <v>93.31</v>
      </c>
      <c r="V13" s="11">
        <f t="shared" si="3"/>
        <v>83.710000000000008</v>
      </c>
      <c r="W13" s="11">
        <f t="shared" si="4"/>
        <v>71.91</v>
      </c>
      <c r="X13" s="11">
        <f t="shared" si="5"/>
        <v>64.42</v>
      </c>
      <c r="Y13" s="11">
        <f t="shared" si="6"/>
        <v>26.210000000000004</v>
      </c>
      <c r="Z13" s="11">
        <f t="shared" si="7"/>
        <v>20.03</v>
      </c>
      <c r="AA13" s="11">
        <f t="shared" si="8"/>
        <v>1.269999999999996</v>
      </c>
      <c r="AB13" s="11">
        <f t="shared" si="9"/>
        <v>78.7</v>
      </c>
      <c r="AC13" s="11">
        <f t="shared" si="10"/>
        <v>20.03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A8" sqref="A8:XFD8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1" t="s">
        <v>4</v>
      </c>
      <c r="B1" s="74" t="s">
        <v>5</v>
      </c>
      <c r="C1" s="74" t="s">
        <v>9</v>
      </c>
      <c r="D1" s="71" t="s">
        <v>8</v>
      </c>
      <c r="E1" s="71" t="s">
        <v>22</v>
      </c>
      <c r="F1" s="71" t="s">
        <v>39</v>
      </c>
      <c r="G1" s="71" t="s">
        <v>23</v>
      </c>
      <c r="H1" s="71" t="s">
        <v>24</v>
      </c>
      <c r="I1" s="80" t="s">
        <v>33</v>
      </c>
      <c r="J1" s="71" t="s">
        <v>34</v>
      </c>
      <c r="K1" s="71" t="s">
        <v>25</v>
      </c>
      <c r="L1" s="71" t="s">
        <v>26</v>
      </c>
      <c r="M1" s="78" t="s">
        <v>27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28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29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72"/>
      <c r="B2" s="75"/>
      <c r="C2" s="75"/>
      <c r="D2" s="72"/>
      <c r="E2" s="72"/>
      <c r="F2" s="72"/>
      <c r="G2" s="72"/>
      <c r="H2" s="72"/>
      <c r="I2" s="80"/>
      <c r="J2" s="72"/>
      <c r="K2" s="72"/>
      <c r="L2" s="72"/>
      <c r="M2" s="81">
        <v>0.5</v>
      </c>
      <c r="N2" s="77">
        <v>1</v>
      </c>
      <c r="O2" s="77">
        <v>2</v>
      </c>
      <c r="P2" s="77">
        <v>4</v>
      </c>
      <c r="Q2" s="77">
        <v>8</v>
      </c>
      <c r="R2" s="77">
        <v>15</v>
      </c>
      <c r="S2" s="77">
        <v>30</v>
      </c>
      <c r="T2" s="77">
        <v>60</v>
      </c>
      <c r="U2" s="77">
        <v>120</v>
      </c>
      <c r="V2" s="77">
        <v>240</v>
      </c>
      <c r="W2" s="77">
        <v>480</v>
      </c>
      <c r="X2" s="77">
        <v>960</v>
      </c>
      <c r="Y2" s="77">
        <v>1440</v>
      </c>
      <c r="Z2" s="81">
        <v>0.5</v>
      </c>
      <c r="AA2" s="77">
        <v>1</v>
      </c>
      <c r="AB2" s="77">
        <v>2</v>
      </c>
      <c r="AC2" s="77">
        <v>4</v>
      </c>
      <c r="AD2" s="77">
        <v>8</v>
      </c>
      <c r="AE2" s="77">
        <v>15</v>
      </c>
      <c r="AF2" s="77">
        <v>30</v>
      </c>
      <c r="AG2" s="77">
        <v>60</v>
      </c>
      <c r="AH2" s="77">
        <v>120</v>
      </c>
      <c r="AI2" s="77">
        <v>240</v>
      </c>
      <c r="AJ2" s="77">
        <v>480</v>
      </c>
      <c r="AK2" s="77">
        <v>960</v>
      </c>
      <c r="AL2" s="77">
        <v>1440</v>
      </c>
      <c r="AM2" s="81">
        <v>0.5</v>
      </c>
      <c r="AN2" s="77">
        <v>1</v>
      </c>
      <c r="AO2" s="77">
        <v>2</v>
      </c>
      <c r="AP2" s="77">
        <v>4</v>
      </c>
      <c r="AQ2" s="77">
        <v>8</v>
      </c>
      <c r="AR2" s="77">
        <v>15</v>
      </c>
      <c r="AS2" s="77">
        <v>30</v>
      </c>
      <c r="AT2" s="77">
        <v>60</v>
      </c>
      <c r="AU2" s="77">
        <v>120</v>
      </c>
      <c r="AV2" s="77">
        <v>240</v>
      </c>
      <c r="AW2" s="77">
        <v>480</v>
      </c>
      <c r="AX2" s="77">
        <v>960</v>
      </c>
      <c r="AY2" s="77">
        <v>1440</v>
      </c>
      <c r="AZ2" s="22"/>
      <c r="BA2" s="22"/>
    </row>
    <row r="3" spans="1:53" x14ac:dyDescent="0.25">
      <c r="A3" s="72"/>
      <c r="B3" s="75"/>
      <c r="C3" s="75"/>
      <c r="D3" s="73"/>
      <c r="E3" s="73"/>
      <c r="F3" s="73"/>
      <c r="G3" s="73"/>
      <c r="H3" s="73"/>
      <c r="I3" s="80"/>
      <c r="J3" s="73"/>
      <c r="K3" s="73"/>
      <c r="L3" s="73"/>
      <c r="M3" s="81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81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81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22"/>
      <c r="BA3" s="22"/>
    </row>
    <row r="4" spans="1:53" x14ac:dyDescent="0.25">
      <c r="A4" s="73"/>
      <c r="B4" s="76"/>
      <c r="C4" s="76"/>
      <c r="D4" s="13" t="s">
        <v>17</v>
      </c>
      <c r="E4" s="13" t="s">
        <v>30</v>
      </c>
      <c r="F4" s="13" t="s">
        <v>38</v>
      </c>
      <c r="G4" s="13" t="s">
        <v>17</v>
      </c>
      <c r="H4" s="13" t="s">
        <v>17</v>
      </c>
      <c r="I4" s="14" t="s">
        <v>17</v>
      </c>
      <c r="J4" s="15"/>
      <c r="K4" s="15" t="s">
        <v>17</v>
      </c>
      <c r="L4" s="15" t="s">
        <v>17</v>
      </c>
      <c r="M4" s="82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4"/>
      <c r="Z4" s="82" t="s">
        <v>31</v>
      </c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4"/>
      <c r="AM4" s="80" t="s">
        <v>32</v>
      </c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20"/>
      <c r="BA4" s="20"/>
    </row>
    <row r="5" spans="1:53" x14ac:dyDescent="0.25">
      <c r="A5" s="27">
        <v>1</v>
      </c>
      <c r="B5" s="27" t="str">
        <f>GSD!B5</f>
        <v>CBH-12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CBH-12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CBH-12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CBH-12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>
        <v>2.524</v>
      </c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>
        <v>1.0069999999999999</v>
      </c>
      <c r="N8" s="30">
        <v>1.0069999999999999</v>
      </c>
      <c r="O8" s="30">
        <v>1.0069999999999999</v>
      </c>
      <c r="P8" s="30">
        <v>1.006</v>
      </c>
      <c r="Q8" s="30">
        <v>1.006</v>
      </c>
      <c r="R8" s="30">
        <v>1.006</v>
      </c>
      <c r="S8" s="30">
        <v>1.006</v>
      </c>
      <c r="T8" s="30">
        <v>1.0049999999999999</v>
      </c>
      <c r="U8" s="30">
        <v>1.0049999999999999</v>
      </c>
      <c r="V8" s="30">
        <v>1.0049999999999999</v>
      </c>
      <c r="W8" s="30">
        <v>1.004</v>
      </c>
      <c r="X8" s="30">
        <v>1.004</v>
      </c>
      <c r="Y8" s="30">
        <v>1.0029999999999999</v>
      </c>
      <c r="Z8" s="31">
        <v>7.1386552101094208E-2</v>
      </c>
      <c r="AA8" s="31">
        <v>5.0477915076210494E-2</v>
      </c>
      <c r="AB8" s="31">
        <v>3.5693276050547104E-2</v>
      </c>
      <c r="AC8" s="31">
        <v>2.5503247023033419E-2</v>
      </c>
      <c r="AD8" s="31">
        <v>1.8820764834795802E-2</v>
      </c>
      <c r="AE8" s="31">
        <v>1.3744743266023537E-2</v>
      </c>
      <c r="AF8" s="31">
        <v>9.7190011690733765E-3</v>
      </c>
      <c r="AG8" s="31">
        <v>6.937112795397226E-3</v>
      </c>
      <c r="AH8" s="31">
        <v>4.9052794994813454E-3</v>
      </c>
      <c r="AI8" s="31">
        <v>3.468556397698613E-3</v>
      </c>
      <c r="AJ8" s="31">
        <v>2.4753175556356099E-3</v>
      </c>
      <c r="AK8" s="31">
        <v>1.7503138291800489E-3</v>
      </c>
      <c r="AL8" s="31">
        <v>1.4420994256601192E-3</v>
      </c>
      <c r="AM8" s="32">
        <v>22.194307086613826</v>
      </c>
      <c r="AN8" s="32">
        <v>22.194307086613826</v>
      </c>
      <c r="AO8" s="32">
        <v>22.194307086613826</v>
      </c>
      <c r="AP8" s="32">
        <v>18.881971128608942</v>
      </c>
      <c r="AQ8" s="32">
        <v>18.881971128608942</v>
      </c>
      <c r="AR8" s="32">
        <v>18.881971128608942</v>
      </c>
      <c r="AS8" s="32">
        <v>18.881971128608942</v>
      </c>
      <c r="AT8" s="32">
        <v>15.56963517060332</v>
      </c>
      <c r="AU8" s="32">
        <v>15.56963517060332</v>
      </c>
      <c r="AV8" s="32">
        <v>15.56963517060332</v>
      </c>
      <c r="AW8" s="32">
        <v>12.257299212598436</v>
      </c>
      <c r="AX8" s="32">
        <v>12.257299212598436</v>
      </c>
      <c r="AY8" s="32">
        <v>8.9449632545928175</v>
      </c>
      <c r="AZ8" s="21"/>
      <c r="BA8" s="21"/>
    </row>
    <row r="9" spans="1:53" x14ac:dyDescent="0.25">
      <c r="A9" s="27">
        <v>5</v>
      </c>
      <c r="B9" s="27" t="str">
        <f t="shared" si="2"/>
        <v>CBH-12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CBH-12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CBH-12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CBH-12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CBH-12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35</v>
      </c>
      <c r="B1" s="17" t="s">
        <v>36</v>
      </c>
      <c r="C1" s="17" t="s">
        <v>37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C13" sqref="C13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40</v>
      </c>
      <c r="B2" s="26" t="s">
        <v>5</v>
      </c>
      <c r="C2" s="26" t="s">
        <v>9</v>
      </c>
      <c r="D2" s="85" t="s">
        <v>41</v>
      </c>
      <c r="E2" s="85"/>
      <c r="F2" s="85"/>
      <c r="G2" s="85"/>
      <c r="H2" s="85"/>
      <c r="I2" s="85"/>
      <c r="J2" s="85"/>
      <c r="K2" s="85"/>
      <c r="L2" s="85" t="s">
        <v>42</v>
      </c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6" t="s">
        <v>43</v>
      </c>
      <c r="Z2" s="86"/>
      <c r="AA2" s="86"/>
      <c r="AB2" s="86"/>
      <c r="AC2" s="86"/>
      <c r="AD2" s="86"/>
      <c r="AE2" s="86"/>
      <c r="AF2" s="86"/>
      <c r="AG2" s="85" t="s">
        <v>44</v>
      </c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26" t="s">
        <v>1</v>
      </c>
      <c r="AU2" s="26" t="s">
        <v>45</v>
      </c>
      <c r="AV2" s="26" t="s">
        <v>46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CBH-12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91.25</v>
      </c>
      <c r="Z3" s="52">
        <f>GSD!T5</f>
        <v>81.25</v>
      </c>
      <c r="AA3" s="52">
        <f>GSD!U5</f>
        <v>79.039999999999992</v>
      </c>
      <c r="AB3" s="52">
        <f>GSD!V5</f>
        <v>75.289999999999992</v>
      </c>
      <c r="AC3" s="52">
        <f>GSD!W5</f>
        <v>73.039999999999992</v>
      </c>
      <c r="AD3" s="52">
        <f>GSD!X5</f>
        <v>71.89</v>
      </c>
      <c r="AE3" s="52">
        <f>GSD!Y5</f>
        <v>65.83</v>
      </c>
      <c r="AF3" s="52">
        <f>GSD!Z5</f>
        <v>62.6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>
        <v>8.75</v>
      </c>
      <c r="AU3" s="52">
        <v>28.65</v>
      </c>
      <c r="AV3" s="52"/>
      <c r="AW3" s="52"/>
    </row>
    <row r="4" spans="1:49" s="41" customFormat="1" x14ac:dyDescent="0.25">
      <c r="A4" s="48">
        <v>2</v>
      </c>
      <c r="B4" s="48" t="str">
        <f>B3</f>
        <v>CBH-12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98.54</v>
      </c>
      <c r="Z4" s="52">
        <f>GSD!T6</f>
        <v>93.71</v>
      </c>
      <c r="AA4" s="52">
        <f>GSD!U6</f>
        <v>91.814999999999998</v>
      </c>
      <c r="AB4" s="52">
        <f>GSD!V6</f>
        <v>88.8</v>
      </c>
      <c r="AC4" s="52">
        <f>GSD!W6</f>
        <v>86.41</v>
      </c>
      <c r="AD4" s="52">
        <f>GSD!X6</f>
        <v>83.754999999999995</v>
      </c>
      <c r="AE4" s="52">
        <f>GSD!Y6</f>
        <v>69.224999999999994</v>
      </c>
      <c r="AF4" s="52">
        <f>GSD!Z6</f>
        <v>64.385000000000005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>
        <v>1.4599999999999937</v>
      </c>
      <c r="AU4" s="52">
        <v>34.155000000000001</v>
      </c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CBH-12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96.25</v>
      </c>
      <c r="Z5" s="52">
        <f>GSD!T7</f>
        <v>88.94</v>
      </c>
      <c r="AA5" s="52">
        <f>GSD!U7</f>
        <v>86.91</v>
      </c>
      <c r="AB5" s="52">
        <f>GSD!V7</f>
        <v>83.38</v>
      </c>
      <c r="AC5" s="52">
        <f>GSD!W7</f>
        <v>80.91</v>
      </c>
      <c r="AD5" s="52">
        <f>GSD!X7</f>
        <v>79.550000000000011</v>
      </c>
      <c r="AE5" s="52">
        <f>GSD!Y7</f>
        <v>71.490000000000009</v>
      </c>
      <c r="AF5" s="52">
        <f>GSD!Z7</f>
        <v>66.69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>
        <v>3.75</v>
      </c>
      <c r="AU5" s="52">
        <v>29.560000000000002</v>
      </c>
      <c r="AV5" s="52"/>
      <c r="AW5" s="52"/>
    </row>
    <row r="6" spans="1:49" s="41" customFormat="1" x14ac:dyDescent="0.25">
      <c r="A6" s="48">
        <v>4</v>
      </c>
      <c r="B6" s="48" t="str">
        <f t="shared" si="0"/>
        <v>CBH-12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7.1386552101094208E-2</v>
      </c>
      <c r="M6" s="51">
        <f>HYD!AA8</f>
        <v>5.0477915076210494E-2</v>
      </c>
      <c r="N6" s="51">
        <f>HYD!AB8</f>
        <v>3.5693276050547104E-2</v>
      </c>
      <c r="O6" s="51">
        <f>HYD!AC8</f>
        <v>2.5503247023033419E-2</v>
      </c>
      <c r="P6" s="51">
        <f>HYD!AD8</f>
        <v>1.8820764834795802E-2</v>
      </c>
      <c r="Q6" s="51">
        <f>HYD!AE8</f>
        <v>1.3744743266023537E-2</v>
      </c>
      <c r="R6" s="51">
        <f>HYD!AF8</f>
        <v>9.7190011690733765E-3</v>
      </c>
      <c r="S6" s="51">
        <f>HYD!AG8</f>
        <v>6.937112795397226E-3</v>
      </c>
      <c r="T6" s="51">
        <f>HYD!AH8</f>
        <v>4.9052794994813454E-3</v>
      </c>
      <c r="U6" s="51">
        <f>HYD!AI8</f>
        <v>3.468556397698613E-3</v>
      </c>
      <c r="V6" s="51">
        <f>HYD!AJ8</f>
        <v>2.4753175556356099E-3</v>
      </c>
      <c r="W6" s="51">
        <f>HYD!AK8</f>
        <v>1.7503138291800489E-3</v>
      </c>
      <c r="X6" s="51">
        <f>HYD!AL8</f>
        <v>1.4420994256601192E-3</v>
      </c>
      <c r="Y6" s="52">
        <f>GSD!S8</f>
        <v>97.805000000000007</v>
      </c>
      <c r="Z6" s="52">
        <f>GSD!T8</f>
        <v>97.045000000000002</v>
      </c>
      <c r="AA6" s="52">
        <f>GSD!U8</f>
        <v>96.775000000000006</v>
      </c>
      <c r="AB6" s="52">
        <f>GSD!V8</f>
        <v>95.3</v>
      </c>
      <c r="AC6" s="52">
        <f>GSD!W8</f>
        <v>93.305000000000007</v>
      </c>
      <c r="AD6" s="52">
        <f>GSD!X8</f>
        <v>92.26</v>
      </c>
      <c r="AE6" s="52">
        <f>GSD!Y8</f>
        <v>81.069999999999993</v>
      </c>
      <c r="AF6" s="52">
        <f>GSD!Z8</f>
        <v>73.3</v>
      </c>
      <c r="AG6" s="52">
        <f>HYD!AM8</f>
        <v>22.194307086613826</v>
      </c>
      <c r="AH6" s="52">
        <f>HYD!AN8</f>
        <v>22.194307086613826</v>
      </c>
      <c r="AI6" s="52">
        <f>HYD!AO8</f>
        <v>22.194307086613826</v>
      </c>
      <c r="AJ6" s="52">
        <f>HYD!AP8</f>
        <v>18.881971128608942</v>
      </c>
      <c r="AK6" s="52">
        <f>HYD!AQ8</f>
        <v>18.881971128608942</v>
      </c>
      <c r="AL6" s="52">
        <f>HYD!AR8</f>
        <v>18.881971128608942</v>
      </c>
      <c r="AM6" s="52">
        <f>HYD!AS8</f>
        <v>18.881971128608942</v>
      </c>
      <c r="AN6" s="52">
        <f>HYD!AT8</f>
        <v>15.56963517060332</v>
      </c>
      <c r="AO6" s="52">
        <f>HYD!AU8</f>
        <v>15.56963517060332</v>
      </c>
      <c r="AP6" s="52">
        <f>HYD!AV8</f>
        <v>15.56963517060332</v>
      </c>
      <c r="AQ6" s="52">
        <f>HYD!AW8</f>
        <v>12.257299212598436</v>
      </c>
      <c r="AR6" s="52">
        <f>HYD!AX8</f>
        <v>12.257299212598436</v>
      </c>
      <c r="AS6" s="52">
        <f>HYD!AY8</f>
        <v>8.9449632545928175</v>
      </c>
      <c r="AT6" s="52">
        <v>2.1949999999999932</v>
      </c>
      <c r="AU6" s="52">
        <v>24.50500000000001</v>
      </c>
      <c r="AV6" s="52">
        <v>61.042700787401557</v>
      </c>
      <c r="AW6" s="52">
        <v>12.257299212598436</v>
      </c>
    </row>
    <row r="7" spans="1:49" s="41" customFormat="1" x14ac:dyDescent="0.25">
      <c r="A7" s="48">
        <v>5</v>
      </c>
      <c r="B7" s="48" t="str">
        <f t="shared" si="0"/>
        <v>CBH-12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99.54</v>
      </c>
      <c r="Z7" s="52">
        <f>GSD!T9</f>
        <v>97.36</v>
      </c>
      <c r="AA7" s="52">
        <f>GSD!U9</f>
        <v>96.24</v>
      </c>
      <c r="AB7" s="52">
        <f>GSD!V9</f>
        <v>85.92</v>
      </c>
      <c r="AC7" s="52">
        <f>GSD!W9</f>
        <v>74.009999999999991</v>
      </c>
      <c r="AD7" s="52">
        <f>GSD!X9</f>
        <v>66.460000000000008</v>
      </c>
      <c r="AE7" s="52">
        <f>GSD!Y9</f>
        <v>24.810000000000002</v>
      </c>
      <c r="AF7" s="52">
        <f>GSD!Z9</f>
        <v>17.170000000000002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>
        <v>0.45999999999999375</v>
      </c>
      <c r="AU7" s="52">
        <v>82.37</v>
      </c>
      <c r="AV7" s="52"/>
      <c r="AW7" s="52"/>
    </row>
    <row r="8" spans="1:49" s="41" customFormat="1" x14ac:dyDescent="0.25">
      <c r="A8" s="48">
        <v>6</v>
      </c>
      <c r="B8" s="48" t="str">
        <f t="shared" si="0"/>
        <v>CBH-12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99.92</v>
      </c>
      <c r="Z8" s="52">
        <f>GSD!T10</f>
        <v>99.564999999999998</v>
      </c>
      <c r="AA8" s="52">
        <f>GSD!U10</f>
        <v>99.375</v>
      </c>
      <c r="AB8" s="52">
        <f>GSD!V10</f>
        <v>98.114999999999995</v>
      </c>
      <c r="AC8" s="52">
        <f>GSD!W10</f>
        <v>96.34</v>
      </c>
      <c r="AD8" s="52">
        <f>GSD!X10</f>
        <v>94.86</v>
      </c>
      <c r="AE8" s="52">
        <f>GSD!Y10</f>
        <v>78.39</v>
      </c>
      <c r="AF8" s="52">
        <f>GSD!Z10</f>
        <v>69.835000000000008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>
        <v>7.9999999999998295E-2</v>
      </c>
      <c r="AU8" s="52">
        <v>30.084999999999994</v>
      </c>
      <c r="AV8" s="52"/>
      <c r="AW8" s="52"/>
    </row>
    <row r="9" spans="1:49" s="41" customFormat="1" x14ac:dyDescent="0.25">
      <c r="A9" s="48">
        <v>7</v>
      </c>
      <c r="B9" s="48" t="str">
        <f t="shared" si="0"/>
        <v>CBH-12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98.98</v>
      </c>
      <c r="Z9" s="52">
        <f>GSD!T11</f>
        <v>76.680000000000007</v>
      </c>
      <c r="AA9" s="52">
        <f>GSD!U11</f>
        <v>75.67</v>
      </c>
      <c r="AB9" s="52">
        <f>GSD!V11</f>
        <v>66.199999999999989</v>
      </c>
      <c r="AC9" s="52">
        <f>GSD!W11</f>
        <v>54.789999999999992</v>
      </c>
      <c r="AD9" s="52">
        <f>GSD!X11</f>
        <v>44.859999999999992</v>
      </c>
      <c r="AE9" s="52">
        <f>GSD!Y11</f>
        <v>8.2800000000000011</v>
      </c>
      <c r="AF9" s="52">
        <f>GSD!Z11</f>
        <v>2.1899999999999977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>
        <v>1.019999999999996</v>
      </c>
      <c r="AU9" s="54">
        <v>96.79</v>
      </c>
      <c r="AV9" s="54"/>
      <c r="AW9" s="54"/>
    </row>
    <row r="10" spans="1:49" s="41" customFormat="1" x14ac:dyDescent="0.25">
      <c r="A10" s="48">
        <v>8</v>
      </c>
      <c r="B10" s="48" t="str">
        <f t="shared" si="0"/>
        <v>CBH-12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99.49</v>
      </c>
      <c r="Z10" s="52">
        <f>GSD!T12</f>
        <v>97.83</v>
      </c>
      <c r="AA10" s="52">
        <f>GSD!U12</f>
        <v>96.88</v>
      </c>
      <c r="AB10" s="52">
        <f>GSD!V12</f>
        <v>82.6</v>
      </c>
      <c r="AC10" s="52">
        <f>GSD!W12</f>
        <v>69.710000000000008</v>
      </c>
      <c r="AD10" s="52">
        <f>GSD!X12</f>
        <v>61.870000000000005</v>
      </c>
      <c r="AE10" s="52">
        <f>GSD!Y12</f>
        <v>26.909999999999997</v>
      </c>
      <c r="AF10" s="52">
        <f>GSD!Z12</f>
        <v>20.67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>
        <v>0.51000000000000512</v>
      </c>
      <c r="AU10" s="54">
        <v>78.819999999999993</v>
      </c>
      <c r="AV10" s="54"/>
      <c r="AW10" s="54"/>
    </row>
    <row r="11" spans="1:49" s="41" customFormat="1" x14ac:dyDescent="0.25">
      <c r="A11" s="48">
        <v>9</v>
      </c>
      <c r="B11" s="48" t="str">
        <f t="shared" si="0"/>
        <v>CBH-12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98.73</v>
      </c>
      <c r="Z11" s="52">
        <f>GSD!T13</f>
        <v>94.78</v>
      </c>
      <c r="AA11" s="52">
        <f>GSD!U13</f>
        <v>93.31</v>
      </c>
      <c r="AB11" s="52">
        <f>GSD!V13</f>
        <v>83.710000000000008</v>
      </c>
      <c r="AC11" s="52">
        <f>GSD!W13</f>
        <v>71.91</v>
      </c>
      <c r="AD11" s="52">
        <f>GSD!X13</f>
        <v>64.42</v>
      </c>
      <c r="AE11" s="52">
        <f>GSD!Y13</f>
        <v>26.210000000000004</v>
      </c>
      <c r="AF11" s="52">
        <f>GSD!Z13</f>
        <v>20.03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>
        <v>1.269999999999996</v>
      </c>
      <c r="AU11" s="54">
        <v>78.7</v>
      </c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2026-09-18T07:42:15Z</dcterms:modified>
</cp:coreProperties>
</file>