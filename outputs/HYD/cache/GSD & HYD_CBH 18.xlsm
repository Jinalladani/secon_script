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12. Lined Canal _CH_302.342 km (CBH-18)\GSD &amp; HYD_CBH 18\"/>
    </mc:Choice>
  </mc:AlternateContent>
  <xr:revisionPtr revIDLastSave="0" documentId="13_ncr:1_{30F1E3DD-05BA-4E2D-867B-F96A72A945FF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7" l="1"/>
  <c r="I6" i="7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<sst xmlns="http://schemas.openxmlformats.org/spreadsheetml/2006/main" count="75" uniqueCount="52">
  <si>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</si>
  <si>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</si>
  <si>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</si>
  <si>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</si>
  <si>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</si>
  <si>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</si>
  <si>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</si>
  <si>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</si>
  <si>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</si>
  <si>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</si>
  <si>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</si>
  <si>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</si>
  <si>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</si>
  <si>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</si>
  <si>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</si>
  <si>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</si>
  <si>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</si>
  <si>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</si>
  <si>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</si>
  <si>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</si>
  <si>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</si>
  <si>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</si>
  <si>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</si>
  <si>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</si>
  <si>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</si>
  <si>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</si>
  <si>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</si>
  <si>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</si>
  <si>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</si>
  <si>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</si>
  <si>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</si>
  <si>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</si>
  <si>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</si>
  <si>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</si>
  <si>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</si>
  <si>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</si>
  <si>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</si>
  <si>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</si>
  <si>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</si>
  <si>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</si>
  <si>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</si>
  <si>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</si>
  <si>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</si>
  <si>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</si>
  <si>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</si>
  <si>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</si>
  <si>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</si>
  <si>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</si>
  <si>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</si>
  <si>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CBH-18</t>
  </si>
  <si>
    <t>A152</t>
  </si>
  <si>
    <t>A128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</si>
</sst>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99.52</c:v>
                </c:pt>
                <c:pt idx="1">
                  <c:v>98.71</c:v>
                </c:pt>
                <c:pt idx="2">
                  <c:v>94.36</c:v>
                </c:pt>
                <c:pt idx="3">
                  <c:v>88.45</c:v>
                </c:pt>
                <c:pt idx="4">
                  <c:v>86.36</c:v>
                </c:pt>
                <c:pt idx="5">
                  <c:v>80.539999999999992</c:v>
                </c:pt>
                <c:pt idx="6">
                  <c:v>60.72</c:v>
                </c:pt>
                <c:pt idx="7">
                  <c:v>50.28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97.295000000000002</c:v>
                </c:pt>
                <c:pt idx="1">
                  <c:v>94.805000000000007</c:v>
                </c:pt>
                <c:pt idx="2">
                  <c:v>91.805000000000007</c:v>
                </c:pt>
                <c:pt idx="3">
                  <c:v>83.644999999999996</c:v>
                </c:pt>
                <c:pt idx="4">
                  <c:v>81.89</c:v>
                </c:pt>
                <c:pt idx="5">
                  <c:v>75.795000000000002</c:v>
                </c:pt>
                <c:pt idx="6">
                  <c:v>60.844999999999992</c:v>
                </c:pt>
                <c:pt idx="7">
                  <c:v>54.390000000000008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100</c:v>
                </c:pt>
                <c:pt idx="1">
                  <c:v>99.18</c:v>
                </c:pt>
                <c:pt idx="2">
                  <c:v>98.92</c:v>
                </c:pt>
                <c:pt idx="3">
                  <c:v>98.87</c:v>
                </c:pt>
                <c:pt idx="4">
                  <c:v>98.08</c:v>
                </c:pt>
                <c:pt idx="5">
                  <c:v>97.41</c:v>
                </c:pt>
                <c:pt idx="6">
                  <c:v>92.13</c:v>
                </c:pt>
                <c:pt idx="7">
                  <c:v>84.83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99.34</c:v>
                </c:pt>
                <c:pt idx="1">
                  <c:v>97.86</c:v>
                </c:pt>
                <c:pt idx="2">
                  <c:v>94.9</c:v>
                </c:pt>
                <c:pt idx="3">
                  <c:v>88.914999999999992</c:v>
                </c:pt>
                <c:pt idx="4">
                  <c:v>86.685000000000002</c:v>
                </c:pt>
                <c:pt idx="5">
                  <c:v>76.83</c:v>
                </c:pt>
                <c:pt idx="6">
                  <c:v>58.155000000000001</c:v>
                </c:pt>
                <c:pt idx="7">
                  <c:v>51.195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99.89</c:v>
                </c:pt>
                <c:pt idx="1">
                  <c:v>99.1</c:v>
                </c:pt>
                <c:pt idx="2">
                  <c:v>97.98</c:v>
                </c:pt>
                <c:pt idx="3">
                  <c:v>95.89</c:v>
                </c:pt>
                <c:pt idx="4">
                  <c:v>95.16</c:v>
                </c:pt>
                <c:pt idx="5">
                  <c:v>92.56</c:v>
                </c:pt>
                <c:pt idx="6">
                  <c:v>78.91</c:v>
                </c:pt>
                <c:pt idx="7">
                  <c:v>72.06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99.07</c:v>
                </c:pt>
                <c:pt idx="1">
                  <c:v>97.254999999999995</c:v>
                </c:pt>
                <c:pt idx="2">
                  <c:v>93.924999999999997</c:v>
                </c:pt>
                <c:pt idx="3">
                  <c:v>87.9</c:v>
                </c:pt>
                <c:pt idx="4">
                  <c:v>85.44</c:v>
                </c:pt>
                <c:pt idx="5">
                  <c:v>76.015000000000001</c:v>
                </c:pt>
                <c:pt idx="6">
                  <c:v>50.849999999999994</c:v>
                </c:pt>
                <c:pt idx="7">
                  <c:v>41.639999999999993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94.12</c:v>
                </c:pt>
                <c:pt idx="1">
                  <c:v>89.49</c:v>
                </c:pt>
                <c:pt idx="2">
                  <c:v>83.039999999999992</c:v>
                </c:pt>
                <c:pt idx="3">
                  <c:v>77.63</c:v>
                </c:pt>
                <c:pt idx="4">
                  <c:v>76.150000000000006</c:v>
                </c:pt>
                <c:pt idx="5">
                  <c:v>72.55</c:v>
                </c:pt>
                <c:pt idx="6">
                  <c:v>67.539999999999992</c:v>
                </c:pt>
                <c:pt idx="7">
                  <c:v>66.67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99.38</c:v>
                </c:pt>
                <c:pt idx="1">
                  <c:v>98.33</c:v>
                </c:pt>
                <c:pt idx="2">
                  <c:v>97.28</c:v>
                </c:pt>
                <c:pt idx="3">
                  <c:v>92.56</c:v>
                </c:pt>
                <c:pt idx="4">
                  <c:v>89.74</c:v>
                </c:pt>
                <c:pt idx="5">
                  <c:v>76.73</c:v>
                </c:pt>
                <c:pt idx="6">
                  <c:v>44.010000000000005</c:v>
                </c:pt>
                <c:pt idx="7">
                  <c:v>30.310000000000002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98.89</c:v>
                </c:pt>
                <c:pt idx="1">
                  <c:v>97.99</c:v>
                </c:pt>
                <c:pt idx="2">
                  <c:v>96.25</c:v>
                </c:pt>
                <c:pt idx="3">
                  <c:v>91.37</c:v>
                </c:pt>
                <c:pt idx="4">
                  <c:v>88.82</c:v>
                </c:pt>
                <c:pt idx="5">
                  <c:v>77.490000000000009</c:v>
                </c:pt>
                <c:pt idx="6">
                  <c:v>47.61</c:v>
                </c:pt>
                <c:pt idx="7">
                  <c:v>35.930000000000007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99.52</c:v>
                </c:pt>
                <c:pt idx="1">
                  <c:v>98.71</c:v>
                </c:pt>
                <c:pt idx="2">
                  <c:v>94.36</c:v>
                </c:pt>
                <c:pt idx="3">
                  <c:v>88.45</c:v>
                </c:pt>
                <c:pt idx="4">
                  <c:v>86.36</c:v>
                </c:pt>
                <c:pt idx="5">
                  <c:v>80.539999999999992</c:v>
                </c:pt>
                <c:pt idx="6">
                  <c:v>60.72</c:v>
                </c:pt>
                <c:pt idx="7">
                  <c:v>50.28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97.295000000000002</c:v>
                </c:pt>
                <c:pt idx="1">
                  <c:v>94.805000000000007</c:v>
                </c:pt>
                <c:pt idx="2">
                  <c:v>91.805000000000007</c:v>
                </c:pt>
                <c:pt idx="3">
                  <c:v>83.644999999999996</c:v>
                </c:pt>
                <c:pt idx="4">
                  <c:v>81.89</c:v>
                </c:pt>
                <c:pt idx="5">
                  <c:v>75.795000000000002</c:v>
                </c:pt>
                <c:pt idx="6">
                  <c:v>60.844999999999992</c:v>
                </c:pt>
                <c:pt idx="7">
                  <c:v>54.390000000000008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100</c:v>
                </c:pt>
                <c:pt idx="1">
                  <c:v>99.18</c:v>
                </c:pt>
                <c:pt idx="2">
                  <c:v>98.92</c:v>
                </c:pt>
                <c:pt idx="3">
                  <c:v>98.87</c:v>
                </c:pt>
                <c:pt idx="4">
                  <c:v>98.08</c:v>
                </c:pt>
                <c:pt idx="5">
                  <c:v>97.41</c:v>
                </c:pt>
                <c:pt idx="6">
                  <c:v>92.13</c:v>
                </c:pt>
                <c:pt idx="7">
                  <c:v>84.83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99.34</c:v>
                </c:pt>
                <c:pt idx="1">
                  <c:v>97.86</c:v>
                </c:pt>
                <c:pt idx="2">
                  <c:v>94.9</c:v>
                </c:pt>
                <c:pt idx="3">
                  <c:v>88.914999999999992</c:v>
                </c:pt>
                <c:pt idx="4">
                  <c:v>86.685000000000002</c:v>
                </c:pt>
                <c:pt idx="5">
                  <c:v>76.83</c:v>
                </c:pt>
                <c:pt idx="6">
                  <c:v>58.155000000000001</c:v>
                </c:pt>
                <c:pt idx="7">
                  <c:v>51.195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99.89</c:v>
                </c:pt>
                <c:pt idx="1">
                  <c:v>99.1</c:v>
                </c:pt>
                <c:pt idx="2">
                  <c:v>97.98</c:v>
                </c:pt>
                <c:pt idx="3">
                  <c:v>95.89</c:v>
                </c:pt>
                <c:pt idx="4">
                  <c:v>95.16</c:v>
                </c:pt>
                <c:pt idx="5">
                  <c:v>92.56</c:v>
                </c:pt>
                <c:pt idx="6">
                  <c:v>78.91</c:v>
                </c:pt>
                <c:pt idx="7">
                  <c:v>72.06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7.0378896896011456E-2</c:v>
                </c:pt>
                <c:pt idx="9" formatCode="0.00000">
                  <c:v>4.9765395247598564E-2</c:v>
                </c:pt>
                <c:pt idx="10" formatCode="0.00000">
                  <c:v>3.5189448448005728E-2</c:v>
                </c:pt>
                <c:pt idx="11" formatCode="0.00000">
                  <c:v>2.4882697623799282E-2</c:v>
                </c:pt>
                <c:pt idx="12" formatCode="0.00000">
                  <c:v>1.830542781784765E-2</c:v>
                </c:pt>
                <c:pt idx="13" formatCode="0.00000">
                  <c:v>1.3368394320823637E-2</c:v>
                </c:pt>
                <c:pt idx="14" formatCode="0.00000">
                  <c:v>9.4528822778301245E-3</c:v>
                </c:pt>
                <c:pt idx="15" formatCode="0.00000">
                  <c:v>6.7427525667054528E-3</c:v>
                </c:pt>
                <c:pt idx="16" formatCode="0.00000">
                  <c:v>4.7678460637804237E-3</c:v>
                </c:pt>
                <c:pt idx="17" formatCode="0.00000">
                  <c:v>3.3713762833527264E-3</c:v>
                </c:pt>
                <c:pt idx="18" formatCode="0.00000">
                  <c:v>2.3839230318902119E-3</c:v>
                </c:pt>
                <c:pt idx="19" formatCode="0.00000">
                  <c:v>1.6856881416763632E-3</c:v>
                </c:pt>
                <c:pt idx="20" formatCode="0.00000">
                  <c:v>1.3882082677617268E-3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99.07</c:v>
                </c:pt>
                <c:pt idx="1">
                  <c:v>97.254999999999995</c:v>
                </c:pt>
                <c:pt idx="2">
                  <c:v>93.924999999999997</c:v>
                </c:pt>
                <c:pt idx="3">
                  <c:v>87.9</c:v>
                </c:pt>
                <c:pt idx="4">
                  <c:v>85.44</c:v>
                </c:pt>
                <c:pt idx="5">
                  <c:v>76.015000000000001</c:v>
                </c:pt>
                <c:pt idx="6">
                  <c:v>50.849999999999994</c:v>
                </c:pt>
                <c:pt idx="7">
                  <c:v>41.639999999999993</c:v>
                </c:pt>
                <c:pt idx="8">
                  <c:v>5.3634927870744438</c:v>
                </c:pt>
                <c:pt idx="9">
                  <c:v>5.3634927870744438</c:v>
                </c:pt>
                <c:pt idx="10">
                  <c:v>5.3634927870744438</c:v>
                </c:pt>
                <c:pt idx="11">
                  <c:v>5.3634927870744438</c:v>
                </c:pt>
                <c:pt idx="12">
                  <c:v>5.3634927870744438</c:v>
                </c:pt>
                <c:pt idx="13">
                  <c:v>5.3634927870744438</c:v>
                </c:pt>
                <c:pt idx="14">
                  <c:v>5.3634927870744438</c:v>
                </c:pt>
                <c:pt idx="15">
                  <c:v>2.2094246970567788</c:v>
                </c:pt>
                <c:pt idx="16">
                  <c:v>2.2094246970567788</c:v>
                </c:pt>
                <c:pt idx="17">
                  <c:v>2.2094246970567788</c:v>
                </c:pt>
                <c:pt idx="18">
                  <c:v>2.2094246970567788</c:v>
                </c:pt>
                <c:pt idx="19">
                  <c:v>2.2094246970567788</c:v>
                </c:pt>
                <c:pt idx="20">
                  <c:v>-0.94464339296018462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94.12</c:v>
                </c:pt>
                <c:pt idx="1">
                  <c:v>89.49</c:v>
                </c:pt>
                <c:pt idx="2">
                  <c:v>83.039999999999992</c:v>
                </c:pt>
                <c:pt idx="3">
                  <c:v>77.63</c:v>
                </c:pt>
                <c:pt idx="4">
                  <c:v>76.150000000000006</c:v>
                </c:pt>
                <c:pt idx="5">
                  <c:v>72.55</c:v>
                </c:pt>
                <c:pt idx="6">
                  <c:v>67.539999999999992</c:v>
                </c:pt>
                <c:pt idx="7">
                  <c:v>66.67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99.38</c:v>
                </c:pt>
                <c:pt idx="1">
                  <c:v>98.33</c:v>
                </c:pt>
                <c:pt idx="2">
                  <c:v>97.28</c:v>
                </c:pt>
                <c:pt idx="3">
                  <c:v>92.56</c:v>
                </c:pt>
                <c:pt idx="4">
                  <c:v>89.74</c:v>
                </c:pt>
                <c:pt idx="5">
                  <c:v>76.73</c:v>
                </c:pt>
                <c:pt idx="6">
                  <c:v>44.010000000000005</c:v>
                </c:pt>
                <c:pt idx="7">
                  <c:v>30.310000000000002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98.89</c:v>
                </c:pt>
                <c:pt idx="1">
                  <c:v>97.99</c:v>
                </c:pt>
                <c:pt idx="2">
                  <c:v>96.25</c:v>
                </c:pt>
                <c:pt idx="3">
                  <c:v>91.37</c:v>
                </c:pt>
                <c:pt idx="4">
                  <c:v>88.82</c:v>
                </c:pt>
                <c:pt idx="5">
                  <c:v>77.490000000000009</c:v>
                </c:pt>
                <c:pt idx="6">
                  <c:v>47.61</c:v>
                </c:pt>
                <c:pt idx="7">
                  <c:v>35.930000000000007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M5" sqref="M5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49</v>
      </c>
      <c r="C5" s="71"/>
      <c r="D5" s="72"/>
      <c r="E5" s="46" t="s">
        <v>22</v>
      </c>
      <c r="F5" s="24">
        <v>0.5</v>
      </c>
      <c r="G5" s="46">
        <v>133</v>
      </c>
      <c r="H5" s="33">
        <v>100</v>
      </c>
      <c r="I5" s="24">
        <f>H5-SUM(J5:Q5)</f>
        <v>50.28</v>
      </c>
      <c r="J5" s="24">
        <v>0.48</v>
      </c>
      <c r="K5" s="24">
        <v>0.81</v>
      </c>
      <c r="L5" s="24">
        <v>4.3499999999999996</v>
      </c>
      <c r="M5" s="24">
        <v>5.91</v>
      </c>
      <c r="N5" s="24">
        <v>2.09</v>
      </c>
      <c r="O5" s="24">
        <v>5.82</v>
      </c>
      <c r="P5" s="24">
        <v>19.82</v>
      </c>
      <c r="Q5" s="24">
        <v>10.44</v>
      </c>
      <c r="R5" s="10"/>
      <c r="S5" s="11">
        <f t="shared" ref="S5:S13" si="0">((H5-(SUM(J5)))/H5)*100</f>
        <v>99.52</v>
      </c>
      <c r="T5" s="11">
        <f t="shared" ref="T5:T13" si="1">((H5-(SUM(J5:K5)))/H5)*100</f>
        <v>98.71</v>
      </c>
      <c r="U5" s="11">
        <f t="shared" ref="U5:U13" si="2">((H5-(SUM(J5:L5)))/H5)*100</f>
        <v>94.36</v>
      </c>
      <c r="V5" s="11">
        <f t="shared" ref="V5:V13" si="3">((H5-(SUM(J5:M5)))/H5)*100</f>
        <v>88.45</v>
      </c>
      <c r="W5" s="11">
        <f t="shared" ref="W5:W13" si="4">((H5-(SUM(J5:N5)))/H5)*100</f>
        <v>86.36</v>
      </c>
      <c r="X5" s="11">
        <f t="shared" ref="X5:X13" si="5">((H5-(SUM(J5:O5)))/H5)*100</f>
        <v>80.539999999999992</v>
      </c>
      <c r="Y5" s="11">
        <f t="shared" ref="Y5:Y13" si="6">((H5-(SUM(J5:P5)))/H5)*100</f>
        <v>60.72</v>
      </c>
      <c r="Z5" s="11">
        <f t="shared" ref="Z5:Z13" si="7">((H5-(SUM(J5:Q5)))/H5)*100</f>
        <v>50.28</v>
      </c>
      <c r="AA5" s="11">
        <f t="shared" ref="AA5:AA13" si="8">100-S5</f>
        <v>0.48000000000000398</v>
      </c>
      <c r="AB5" s="11">
        <f t="shared" ref="AB5:AB13" si="9">S5-Z5</f>
        <v>49.239999999999995</v>
      </c>
      <c r="AC5" s="11">
        <f t="shared" ref="AC5:AC13" si="10">Z5</f>
        <v>50.28</v>
      </c>
    </row>
    <row r="6" spans="1:29" ht="30" customHeight="1" x14ac:dyDescent="0.25">
      <c r="A6" s="9">
        <v>2</v>
      </c>
      <c r="B6" s="71"/>
      <c r="C6" s="71"/>
      <c r="D6" s="72"/>
      <c r="E6" s="46" t="s">
        <v>48</v>
      </c>
      <c r="F6" s="24">
        <v>1.5</v>
      </c>
      <c r="G6" s="46">
        <v>141</v>
      </c>
      <c r="H6" s="55">
        <v>200</v>
      </c>
      <c r="I6" s="24">
        <f t="shared" ref="I6:I13" si="11">H6-SUM(J6:Q6)</f>
        <v>108.78</v>
      </c>
      <c r="J6" s="24">
        <v>5.41</v>
      </c>
      <c r="K6" s="24">
        <v>4.9800000000000004</v>
      </c>
      <c r="L6" s="24">
        <v>6</v>
      </c>
      <c r="M6" s="56">
        <v>16.32</v>
      </c>
      <c r="N6" s="24">
        <v>3.51</v>
      </c>
      <c r="O6" s="24">
        <v>12.19</v>
      </c>
      <c r="P6" s="24">
        <v>29.9</v>
      </c>
      <c r="Q6" s="56">
        <v>12.91</v>
      </c>
      <c r="R6" s="10"/>
      <c r="S6" s="11">
        <f t="shared" si="0"/>
        <v>97.295000000000002</v>
      </c>
      <c r="T6" s="11">
        <f t="shared" si="1"/>
        <v>94.805000000000007</v>
      </c>
      <c r="U6" s="11">
        <f t="shared" si="2"/>
        <v>91.805000000000007</v>
      </c>
      <c r="V6" s="11">
        <f t="shared" si="3"/>
        <v>83.644999999999996</v>
      </c>
      <c r="W6" s="11">
        <f t="shared" si="4"/>
        <v>81.89</v>
      </c>
      <c r="X6" s="11">
        <f t="shared" si="5"/>
        <v>75.795000000000002</v>
      </c>
      <c r="Y6" s="11">
        <f t="shared" si="6"/>
        <v>60.844999999999992</v>
      </c>
      <c r="Z6" s="11">
        <f t="shared" si="7"/>
        <v>54.390000000000008</v>
      </c>
      <c r="AA6" s="11">
        <f t="shared" si="8"/>
        <v>2.7049999999999983</v>
      </c>
      <c r="AB6" s="11">
        <f t="shared" si="9"/>
        <v>42.904999999999994</v>
      </c>
      <c r="AC6" s="11">
        <f t="shared" si="10"/>
        <v>54.390000000000008</v>
      </c>
    </row>
    <row r="7" spans="1:29" ht="30" customHeight="1" x14ac:dyDescent="0.25">
      <c r="A7" s="9">
        <v>3</v>
      </c>
      <c r="B7" s="71"/>
      <c r="C7" s="71"/>
      <c r="D7" s="72"/>
      <c r="E7" s="46" t="s">
        <v>22</v>
      </c>
      <c r="F7" s="24">
        <v>3.5</v>
      </c>
      <c r="G7" s="46">
        <v>0</v>
      </c>
      <c r="H7" s="55">
        <v>100</v>
      </c>
      <c r="I7" s="24">
        <f t="shared" si="11"/>
        <v>84.83</v>
      </c>
      <c r="J7" s="24">
        <v>0</v>
      </c>
      <c r="K7" s="24">
        <v>0.82</v>
      </c>
      <c r="L7" s="24">
        <v>0.26</v>
      </c>
      <c r="M7" s="24">
        <v>0.05</v>
      </c>
      <c r="N7" s="24">
        <v>0.79</v>
      </c>
      <c r="O7" s="24">
        <v>0.67</v>
      </c>
      <c r="P7" s="24">
        <v>5.28</v>
      </c>
      <c r="Q7" s="24">
        <v>7.3</v>
      </c>
      <c r="R7" s="10"/>
      <c r="S7" s="11">
        <f t="shared" si="0"/>
        <v>100</v>
      </c>
      <c r="T7" s="11">
        <f t="shared" si="1"/>
        <v>99.18</v>
      </c>
      <c r="U7" s="11">
        <f t="shared" si="2"/>
        <v>98.92</v>
      </c>
      <c r="V7" s="11">
        <f t="shared" si="3"/>
        <v>98.87</v>
      </c>
      <c r="W7" s="11">
        <f t="shared" si="4"/>
        <v>98.08</v>
      </c>
      <c r="X7" s="11">
        <f t="shared" si="5"/>
        <v>97.41</v>
      </c>
      <c r="Y7" s="11">
        <f t="shared" si="6"/>
        <v>92.13</v>
      </c>
      <c r="Z7" s="11">
        <f t="shared" si="7"/>
        <v>84.83</v>
      </c>
      <c r="AA7" s="11">
        <f t="shared" si="8"/>
        <v>0</v>
      </c>
      <c r="AB7" s="11">
        <f t="shared" si="9"/>
        <v>15.170000000000002</v>
      </c>
      <c r="AC7" s="11">
        <f t="shared" si="10"/>
        <v>84.83</v>
      </c>
    </row>
    <row r="8" spans="1:29" ht="30" customHeight="1" x14ac:dyDescent="0.25">
      <c r="A8" s="9">
        <v>4</v>
      </c>
      <c r="B8" s="71"/>
      <c r="C8" s="71"/>
      <c r="D8" s="72"/>
      <c r="E8" s="46" t="s">
        <v>48</v>
      </c>
      <c r="F8" s="24">
        <v>4.5</v>
      </c>
      <c r="G8" s="46">
        <v>145</v>
      </c>
      <c r="H8" s="55">
        <v>200</v>
      </c>
      <c r="I8" s="24">
        <f t="shared" si="11"/>
        <v>102.39</v>
      </c>
      <c r="J8" s="24">
        <v>1.32</v>
      </c>
      <c r="K8" s="24">
        <v>2.96</v>
      </c>
      <c r="L8" s="24">
        <v>5.92</v>
      </c>
      <c r="M8" s="24">
        <v>11.97</v>
      </c>
      <c r="N8" s="24">
        <v>4.46</v>
      </c>
      <c r="O8" s="24">
        <v>19.71</v>
      </c>
      <c r="P8" s="24">
        <v>37.35</v>
      </c>
      <c r="Q8" s="24">
        <v>13.92</v>
      </c>
      <c r="R8" s="10"/>
      <c r="S8" s="11">
        <f t="shared" si="0"/>
        <v>99.34</v>
      </c>
      <c r="T8" s="11">
        <f t="shared" si="1"/>
        <v>97.86</v>
      </c>
      <c r="U8" s="11">
        <f t="shared" si="2"/>
        <v>94.9</v>
      </c>
      <c r="V8" s="11">
        <f t="shared" si="3"/>
        <v>88.914999999999992</v>
      </c>
      <c r="W8" s="11">
        <f t="shared" si="4"/>
        <v>86.685000000000002</v>
      </c>
      <c r="X8" s="11">
        <f t="shared" si="5"/>
        <v>76.83</v>
      </c>
      <c r="Y8" s="11">
        <f t="shared" si="6"/>
        <v>58.155000000000001</v>
      </c>
      <c r="Z8" s="11">
        <f t="shared" si="7"/>
        <v>51.195</v>
      </c>
      <c r="AA8" s="11">
        <f t="shared" si="8"/>
        <v>0.65999999999999659</v>
      </c>
      <c r="AB8" s="11">
        <f t="shared" si="9"/>
        <v>48.145000000000003</v>
      </c>
      <c r="AC8" s="11">
        <f t="shared" si="10"/>
        <v>51.195</v>
      </c>
    </row>
    <row r="9" spans="1:29" ht="30" customHeight="1" x14ac:dyDescent="0.25">
      <c r="A9" s="9">
        <v>5</v>
      </c>
      <c r="B9" s="71"/>
      <c r="C9" s="71"/>
      <c r="D9" s="72"/>
      <c r="E9" s="46" t="s">
        <v>22</v>
      </c>
      <c r="F9" s="24">
        <v>6.5</v>
      </c>
      <c r="G9" s="46">
        <v>139</v>
      </c>
      <c r="H9" s="55">
        <v>100</v>
      </c>
      <c r="I9" s="24">
        <f t="shared" si="11"/>
        <v>72.06</v>
      </c>
      <c r="J9" s="24">
        <v>0.11</v>
      </c>
      <c r="K9" s="24">
        <v>0.79</v>
      </c>
      <c r="L9" s="24">
        <v>1.1200000000000001</v>
      </c>
      <c r="M9" s="24">
        <v>2.09</v>
      </c>
      <c r="N9" s="24">
        <v>0.73</v>
      </c>
      <c r="O9" s="24">
        <v>2.6</v>
      </c>
      <c r="P9" s="24">
        <v>13.65</v>
      </c>
      <c r="Q9" s="24">
        <v>6.85</v>
      </c>
      <c r="R9" s="10"/>
      <c r="S9" s="11">
        <f t="shared" si="0"/>
        <v>99.89</v>
      </c>
      <c r="T9" s="11">
        <f t="shared" si="1"/>
        <v>99.1</v>
      </c>
      <c r="U9" s="11">
        <f t="shared" si="2"/>
        <v>97.98</v>
      </c>
      <c r="V9" s="11">
        <f t="shared" si="3"/>
        <v>95.89</v>
      </c>
      <c r="W9" s="11">
        <f t="shared" si="4"/>
        <v>95.16</v>
      </c>
      <c r="X9" s="11">
        <f>((H9-(SUM(J9:O9)))/H9)*100</f>
        <v>92.56</v>
      </c>
      <c r="Y9" s="11">
        <f t="shared" si="6"/>
        <v>78.91</v>
      </c>
      <c r="Z9" s="11">
        <f t="shared" si="7"/>
        <v>72.06</v>
      </c>
      <c r="AA9" s="11">
        <f t="shared" si="8"/>
        <v>0.10999999999999943</v>
      </c>
      <c r="AB9" s="11">
        <f t="shared" si="9"/>
        <v>27.83</v>
      </c>
      <c r="AC9" s="11">
        <f t="shared" si="10"/>
        <v>72.06</v>
      </c>
    </row>
    <row r="10" spans="1:29" s="34" customFormat="1" ht="30" customHeight="1" x14ac:dyDescent="0.25">
      <c r="A10" s="42">
        <v>6</v>
      </c>
      <c r="B10" s="71"/>
      <c r="C10" s="71"/>
      <c r="D10" s="72"/>
      <c r="E10" s="46" t="s">
        <v>48</v>
      </c>
      <c r="F10" s="43">
        <v>7.5</v>
      </c>
      <c r="G10" s="47">
        <v>101</v>
      </c>
      <c r="H10" s="55">
        <v>200</v>
      </c>
      <c r="I10" s="24">
        <f t="shared" si="11"/>
        <v>83.279999999999987</v>
      </c>
      <c r="J10" s="43">
        <v>1.86</v>
      </c>
      <c r="K10" s="43">
        <v>3.63</v>
      </c>
      <c r="L10" s="43">
        <v>6.66</v>
      </c>
      <c r="M10" s="43">
        <v>12.05</v>
      </c>
      <c r="N10" s="43">
        <v>4.92</v>
      </c>
      <c r="O10" s="43">
        <v>18.850000000000001</v>
      </c>
      <c r="P10" s="43">
        <v>50.33</v>
      </c>
      <c r="Q10" s="43">
        <v>18.420000000000002</v>
      </c>
      <c r="R10" s="44"/>
      <c r="S10" s="45">
        <f t="shared" si="0"/>
        <v>99.07</v>
      </c>
      <c r="T10" s="45">
        <f t="shared" si="1"/>
        <v>97.254999999999995</v>
      </c>
      <c r="U10" s="45">
        <f t="shared" si="2"/>
        <v>93.924999999999997</v>
      </c>
      <c r="V10" s="45">
        <f t="shared" si="3"/>
        <v>87.9</v>
      </c>
      <c r="W10" s="45">
        <f t="shared" si="4"/>
        <v>85.44</v>
      </c>
      <c r="X10" s="45">
        <f t="shared" si="5"/>
        <v>76.015000000000001</v>
      </c>
      <c r="Y10" s="45">
        <f t="shared" si="6"/>
        <v>50.849999999999994</v>
      </c>
      <c r="Z10" s="45">
        <f t="shared" si="7"/>
        <v>41.639999999999993</v>
      </c>
      <c r="AA10" s="45">
        <f t="shared" si="8"/>
        <v>0.93000000000000682</v>
      </c>
      <c r="AB10" s="45">
        <f t="shared" si="9"/>
        <v>57.43</v>
      </c>
      <c r="AC10" s="45">
        <f t="shared" si="10"/>
        <v>41.639999999999993</v>
      </c>
    </row>
    <row r="11" spans="1:29" ht="30" customHeight="1" x14ac:dyDescent="0.25">
      <c r="A11" s="9">
        <v>7</v>
      </c>
      <c r="B11" s="71"/>
      <c r="C11" s="71"/>
      <c r="D11" s="72"/>
      <c r="E11" s="46" t="s">
        <v>48</v>
      </c>
      <c r="F11" s="24">
        <v>10.5</v>
      </c>
      <c r="G11" s="46" t="s">
        <v>50</v>
      </c>
      <c r="H11" s="55">
        <v>100</v>
      </c>
      <c r="I11" s="24">
        <f t="shared" si="11"/>
        <v>66.67</v>
      </c>
      <c r="J11" s="24">
        <v>5.88</v>
      </c>
      <c r="K11" s="24">
        <v>4.63</v>
      </c>
      <c r="L11" s="24">
        <v>6.45</v>
      </c>
      <c r="M11" s="24">
        <v>5.41</v>
      </c>
      <c r="N11" s="24">
        <v>1.48</v>
      </c>
      <c r="O11" s="24">
        <v>3.6</v>
      </c>
      <c r="P11" s="24">
        <v>5.01</v>
      </c>
      <c r="Q11" s="24">
        <v>0.87</v>
      </c>
      <c r="R11" s="10"/>
      <c r="S11" s="11">
        <f t="shared" si="0"/>
        <v>94.12</v>
      </c>
      <c r="T11" s="11">
        <f t="shared" si="1"/>
        <v>89.49</v>
      </c>
      <c r="U11" s="11">
        <f t="shared" si="2"/>
        <v>83.039999999999992</v>
      </c>
      <c r="V11" s="11">
        <f t="shared" si="3"/>
        <v>77.63</v>
      </c>
      <c r="W11" s="11">
        <f t="shared" si="4"/>
        <v>76.150000000000006</v>
      </c>
      <c r="X11" s="11">
        <f t="shared" si="5"/>
        <v>72.55</v>
      </c>
      <c r="Y11" s="11">
        <f t="shared" si="6"/>
        <v>67.539999999999992</v>
      </c>
      <c r="Z11" s="11">
        <f t="shared" si="7"/>
        <v>66.67</v>
      </c>
      <c r="AA11" s="11">
        <f t="shared" si="8"/>
        <v>5.8799999999999955</v>
      </c>
      <c r="AB11" s="11">
        <f t="shared" si="9"/>
        <v>27.450000000000003</v>
      </c>
      <c r="AC11" s="11">
        <f t="shared" si="10"/>
        <v>66.67</v>
      </c>
    </row>
    <row r="12" spans="1:29" ht="30" customHeight="1" x14ac:dyDescent="0.25">
      <c r="A12" s="9">
        <v>8</v>
      </c>
      <c r="B12" s="71"/>
      <c r="C12" s="71"/>
      <c r="D12" s="72"/>
      <c r="E12" s="46" t="s">
        <v>22</v>
      </c>
      <c r="F12" s="24">
        <v>13.5</v>
      </c>
      <c r="G12" s="46">
        <v>64</v>
      </c>
      <c r="H12" s="55">
        <v>100</v>
      </c>
      <c r="I12" s="24">
        <f t="shared" si="11"/>
        <v>30.310000000000002</v>
      </c>
      <c r="J12" s="24">
        <v>0.62</v>
      </c>
      <c r="K12" s="24">
        <v>1.05</v>
      </c>
      <c r="L12" s="24">
        <v>1.05</v>
      </c>
      <c r="M12" s="24">
        <v>4.72</v>
      </c>
      <c r="N12" s="24">
        <v>2.82</v>
      </c>
      <c r="O12" s="24">
        <v>13.01</v>
      </c>
      <c r="P12" s="24">
        <v>32.72</v>
      </c>
      <c r="Q12" s="24">
        <v>13.7</v>
      </c>
      <c r="R12" s="10"/>
      <c r="S12" s="11">
        <f t="shared" si="0"/>
        <v>99.38</v>
      </c>
      <c r="T12" s="11">
        <f t="shared" si="1"/>
        <v>98.33</v>
      </c>
      <c r="U12" s="11">
        <f t="shared" si="2"/>
        <v>97.28</v>
      </c>
      <c r="V12" s="11">
        <f t="shared" si="3"/>
        <v>92.56</v>
      </c>
      <c r="W12" s="11">
        <f t="shared" si="4"/>
        <v>89.74</v>
      </c>
      <c r="X12" s="11">
        <f t="shared" si="5"/>
        <v>76.73</v>
      </c>
      <c r="Y12" s="11">
        <f t="shared" si="6"/>
        <v>44.010000000000005</v>
      </c>
      <c r="Z12" s="11">
        <f t="shared" si="7"/>
        <v>30.310000000000002</v>
      </c>
      <c r="AA12" s="11">
        <f t="shared" si="8"/>
        <v>0.62000000000000455</v>
      </c>
      <c r="AB12" s="11">
        <f t="shared" si="9"/>
        <v>69.069999999999993</v>
      </c>
      <c r="AC12" s="11">
        <f t="shared" si="10"/>
        <v>30.310000000000002</v>
      </c>
    </row>
    <row r="13" spans="1:29" ht="30" customHeight="1" x14ac:dyDescent="0.25">
      <c r="A13" s="9">
        <v>9</v>
      </c>
      <c r="B13" s="71"/>
      <c r="C13" s="71"/>
      <c r="D13" s="72"/>
      <c r="E13" s="46" t="s">
        <v>22</v>
      </c>
      <c r="F13" s="24">
        <v>15</v>
      </c>
      <c r="G13" s="46" t="s">
        <v>51</v>
      </c>
      <c r="H13" s="55">
        <v>100</v>
      </c>
      <c r="I13" s="24">
        <f t="shared" si="11"/>
        <v>35.930000000000007</v>
      </c>
      <c r="J13" s="24">
        <v>1.1100000000000001</v>
      </c>
      <c r="K13" s="24">
        <v>0.9</v>
      </c>
      <c r="L13" s="24">
        <v>1.74</v>
      </c>
      <c r="M13" s="24">
        <v>4.88</v>
      </c>
      <c r="N13" s="24">
        <v>2.5499999999999998</v>
      </c>
      <c r="O13" s="24">
        <v>11.33</v>
      </c>
      <c r="P13" s="24">
        <v>29.88</v>
      </c>
      <c r="Q13" s="24">
        <v>11.68</v>
      </c>
      <c r="R13" s="10"/>
      <c r="S13" s="11">
        <f t="shared" si="0"/>
        <v>98.89</v>
      </c>
      <c r="T13" s="11">
        <f t="shared" si="1"/>
        <v>97.99</v>
      </c>
      <c r="U13" s="11">
        <f t="shared" si="2"/>
        <v>96.25</v>
      </c>
      <c r="V13" s="11">
        <f t="shared" si="3"/>
        <v>91.37</v>
      </c>
      <c r="W13" s="11">
        <f t="shared" si="4"/>
        <v>88.82</v>
      </c>
      <c r="X13" s="11">
        <f t="shared" si="5"/>
        <v>77.490000000000009</v>
      </c>
      <c r="Y13" s="11">
        <f t="shared" si="6"/>
        <v>47.61</v>
      </c>
      <c r="Z13" s="11">
        <f t="shared" si="7"/>
        <v>35.930000000000007</v>
      </c>
      <c r="AA13" s="11">
        <f t="shared" si="8"/>
        <v>1.1099999999999994</v>
      </c>
      <c r="AB13" s="11">
        <f t="shared" si="9"/>
        <v>62.959999999999994</v>
      </c>
      <c r="AC13" s="11">
        <f t="shared" si="10"/>
        <v>35.930000000000007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F1" zoomScale="145" zoomScaleNormal="145" zoomScaleSheetLayoutView="145" workbookViewId="0">
      <selection activeCell="P9" sqref="P9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CBH-18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CBH-18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CBH-18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CBH-18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CBH-18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CBH-18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>
        <v>2.7330000000000001</v>
      </c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>
        <v>1.002</v>
      </c>
      <c r="N10" s="38">
        <v>1.002</v>
      </c>
      <c r="O10" s="38">
        <v>1.002</v>
      </c>
      <c r="P10" s="38">
        <v>1.002</v>
      </c>
      <c r="Q10" s="38">
        <v>1.002</v>
      </c>
      <c r="R10" s="38">
        <v>1.002</v>
      </c>
      <c r="S10" s="38">
        <v>1.002</v>
      </c>
      <c r="T10" s="38">
        <v>1.0009999999999999</v>
      </c>
      <c r="U10" s="38">
        <v>1.0009999999999999</v>
      </c>
      <c r="V10" s="38">
        <v>1.0009999999999999</v>
      </c>
      <c r="W10" s="38">
        <v>1.0009999999999999</v>
      </c>
      <c r="X10" s="38">
        <v>1.0009999999999999</v>
      </c>
      <c r="Y10" s="38">
        <v>1</v>
      </c>
      <c r="Z10" s="39">
        <v>7.0378896896011456E-2</v>
      </c>
      <c r="AA10" s="39">
        <v>4.9765395247598564E-2</v>
      </c>
      <c r="AB10" s="39">
        <v>3.5189448448005728E-2</v>
      </c>
      <c r="AC10" s="39">
        <v>2.4882697623799282E-2</v>
      </c>
      <c r="AD10" s="39">
        <v>1.830542781784765E-2</v>
      </c>
      <c r="AE10" s="39">
        <v>1.3368394320823637E-2</v>
      </c>
      <c r="AF10" s="39">
        <v>9.4528822778301245E-3</v>
      </c>
      <c r="AG10" s="39">
        <v>6.7427525667054528E-3</v>
      </c>
      <c r="AH10" s="39">
        <v>4.7678460637804237E-3</v>
      </c>
      <c r="AI10" s="39">
        <v>3.3713762833527264E-3</v>
      </c>
      <c r="AJ10" s="39">
        <v>2.3839230318902119E-3</v>
      </c>
      <c r="AK10" s="39">
        <v>1.6856881416763632E-3</v>
      </c>
      <c r="AL10" s="39">
        <v>1.3882082677617268E-3</v>
      </c>
      <c r="AM10" s="36">
        <v>5.3634927870744438</v>
      </c>
      <c r="AN10" s="36">
        <v>5.3634927870744438</v>
      </c>
      <c r="AO10" s="36">
        <v>5.3634927870744438</v>
      </c>
      <c r="AP10" s="36">
        <v>5.3634927870744438</v>
      </c>
      <c r="AQ10" s="36">
        <v>5.3634927870744438</v>
      </c>
      <c r="AR10" s="36">
        <v>5.3634927870744438</v>
      </c>
      <c r="AS10" s="36">
        <v>5.3634927870744438</v>
      </c>
      <c r="AT10" s="36">
        <v>2.2094246970567788</v>
      </c>
      <c r="AU10" s="36">
        <v>2.2094246970567788</v>
      </c>
      <c r="AV10" s="36">
        <v>2.2094246970567788</v>
      </c>
      <c r="AW10" s="36">
        <v>2.2094246970567788</v>
      </c>
      <c r="AX10" s="36">
        <v>2.2094246970567788</v>
      </c>
      <c r="AY10" s="36">
        <v>-0.94464339296018462</v>
      </c>
      <c r="AZ10" s="40"/>
      <c r="BA10" s="40"/>
    </row>
    <row r="11" spans="1:53" s="41" customFormat="1" x14ac:dyDescent="0.25">
      <c r="A11" s="27">
        <v>7</v>
      </c>
      <c r="B11" s="27" t="str">
        <f t="shared" si="2"/>
        <v>CBH-18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CBH-18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CBH-18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D1" zoomScale="130" zoomScaleNormal="130" workbookViewId="0">
      <selection activeCell="AP13" sqref="AP13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CBH-18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99.52</v>
      </c>
      <c r="Z3" s="52">
        <f>GSD!T5</f>
        <v>98.71</v>
      </c>
      <c r="AA3" s="52">
        <f>GSD!U5</f>
        <v>94.36</v>
      </c>
      <c r="AB3" s="52">
        <f>GSD!V5</f>
        <v>88.45</v>
      </c>
      <c r="AC3" s="52">
        <f>GSD!W5</f>
        <v>86.36</v>
      </c>
      <c r="AD3" s="52">
        <f>GSD!X5</f>
        <v>80.539999999999992</v>
      </c>
      <c r="AE3" s="52">
        <f>GSD!Y5</f>
        <v>60.72</v>
      </c>
      <c r="AF3" s="52">
        <f>GSD!Z5</f>
        <v>50.28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>
        <v>0.48000000000000398</v>
      </c>
      <c r="AU3" s="52">
        <v>49.239999999999995</v>
      </c>
      <c r="AV3" s="52"/>
      <c r="AW3" s="52"/>
    </row>
    <row r="4" spans="1:49" s="41" customFormat="1" x14ac:dyDescent="0.25">
      <c r="A4" s="48">
        <v>2</v>
      </c>
      <c r="B4" s="48" t="str">
        <f>B3</f>
        <v>CBH-18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97.295000000000002</v>
      </c>
      <c r="Z4" s="52">
        <f>GSD!T6</f>
        <v>94.805000000000007</v>
      </c>
      <c r="AA4" s="52">
        <f>GSD!U6</f>
        <v>91.805000000000007</v>
      </c>
      <c r="AB4" s="52">
        <f>GSD!V6</f>
        <v>83.644999999999996</v>
      </c>
      <c r="AC4" s="52">
        <f>GSD!W6</f>
        <v>81.89</v>
      </c>
      <c r="AD4" s="52">
        <f>GSD!X6</f>
        <v>75.795000000000002</v>
      </c>
      <c r="AE4" s="52">
        <f>GSD!Y6</f>
        <v>60.844999999999992</v>
      </c>
      <c r="AF4" s="52">
        <f>GSD!Z6</f>
        <v>54.390000000000008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>
        <v>2.7049999999999983</v>
      </c>
      <c r="AU4" s="52">
        <v>42.904999999999994</v>
      </c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CBH-18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100</v>
      </c>
      <c r="Z5" s="52">
        <f>GSD!T7</f>
        <v>99.18</v>
      </c>
      <c r="AA5" s="52">
        <f>GSD!U7</f>
        <v>98.92</v>
      </c>
      <c r="AB5" s="52">
        <f>GSD!V7</f>
        <v>98.87</v>
      </c>
      <c r="AC5" s="52">
        <f>GSD!W7</f>
        <v>98.08</v>
      </c>
      <c r="AD5" s="52">
        <f>GSD!X7</f>
        <v>97.41</v>
      </c>
      <c r="AE5" s="52">
        <f>GSD!Y7</f>
        <v>92.13</v>
      </c>
      <c r="AF5" s="52">
        <f>GSD!Z7</f>
        <v>84.83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>
        <v>0</v>
      </c>
      <c r="AU5" s="52">
        <v>15.170000000000002</v>
      </c>
      <c r="AV5" s="52"/>
      <c r="AW5" s="52"/>
    </row>
    <row r="6" spans="1:49" s="41" customFormat="1" x14ac:dyDescent="0.25">
      <c r="A6" s="48">
        <v>4</v>
      </c>
      <c r="B6" s="48" t="str">
        <f t="shared" si="0"/>
        <v>CBH-18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99.34</v>
      </c>
      <c r="Z6" s="52">
        <f>GSD!T8</f>
        <v>97.86</v>
      </c>
      <c r="AA6" s="52">
        <f>GSD!U8</f>
        <v>94.9</v>
      </c>
      <c r="AB6" s="52">
        <f>GSD!V8</f>
        <v>88.914999999999992</v>
      </c>
      <c r="AC6" s="52">
        <f>GSD!W8</f>
        <v>86.685000000000002</v>
      </c>
      <c r="AD6" s="52">
        <f>GSD!X8</f>
        <v>76.83</v>
      </c>
      <c r="AE6" s="52">
        <f>GSD!Y8</f>
        <v>58.155000000000001</v>
      </c>
      <c r="AF6" s="52">
        <f>GSD!Z8</f>
        <v>51.195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>
        <v>0.65999999999999659</v>
      </c>
      <c r="AU6" s="52">
        <v>48.145000000000003</v>
      </c>
      <c r="AV6" s="52"/>
      <c r="AW6" s="52"/>
    </row>
    <row r="7" spans="1:49" s="41" customFormat="1" x14ac:dyDescent="0.25">
      <c r="A7" s="48">
        <v>5</v>
      </c>
      <c r="B7" s="48" t="str">
        <f t="shared" si="0"/>
        <v>CBH-18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99.89</v>
      </c>
      <c r="Z7" s="52">
        <f>GSD!T9</f>
        <v>99.1</v>
      </c>
      <c r="AA7" s="52">
        <f>GSD!U9</f>
        <v>97.98</v>
      </c>
      <c r="AB7" s="52">
        <f>GSD!V9</f>
        <v>95.89</v>
      </c>
      <c r="AC7" s="52">
        <f>GSD!W9</f>
        <v>95.16</v>
      </c>
      <c r="AD7" s="52">
        <f>GSD!X9</f>
        <v>92.56</v>
      </c>
      <c r="AE7" s="52">
        <f>GSD!Y9</f>
        <v>78.91</v>
      </c>
      <c r="AF7" s="52">
        <f>GSD!Z9</f>
        <v>72.06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>
        <v>0.10999999999999943</v>
      </c>
      <c r="AU7" s="52">
        <v>27.83</v>
      </c>
      <c r="AV7" s="52"/>
      <c r="AW7" s="52"/>
    </row>
    <row r="8" spans="1:49" s="41" customFormat="1" x14ac:dyDescent="0.25">
      <c r="A8" s="48">
        <v>6</v>
      </c>
      <c r="B8" s="48" t="str">
        <f t="shared" si="0"/>
        <v>CBH-18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7.0378896896011456E-2</v>
      </c>
      <c r="M8" s="51">
        <f>HYD!AA10</f>
        <v>4.9765395247598564E-2</v>
      </c>
      <c r="N8" s="51">
        <f>HYD!AB10</f>
        <v>3.5189448448005728E-2</v>
      </c>
      <c r="O8" s="51">
        <f>HYD!AC10</f>
        <v>2.4882697623799282E-2</v>
      </c>
      <c r="P8" s="51">
        <f>HYD!AD10</f>
        <v>1.830542781784765E-2</v>
      </c>
      <c r="Q8" s="51">
        <f>HYD!AE10</f>
        <v>1.3368394320823637E-2</v>
      </c>
      <c r="R8" s="51">
        <f>HYD!AF10</f>
        <v>9.4528822778301245E-3</v>
      </c>
      <c r="S8" s="51">
        <f>HYD!AG10</f>
        <v>6.7427525667054528E-3</v>
      </c>
      <c r="T8" s="51">
        <f>HYD!AH10</f>
        <v>4.7678460637804237E-3</v>
      </c>
      <c r="U8" s="51">
        <f>HYD!AI10</f>
        <v>3.3713762833527264E-3</v>
      </c>
      <c r="V8" s="51">
        <f>HYD!AJ10</f>
        <v>2.3839230318902119E-3</v>
      </c>
      <c r="W8" s="51">
        <f>HYD!AK10</f>
        <v>1.6856881416763632E-3</v>
      </c>
      <c r="X8" s="51">
        <f>HYD!AL10</f>
        <v>1.3882082677617268E-3</v>
      </c>
      <c r="Y8" s="52">
        <f>GSD!S10</f>
        <v>99.07</v>
      </c>
      <c r="Z8" s="52">
        <f>GSD!T10</f>
        <v>97.254999999999995</v>
      </c>
      <c r="AA8" s="52">
        <f>GSD!U10</f>
        <v>93.924999999999997</v>
      </c>
      <c r="AB8" s="52">
        <f>GSD!V10</f>
        <v>87.9</v>
      </c>
      <c r="AC8" s="52">
        <f>GSD!W10</f>
        <v>85.44</v>
      </c>
      <c r="AD8" s="52">
        <f>GSD!X10</f>
        <v>76.015000000000001</v>
      </c>
      <c r="AE8" s="52">
        <f>GSD!Y10</f>
        <v>50.849999999999994</v>
      </c>
      <c r="AF8" s="52">
        <f>GSD!Z10</f>
        <v>41.639999999999993</v>
      </c>
      <c r="AG8" s="52">
        <f>HYD!AM10</f>
        <v>5.3634927870744438</v>
      </c>
      <c r="AH8" s="52">
        <f>HYD!AN10</f>
        <v>5.3634927870744438</v>
      </c>
      <c r="AI8" s="52">
        <f>HYD!AO10</f>
        <v>5.3634927870744438</v>
      </c>
      <c r="AJ8" s="52">
        <f>HYD!AP10</f>
        <v>5.3634927870744438</v>
      </c>
      <c r="AK8" s="52">
        <f>HYD!AQ10</f>
        <v>5.3634927870744438</v>
      </c>
      <c r="AL8" s="52">
        <f>HYD!AR10</f>
        <v>5.3634927870744438</v>
      </c>
      <c r="AM8" s="52">
        <f>HYD!AS10</f>
        <v>5.3634927870744438</v>
      </c>
      <c r="AN8" s="52">
        <f>HYD!AT10</f>
        <v>2.2094246970567788</v>
      </c>
      <c r="AO8" s="52">
        <f>HYD!AU10</f>
        <v>2.2094246970567788</v>
      </c>
      <c r="AP8" s="52">
        <f>HYD!AV10</f>
        <v>2.2094246970567788</v>
      </c>
      <c r="AQ8" s="52">
        <f>HYD!AW10</f>
        <v>2.2094246970567788</v>
      </c>
      <c r="AR8" s="52">
        <f>HYD!AX10</f>
        <v>2.2094246970567788</v>
      </c>
      <c r="AS8" s="52">
        <f>HYD!AY10</f>
        <v>-0.94464339296018462</v>
      </c>
      <c r="AT8" s="52">
        <v>0.93000000000000682</v>
      </c>
      <c r="AU8" s="52">
        <v>57.43</v>
      </c>
      <c r="AV8" s="52">
        <v>39.430575302943211</v>
      </c>
      <c r="AW8" s="52">
        <v>2.2094246970567788</v>
      </c>
    </row>
    <row r="9" spans="1:49" s="41" customFormat="1" x14ac:dyDescent="0.25">
      <c r="A9" s="48">
        <v>7</v>
      </c>
      <c r="B9" s="48" t="str">
        <f t="shared" si="0"/>
        <v>CBH-18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94.12</v>
      </c>
      <c r="Z9" s="52">
        <f>GSD!T11</f>
        <v>89.49</v>
      </c>
      <c r="AA9" s="52">
        <f>GSD!U11</f>
        <v>83.039999999999992</v>
      </c>
      <c r="AB9" s="52">
        <f>GSD!V11</f>
        <v>77.63</v>
      </c>
      <c r="AC9" s="52">
        <f>GSD!W11</f>
        <v>76.150000000000006</v>
      </c>
      <c r="AD9" s="52">
        <f>GSD!X11</f>
        <v>72.55</v>
      </c>
      <c r="AE9" s="52">
        <f>GSD!Y11</f>
        <v>67.539999999999992</v>
      </c>
      <c r="AF9" s="52">
        <f>GSD!Z11</f>
        <v>66.67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>
        <v>5.8799999999999955</v>
      </c>
      <c r="AU9" s="54">
        <v>27.450000000000003</v>
      </c>
      <c r="AV9" s="54"/>
      <c r="AW9" s="54"/>
    </row>
    <row r="10" spans="1:49" s="41" customFormat="1" x14ac:dyDescent="0.25">
      <c r="A10" s="48">
        <v>8</v>
      </c>
      <c r="B10" s="48" t="str">
        <f t="shared" si="0"/>
        <v>CBH-18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99.38</v>
      </c>
      <c r="Z10" s="52">
        <f>GSD!T12</f>
        <v>98.33</v>
      </c>
      <c r="AA10" s="52">
        <f>GSD!U12</f>
        <v>97.28</v>
      </c>
      <c r="AB10" s="52">
        <f>GSD!V12</f>
        <v>92.56</v>
      </c>
      <c r="AC10" s="52">
        <f>GSD!W12</f>
        <v>89.74</v>
      </c>
      <c r="AD10" s="52">
        <f>GSD!X12</f>
        <v>76.73</v>
      </c>
      <c r="AE10" s="52">
        <f>GSD!Y12</f>
        <v>44.010000000000005</v>
      </c>
      <c r="AF10" s="52">
        <f>GSD!Z12</f>
        <v>30.310000000000002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>
        <v>0.62000000000000455</v>
      </c>
      <c r="AU10" s="54">
        <v>69.069999999999993</v>
      </c>
      <c r="AV10" s="54"/>
      <c r="AW10" s="54"/>
    </row>
    <row r="11" spans="1:49" s="41" customFormat="1" x14ac:dyDescent="0.25">
      <c r="A11" s="48">
        <v>9</v>
      </c>
      <c r="B11" s="48" t="str">
        <f t="shared" si="0"/>
        <v>CBH-18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98.89</v>
      </c>
      <c r="Z11" s="52">
        <f>GSD!T13</f>
        <v>97.99</v>
      </c>
      <c r="AA11" s="52">
        <f>GSD!U13</f>
        <v>96.25</v>
      </c>
      <c r="AB11" s="52">
        <f>GSD!V13</f>
        <v>91.37</v>
      </c>
      <c r="AC11" s="52">
        <f>GSD!W13</f>
        <v>88.82</v>
      </c>
      <c r="AD11" s="52">
        <f>GSD!X13</f>
        <v>77.490000000000009</v>
      </c>
      <c r="AE11" s="52">
        <f>GSD!Y13</f>
        <v>47.61</v>
      </c>
      <c r="AF11" s="52">
        <f>GSD!Z13</f>
        <v>35.930000000000007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>
        <v>1.1099999999999994</v>
      </c>
      <c r="AU11" s="54">
        <v>62.959999999999994</v>
      </c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2026-09-18T10:07:55Z</dcterms:modified>
</cp:coreProperties>
</file>