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3\18.Ladbi Rive_CH_371.530 km (RBH-50 to RBH-52)\"/>
    </mc:Choice>
  </mc:AlternateContent>
  <xr:revisionPtr revIDLastSave="0" documentId="13_ncr:1_{3F60B19E-9731-41AA-958C-564EB467B322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4" i="7" l="1"/>
  <c r="AC14" i="7" s="1"/>
  <c r="Z15" i="7"/>
  <c r="AC15" i="7" s="1"/>
  <c r="Z16" i="7"/>
  <c r="AC16" i="7" s="1"/>
  <c r="Z17" i="7"/>
  <c r="AC17" i="7" s="1"/>
  <c r="Y14" i="7"/>
  <c r="Y15" i="7"/>
  <c r="Y16" i="7"/>
  <c r="Y17" i="7"/>
  <c r="X14" i="7"/>
  <c r="X15" i="7"/>
  <c r="X16" i="7"/>
  <c r="X17" i="7"/>
  <c r="W14" i="7"/>
  <c r="W15" i="7"/>
  <c r="W16" i="7"/>
  <c r="W17" i="7"/>
  <c r="V14" i="7"/>
  <c r="V15" i="7"/>
  <c r="V16" i="7"/>
  <c r="V17" i="7"/>
  <c r="U14" i="7"/>
  <c r="U15" i="7"/>
  <c r="U16" i="7"/>
  <c r="U17" i="7"/>
  <c r="T14" i="7"/>
  <c r="T15" i="7"/>
  <c r="T16" i="7"/>
  <c r="T17" i="7"/>
  <c r="S14" i="7"/>
  <c r="AA14" i="7" s="1"/>
  <c r="S15" i="7"/>
  <c r="S16" i="7"/>
  <c r="S17" i="7"/>
  <c r="AB17" i="7" l="1"/>
  <c r="AB16" i="7"/>
  <c r="AB15" i="7"/>
  <c r="AA16" i="7"/>
  <c r="AA15" i="7"/>
  <c r="AB14" i="7"/>
  <c r="AA17" i="7"/>
  <c r="T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<sst xmlns="http://schemas.openxmlformats.org/spreadsheetml/2006/main" count="78" uniqueCount="50">
  <si>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</si>
  <si>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</si>
  <si>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</si>
  <si>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</si>
  <si>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</si>
  <si>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</si>
  <si>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</si>
  <si>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</si>
  <si>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</si>
  <si>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</si>
  <si>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</si>
  <si>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</si>
  <si>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</si>
  <si>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</si>
  <si>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</si>
  <si>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</si>
  <si>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</si>
  <si>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</si>
  <si>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</si>
  <si>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</si>
  <si>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</si>
  <si>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</si>
  <si>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</si>
  <si>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</si>
  <si>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</si>
  <si>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</si>
  <si>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</si>
  <si>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</si>
  <si>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</si>
  <si>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</si>
  <si>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</si>
  <si>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</si>
  <si>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</si>
  <si>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</si>
  <si>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</si>
  <si>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</si>
  <si>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</si>
  <si>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</si>
  <si>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</si>
  <si>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</si>
  <si>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</si>
  <si>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</si>
  <si>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</si>
  <si>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</si>
  <si>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</si>
  <si>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</si>
  <si>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</si>
  <si>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</si>
  <si>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</si>
  <si>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RBH-50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</si>
</sst>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4" applyNumberFormat="1" applyFont="1" applyBorder="1" applyAlignment="1">
      <alignment horizontal="center" vertical="center"/>
    </xf>
    <xf numFmtId="0" fontId="1" fillId="0" borderId="1" xfId="4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98.76</c:v>
                </c:pt>
                <c:pt idx="1">
                  <c:v>98.76</c:v>
                </c:pt>
                <c:pt idx="2">
                  <c:v>98.52</c:v>
                </c:pt>
                <c:pt idx="3">
                  <c:v>87.87</c:v>
                </c:pt>
                <c:pt idx="4">
                  <c:v>80.13</c:v>
                </c:pt>
                <c:pt idx="5">
                  <c:v>67.8</c:v>
                </c:pt>
                <c:pt idx="6">
                  <c:v>55.44</c:v>
                </c:pt>
                <c:pt idx="7">
                  <c:v>47.559999999999995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100</c:v>
                </c:pt>
                <c:pt idx="1">
                  <c:v>99.674999999999997</c:v>
                </c:pt>
                <c:pt idx="2">
                  <c:v>99.424999999999997</c:v>
                </c:pt>
                <c:pt idx="3">
                  <c:v>88.38</c:v>
                </c:pt>
                <c:pt idx="4">
                  <c:v>80.5</c:v>
                </c:pt>
                <c:pt idx="5">
                  <c:v>67.83</c:v>
                </c:pt>
                <c:pt idx="6">
                  <c:v>53.61</c:v>
                </c:pt>
                <c:pt idx="7">
                  <c:v>42.89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86.39</c:v>
                </c:pt>
                <c:pt idx="1">
                  <c:v>83.44</c:v>
                </c:pt>
                <c:pt idx="2">
                  <c:v>81.59</c:v>
                </c:pt>
                <c:pt idx="3">
                  <c:v>77.150000000000006</c:v>
                </c:pt>
                <c:pt idx="4">
                  <c:v>73</c:v>
                </c:pt>
                <c:pt idx="5">
                  <c:v>60.429999999999993</c:v>
                </c:pt>
                <c:pt idx="6">
                  <c:v>45.87</c:v>
                </c:pt>
                <c:pt idx="7">
                  <c:v>40.32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96.2</c:v>
                </c:pt>
                <c:pt idx="1">
                  <c:v>94.72</c:v>
                </c:pt>
                <c:pt idx="2">
                  <c:v>93.36</c:v>
                </c:pt>
                <c:pt idx="3">
                  <c:v>87.56</c:v>
                </c:pt>
                <c:pt idx="4">
                  <c:v>82.67</c:v>
                </c:pt>
                <c:pt idx="5">
                  <c:v>69.28</c:v>
                </c:pt>
                <c:pt idx="6">
                  <c:v>53.064999999999998</c:v>
                </c:pt>
                <c:pt idx="7">
                  <c:v>42.57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5.50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99.55</c:v>
                </c:pt>
                <c:pt idx="1">
                  <c:v>98.52</c:v>
                </c:pt>
                <c:pt idx="2">
                  <c:v>97.07</c:v>
                </c:pt>
                <c:pt idx="3">
                  <c:v>94.72</c:v>
                </c:pt>
                <c:pt idx="4">
                  <c:v>92.05</c:v>
                </c:pt>
                <c:pt idx="5">
                  <c:v>83.88</c:v>
                </c:pt>
                <c:pt idx="6">
                  <c:v>57.379999999999995</c:v>
                </c:pt>
                <c:pt idx="7">
                  <c:v>38.120000000000005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99.594999999999999</c:v>
                </c:pt>
                <c:pt idx="1">
                  <c:v>99.21</c:v>
                </c:pt>
                <c:pt idx="2">
                  <c:v>98.84</c:v>
                </c:pt>
                <c:pt idx="3">
                  <c:v>86.745000000000005</c:v>
                </c:pt>
                <c:pt idx="4">
                  <c:v>80.31</c:v>
                </c:pt>
                <c:pt idx="5">
                  <c:v>67.194999999999993</c:v>
                </c:pt>
                <c:pt idx="6">
                  <c:v>51.344999999999999</c:v>
                </c:pt>
                <c:pt idx="7">
                  <c:v>38.854999999999997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99.14</c:v>
                </c:pt>
                <c:pt idx="1">
                  <c:v>97.94</c:v>
                </c:pt>
                <c:pt idx="2">
                  <c:v>96.7</c:v>
                </c:pt>
                <c:pt idx="3">
                  <c:v>92</c:v>
                </c:pt>
                <c:pt idx="4">
                  <c:v>87.23</c:v>
                </c:pt>
                <c:pt idx="5">
                  <c:v>73.98</c:v>
                </c:pt>
                <c:pt idx="6">
                  <c:v>53.890000000000008</c:v>
                </c:pt>
                <c:pt idx="7">
                  <c:v>40.93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92.99</c:v>
                </c:pt>
                <c:pt idx="1">
                  <c:v>91.33</c:v>
                </c:pt>
                <c:pt idx="2">
                  <c:v>90.07</c:v>
                </c:pt>
                <c:pt idx="3">
                  <c:v>85.25</c:v>
                </c:pt>
                <c:pt idx="4">
                  <c:v>81.14</c:v>
                </c:pt>
                <c:pt idx="5">
                  <c:v>67.789999999999992</c:v>
                </c:pt>
                <c:pt idx="6">
                  <c:v>50.09</c:v>
                </c:pt>
                <c:pt idx="7">
                  <c:v>40.86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94.84</c:v>
                </c:pt>
                <c:pt idx="1">
                  <c:v>93.22</c:v>
                </c:pt>
                <c:pt idx="2">
                  <c:v>91.62</c:v>
                </c:pt>
                <c:pt idx="3">
                  <c:v>86.9</c:v>
                </c:pt>
                <c:pt idx="4">
                  <c:v>82.6</c:v>
                </c:pt>
                <c:pt idx="5">
                  <c:v>70.509999999999991</c:v>
                </c:pt>
                <c:pt idx="6">
                  <c:v>52.560000000000009</c:v>
                </c:pt>
                <c:pt idx="7">
                  <c:v>38.650000000000006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98.76</c:v>
                </c:pt>
                <c:pt idx="1">
                  <c:v>98.76</c:v>
                </c:pt>
                <c:pt idx="2">
                  <c:v>98.52</c:v>
                </c:pt>
                <c:pt idx="3">
                  <c:v>87.87</c:v>
                </c:pt>
                <c:pt idx="4">
                  <c:v>80.13</c:v>
                </c:pt>
                <c:pt idx="5">
                  <c:v>67.8</c:v>
                </c:pt>
                <c:pt idx="6">
                  <c:v>55.44</c:v>
                </c:pt>
                <c:pt idx="7">
                  <c:v>47.559999999999995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100</c:v>
                </c:pt>
                <c:pt idx="1">
                  <c:v>99.674999999999997</c:v>
                </c:pt>
                <c:pt idx="2">
                  <c:v>99.424999999999997</c:v>
                </c:pt>
                <c:pt idx="3">
                  <c:v>88.38</c:v>
                </c:pt>
                <c:pt idx="4">
                  <c:v>80.5</c:v>
                </c:pt>
                <c:pt idx="5">
                  <c:v>67.83</c:v>
                </c:pt>
                <c:pt idx="6">
                  <c:v>53.61</c:v>
                </c:pt>
                <c:pt idx="7">
                  <c:v>42.89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86.39</c:v>
                </c:pt>
                <c:pt idx="1">
                  <c:v>83.44</c:v>
                </c:pt>
                <c:pt idx="2">
                  <c:v>81.59</c:v>
                </c:pt>
                <c:pt idx="3">
                  <c:v>77.150000000000006</c:v>
                </c:pt>
                <c:pt idx="4">
                  <c:v>73</c:v>
                </c:pt>
                <c:pt idx="5">
                  <c:v>60.429999999999993</c:v>
                </c:pt>
                <c:pt idx="6">
                  <c:v>45.87</c:v>
                </c:pt>
                <c:pt idx="7">
                  <c:v>40.32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96.2</c:v>
                </c:pt>
                <c:pt idx="1">
                  <c:v>94.72</c:v>
                </c:pt>
                <c:pt idx="2">
                  <c:v>93.36</c:v>
                </c:pt>
                <c:pt idx="3">
                  <c:v>87.56</c:v>
                </c:pt>
                <c:pt idx="4">
                  <c:v>82.67</c:v>
                </c:pt>
                <c:pt idx="5">
                  <c:v>69.28</c:v>
                </c:pt>
                <c:pt idx="6">
                  <c:v>53.064999999999998</c:v>
                </c:pt>
                <c:pt idx="7">
                  <c:v>42.57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5.50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99.55</c:v>
                </c:pt>
                <c:pt idx="1">
                  <c:v>98.52</c:v>
                </c:pt>
                <c:pt idx="2">
                  <c:v>97.07</c:v>
                </c:pt>
                <c:pt idx="3">
                  <c:v>94.72</c:v>
                </c:pt>
                <c:pt idx="4">
                  <c:v>92.05</c:v>
                </c:pt>
                <c:pt idx="5">
                  <c:v>83.88</c:v>
                </c:pt>
                <c:pt idx="6">
                  <c:v>57.379999999999995</c:v>
                </c:pt>
                <c:pt idx="7">
                  <c:v>38.120000000000005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99.594999999999999</c:v>
                </c:pt>
                <c:pt idx="1">
                  <c:v>99.21</c:v>
                </c:pt>
                <c:pt idx="2">
                  <c:v>98.84</c:v>
                </c:pt>
                <c:pt idx="3">
                  <c:v>86.745000000000005</c:v>
                </c:pt>
                <c:pt idx="4">
                  <c:v>80.31</c:v>
                </c:pt>
                <c:pt idx="5">
                  <c:v>67.194999999999993</c:v>
                </c:pt>
                <c:pt idx="6">
                  <c:v>51.344999999999999</c:v>
                </c:pt>
                <c:pt idx="7">
                  <c:v>38.854999999999997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99.14</c:v>
                </c:pt>
                <c:pt idx="1">
                  <c:v>97.94</c:v>
                </c:pt>
                <c:pt idx="2">
                  <c:v>96.7</c:v>
                </c:pt>
                <c:pt idx="3">
                  <c:v>92</c:v>
                </c:pt>
                <c:pt idx="4">
                  <c:v>87.23</c:v>
                </c:pt>
                <c:pt idx="5">
                  <c:v>73.98</c:v>
                </c:pt>
                <c:pt idx="6">
                  <c:v>53.890000000000008</c:v>
                </c:pt>
                <c:pt idx="7">
                  <c:v>40.93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92.99</c:v>
                </c:pt>
                <c:pt idx="1">
                  <c:v>91.33</c:v>
                </c:pt>
                <c:pt idx="2">
                  <c:v>90.07</c:v>
                </c:pt>
                <c:pt idx="3">
                  <c:v>85.25</c:v>
                </c:pt>
                <c:pt idx="4">
                  <c:v>81.14</c:v>
                </c:pt>
                <c:pt idx="5">
                  <c:v>67.789999999999992</c:v>
                </c:pt>
                <c:pt idx="6">
                  <c:v>50.09</c:v>
                </c:pt>
                <c:pt idx="7">
                  <c:v>40.86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94.84</c:v>
                </c:pt>
                <c:pt idx="1">
                  <c:v>93.22</c:v>
                </c:pt>
                <c:pt idx="2">
                  <c:v>91.62</c:v>
                </c:pt>
                <c:pt idx="3">
                  <c:v>86.9</c:v>
                </c:pt>
                <c:pt idx="4">
                  <c:v>82.6</c:v>
                </c:pt>
                <c:pt idx="5">
                  <c:v>70.509999999999991</c:v>
                </c:pt>
                <c:pt idx="6">
                  <c:v>52.560000000000009</c:v>
                </c:pt>
                <c:pt idx="7">
                  <c:v>38.650000000000006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7"/>
  <sheetViews>
    <sheetView tabSelected="1" view="pageBreakPreview" zoomScale="95" zoomScaleNormal="85" zoomScaleSheetLayoutView="95" zoomScalePageLayoutView="85" workbookViewId="0">
      <selection activeCell="R8" sqref="R8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0.140625" style="1" customWidth="1"/>
    <col min="10" max="18" width="7.7109375" style="1" customWidth="1"/>
    <col min="19" max="16384" width="9" style="1"/>
  </cols>
  <sheetData>
    <row r="1" spans="1:29" ht="25.15" customHeight="1">
      <c r="A1" s="43" t="s">
        <v>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29" ht="24.6" customHeight="1">
      <c r="A2" s="44" t="s">
        <v>4</v>
      </c>
      <c r="B2" s="47" t="s">
        <v>5</v>
      </c>
      <c r="C2" s="47" t="s">
        <v>6</v>
      </c>
      <c r="D2" s="47" t="s">
        <v>7</v>
      </c>
      <c r="E2" s="50" t="s">
        <v>8</v>
      </c>
      <c r="F2" s="50" t="s">
        <v>9</v>
      </c>
      <c r="G2" s="50" t="s">
        <v>10</v>
      </c>
      <c r="H2" s="50" t="s">
        <v>11</v>
      </c>
      <c r="I2" s="51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53" t="s">
        <v>14</v>
      </c>
      <c r="AB2" s="53" t="s">
        <v>15</v>
      </c>
      <c r="AC2" s="53" t="s">
        <v>16</v>
      </c>
    </row>
    <row r="3" spans="1:29" ht="40.5" customHeight="1">
      <c r="A3" s="45"/>
      <c r="B3" s="48"/>
      <c r="C3" s="48"/>
      <c r="D3" s="48"/>
      <c r="E3" s="50"/>
      <c r="F3" s="50"/>
      <c r="G3" s="50"/>
      <c r="H3" s="50"/>
      <c r="I3" s="52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3"/>
      <c r="AB3" s="53"/>
      <c r="AC3" s="53"/>
    </row>
    <row r="4" spans="1:29" ht="21.6" customHeight="1">
      <c r="A4" s="46"/>
      <c r="B4" s="49"/>
      <c r="C4" s="49"/>
      <c r="D4" s="49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54" t="s">
        <v>21</v>
      </c>
      <c r="AB4" s="55"/>
      <c r="AC4" s="55"/>
    </row>
    <row r="5" spans="1:29" ht="30" customHeight="1">
      <c r="A5" s="9">
        <v>1</v>
      </c>
      <c r="B5" s="57" t="s">
        <v>49</v>
      </c>
      <c r="C5" s="57"/>
      <c r="D5" s="58"/>
      <c r="E5" s="42" t="s">
        <v>22</v>
      </c>
      <c r="F5" s="41">
        <v>0.5</v>
      </c>
      <c r="G5" s="42"/>
      <c r="H5" s="42">
        <v>100</v>
      </c>
      <c r="I5" s="41">
        <v>52.440000000000005</v>
      </c>
      <c r="J5" s="41">
        <v>1.24</v>
      </c>
      <c r="K5" s="41">
        <v>0</v>
      </c>
      <c r="L5" s="41">
        <v>0.24</v>
      </c>
      <c r="M5" s="41">
        <v>10.65</v>
      </c>
      <c r="N5" s="41">
        <v>7.74</v>
      </c>
      <c r="O5" s="41">
        <v>12.33</v>
      </c>
      <c r="P5" s="41">
        <v>12.36</v>
      </c>
      <c r="Q5" s="41">
        <v>7.88</v>
      </c>
      <c r="R5" s="10"/>
      <c r="S5" s="39">
        <f t="shared" ref="S5:S17" si="0">((H5-(SUM(J5)))/H5)*100</f>
        <v>98.76</v>
      </c>
      <c r="T5" s="39">
        <f>((H5-(SUM(J5:K5)))/H5)*100</f>
        <v>98.76</v>
      </c>
      <c r="U5" s="39">
        <f t="shared" ref="U5:U17" si="1">((H5-(SUM(J5:L5)))/H5)*100</f>
        <v>98.52</v>
      </c>
      <c r="V5" s="39">
        <f t="shared" ref="V5:V17" si="2">((H5-(SUM(J5:M5)))/H5)*100</f>
        <v>87.87</v>
      </c>
      <c r="W5" s="39">
        <f t="shared" ref="W5:W17" si="3">((H5-(SUM(J5:N5)))/H5)*100</f>
        <v>80.13</v>
      </c>
      <c r="X5" s="39">
        <f t="shared" ref="X5:X17" si="4">((H5-(SUM(J5:O5)))/H5)*100</f>
        <v>67.8</v>
      </c>
      <c r="Y5" s="39">
        <f t="shared" ref="Y5:Y17" si="5">((H5-(SUM(J5:P5)))/H5)*100</f>
        <v>55.44</v>
      </c>
      <c r="Z5" s="39">
        <f t="shared" ref="Z5:Z17" si="6">((H5-(SUM(J5:Q5)))/H5)*100</f>
        <v>47.559999999999995</v>
      </c>
      <c r="AA5" s="39">
        <f t="shared" ref="AA5:AA17" si="7">100-S5</f>
        <v>1.2399999999999949</v>
      </c>
      <c r="AB5" s="39">
        <f t="shared" ref="AB5:AB17" si="8">S5-Z5</f>
        <v>51.20000000000001</v>
      </c>
      <c r="AC5" s="39">
        <f t="shared" ref="AC5:AC17" si="9">Z5</f>
        <v>47.559999999999995</v>
      </c>
    </row>
    <row r="6" spans="1:29" ht="30" customHeight="1">
      <c r="A6" s="9">
        <v>2</v>
      </c>
      <c r="B6" s="57"/>
      <c r="C6" s="57"/>
      <c r="D6" s="58"/>
      <c r="E6" s="42" t="s">
        <v>48</v>
      </c>
      <c r="F6" s="41">
        <v>1.5</v>
      </c>
      <c r="G6" s="42"/>
      <c r="H6" s="42">
        <v>200</v>
      </c>
      <c r="I6" s="41">
        <v>114.22</v>
      </c>
      <c r="J6" s="41">
        <v>0</v>
      </c>
      <c r="K6" s="41">
        <v>0.65</v>
      </c>
      <c r="L6" s="41">
        <v>0.5</v>
      </c>
      <c r="M6" s="41">
        <v>22.09</v>
      </c>
      <c r="N6" s="41">
        <v>15.76</v>
      </c>
      <c r="O6" s="41">
        <v>25.34</v>
      </c>
      <c r="P6" s="41">
        <v>28.44</v>
      </c>
      <c r="Q6" s="41">
        <v>21.44</v>
      </c>
      <c r="R6" s="10"/>
      <c r="S6" s="39">
        <f t="shared" si="0"/>
        <v>100</v>
      </c>
      <c r="T6" s="39">
        <f t="shared" ref="T6:T17" si="10">((H6-(SUM(J6:K6)))/H6)*100</f>
        <v>99.674999999999997</v>
      </c>
      <c r="U6" s="39">
        <f t="shared" si="1"/>
        <v>99.424999999999997</v>
      </c>
      <c r="V6" s="39">
        <f t="shared" si="2"/>
        <v>88.38</v>
      </c>
      <c r="W6" s="39">
        <f t="shared" si="3"/>
        <v>80.5</v>
      </c>
      <c r="X6" s="39">
        <f t="shared" si="4"/>
        <v>67.83</v>
      </c>
      <c r="Y6" s="39">
        <f t="shared" si="5"/>
        <v>53.61</v>
      </c>
      <c r="Z6" s="39">
        <f t="shared" si="6"/>
        <v>42.89</v>
      </c>
      <c r="AA6" s="39">
        <f t="shared" si="7"/>
        <v>0</v>
      </c>
      <c r="AB6" s="39">
        <f t="shared" si="8"/>
        <v>57.11</v>
      </c>
      <c r="AC6" s="39">
        <f t="shared" si="9"/>
        <v>42.89</v>
      </c>
    </row>
    <row r="7" spans="1:29" ht="30" customHeight="1">
      <c r="A7" s="9">
        <v>3</v>
      </c>
      <c r="B7" s="57"/>
      <c r="C7" s="57"/>
      <c r="D7" s="58"/>
      <c r="E7" s="42" t="s">
        <v>22</v>
      </c>
      <c r="F7" s="41">
        <v>3.5</v>
      </c>
      <c r="G7" s="42"/>
      <c r="H7" s="42">
        <v>100</v>
      </c>
      <c r="I7" s="41">
        <v>59.68</v>
      </c>
      <c r="J7" s="41">
        <v>13.61</v>
      </c>
      <c r="K7" s="41">
        <v>2.95</v>
      </c>
      <c r="L7" s="41">
        <v>1.85</v>
      </c>
      <c r="M7" s="41">
        <v>4.4400000000000004</v>
      </c>
      <c r="N7" s="41">
        <v>4.1500000000000004</v>
      </c>
      <c r="O7" s="41">
        <v>12.57</v>
      </c>
      <c r="P7" s="41">
        <v>14.56</v>
      </c>
      <c r="Q7" s="41">
        <v>5.55</v>
      </c>
      <c r="R7" s="10"/>
      <c r="S7" s="39">
        <f t="shared" si="0"/>
        <v>86.39</v>
      </c>
      <c r="T7" s="39">
        <f t="shared" si="10"/>
        <v>83.44</v>
      </c>
      <c r="U7" s="39">
        <f t="shared" si="1"/>
        <v>81.59</v>
      </c>
      <c r="V7" s="39">
        <f t="shared" si="2"/>
        <v>77.150000000000006</v>
      </c>
      <c r="W7" s="39">
        <f t="shared" si="3"/>
        <v>73</v>
      </c>
      <c r="X7" s="39">
        <f t="shared" si="4"/>
        <v>60.429999999999993</v>
      </c>
      <c r="Y7" s="39">
        <f t="shared" si="5"/>
        <v>45.87</v>
      </c>
      <c r="Z7" s="39">
        <f t="shared" si="6"/>
        <v>40.32</v>
      </c>
      <c r="AA7" s="39">
        <f t="shared" si="7"/>
        <v>13.61</v>
      </c>
      <c r="AB7" s="39">
        <f t="shared" si="8"/>
        <v>46.07</v>
      </c>
      <c r="AC7" s="39">
        <f t="shared" si="9"/>
        <v>40.32</v>
      </c>
    </row>
    <row r="8" spans="1:29" ht="30" customHeight="1">
      <c r="A8" s="9">
        <v>4</v>
      </c>
      <c r="B8" s="57"/>
      <c r="C8" s="57"/>
      <c r="D8" s="58"/>
      <c r="E8" s="42" t="s">
        <v>48</v>
      </c>
      <c r="F8" s="41">
        <v>4.5</v>
      </c>
      <c r="G8" s="42"/>
      <c r="H8" s="42">
        <v>200</v>
      </c>
      <c r="I8" s="41">
        <v>114.86</v>
      </c>
      <c r="J8" s="41">
        <v>7.6</v>
      </c>
      <c r="K8" s="41">
        <v>2.96</v>
      </c>
      <c r="L8" s="41">
        <v>2.72</v>
      </c>
      <c r="M8" s="41">
        <v>11.6</v>
      </c>
      <c r="N8" s="41">
        <v>9.7799999999999994</v>
      </c>
      <c r="O8" s="41">
        <v>26.78</v>
      </c>
      <c r="P8" s="41">
        <v>32.43</v>
      </c>
      <c r="Q8" s="41">
        <v>20.99</v>
      </c>
      <c r="R8" s="10"/>
      <c r="S8" s="39">
        <f t="shared" si="0"/>
        <v>96.2</v>
      </c>
      <c r="T8" s="39">
        <f t="shared" si="10"/>
        <v>94.72</v>
      </c>
      <c r="U8" s="39">
        <f t="shared" si="1"/>
        <v>93.36</v>
      </c>
      <c r="V8" s="39">
        <f t="shared" si="2"/>
        <v>87.56</v>
      </c>
      <c r="W8" s="39">
        <f t="shared" si="3"/>
        <v>82.67</v>
      </c>
      <c r="X8" s="39">
        <f t="shared" si="4"/>
        <v>69.28</v>
      </c>
      <c r="Y8" s="39">
        <f t="shared" si="5"/>
        <v>53.064999999999998</v>
      </c>
      <c r="Z8" s="39">
        <f t="shared" si="6"/>
        <v>42.57</v>
      </c>
      <c r="AA8" s="39">
        <f t="shared" si="7"/>
        <v>3.7999999999999972</v>
      </c>
      <c r="AB8" s="39">
        <f t="shared" si="8"/>
        <v>53.63</v>
      </c>
      <c r="AC8" s="39">
        <f t="shared" si="9"/>
        <v>42.57</v>
      </c>
    </row>
    <row r="9" spans="1:29" ht="30" customHeight="1">
      <c r="A9" s="9">
        <v>5</v>
      </c>
      <c r="B9" s="57"/>
      <c r="C9" s="57"/>
      <c r="D9" s="58"/>
      <c r="E9" s="42" t="s">
        <v>22</v>
      </c>
      <c r="F9" s="41">
        <v>5.5</v>
      </c>
      <c r="G9" s="42"/>
      <c r="H9" s="42">
        <v>100</v>
      </c>
      <c r="I9" s="41">
        <v>61.879999999999995</v>
      </c>
      <c r="J9" s="41">
        <v>0.45</v>
      </c>
      <c r="K9" s="41">
        <v>1.03</v>
      </c>
      <c r="L9" s="41">
        <v>1.45</v>
      </c>
      <c r="M9" s="41">
        <v>2.35</v>
      </c>
      <c r="N9" s="41">
        <v>2.67</v>
      </c>
      <c r="O9" s="41">
        <v>8.17</v>
      </c>
      <c r="P9" s="41">
        <v>26.5</v>
      </c>
      <c r="Q9" s="41">
        <v>19.260000000000002</v>
      </c>
      <c r="R9" s="10"/>
      <c r="S9" s="39">
        <f t="shared" si="0"/>
        <v>99.55</v>
      </c>
      <c r="T9" s="39">
        <f t="shared" si="10"/>
        <v>98.52</v>
      </c>
      <c r="U9" s="39">
        <f t="shared" si="1"/>
        <v>97.07</v>
      </c>
      <c r="V9" s="39">
        <f t="shared" si="2"/>
        <v>94.72</v>
      </c>
      <c r="W9" s="39">
        <f t="shared" si="3"/>
        <v>92.05</v>
      </c>
      <c r="X9" s="39">
        <f>((H9-(SUM(J9:O9)))/H9)*100</f>
        <v>83.88</v>
      </c>
      <c r="Y9" s="39">
        <f t="shared" si="5"/>
        <v>57.379999999999995</v>
      </c>
      <c r="Z9" s="39">
        <f t="shared" si="6"/>
        <v>38.120000000000005</v>
      </c>
      <c r="AA9" s="39">
        <f t="shared" si="7"/>
        <v>0.45000000000000284</v>
      </c>
      <c r="AB9" s="39">
        <f t="shared" si="8"/>
        <v>61.429999999999993</v>
      </c>
      <c r="AC9" s="39">
        <f t="shared" si="9"/>
        <v>38.120000000000005</v>
      </c>
    </row>
    <row r="10" spans="1:29" s="31" customFormat="1" ht="30" customHeight="1">
      <c r="A10" s="9">
        <v>6</v>
      </c>
      <c r="B10" s="57"/>
      <c r="C10" s="57"/>
      <c r="D10" s="58"/>
      <c r="E10" s="42" t="s">
        <v>48</v>
      </c>
      <c r="F10" s="41">
        <v>7.5</v>
      </c>
      <c r="G10" s="42"/>
      <c r="H10" s="42">
        <v>200</v>
      </c>
      <c r="I10" s="41">
        <v>122.29</v>
      </c>
      <c r="J10" s="41">
        <v>0.81</v>
      </c>
      <c r="K10" s="41">
        <v>0.77</v>
      </c>
      <c r="L10" s="41">
        <v>0.74</v>
      </c>
      <c r="M10" s="41">
        <v>24.19</v>
      </c>
      <c r="N10" s="41">
        <v>12.87</v>
      </c>
      <c r="O10" s="41">
        <v>26.23</v>
      </c>
      <c r="P10" s="41">
        <v>31.7</v>
      </c>
      <c r="Q10" s="41">
        <v>24.98</v>
      </c>
      <c r="R10" s="10"/>
      <c r="S10" s="39">
        <f t="shared" si="0"/>
        <v>99.594999999999999</v>
      </c>
      <c r="T10" s="39">
        <f t="shared" si="10"/>
        <v>99.21</v>
      </c>
      <c r="U10" s="39">
        <f t="shared" si="1"/>
        <v>98.84</v>
      </c>
      <c r="V10" s="39">
        <f t="shared" si="2"/>
        <v>86.745000000000005</v>
      </c>
      <c r="W10" s="39">
        <f t="shared" si="3"/>
        <v>80.31</v>
      </c>
      <c r="X10" s="39">
        <f t="shared" si="4"/>
        <v>67.194999999999993</v>
      </c>
      <c r="Y10" s="39">
        <f t="shared" si="5"/>
        <v>51.344999999999999</v>
      </c>
      <c r="Z10" s="39">
        <f t="shared" si="6"/>
        <v>38.854999999999997</v>
      </c>
      <c r="AA10" s="39">
        <f t="shared" si="7"/>
        <v>0.40500000000000114</v>
      </c>
      <c r="AB10" s="39">
        <f t="shared" si="8"/>
        <v>60.74</v>
      </c>
      <c r="AC10" s="39">
        <f t="shared" si="9"/>
        <v>38.854999999999997</v>
      </c>
    </row>
    <row r="11" spans="1:29" ht="30" customHeight="1">
      <c r="A11" s="9">
        <v>7</v>
      </c>
      <c r="B11" s="57"/>
      <c r="C11" s="57"/>
      <c r="D11" s="58"/>
      <c r="E11" s="42" t="s">
        <v>22</v>
      </c>
      <c r="F11" s="41">
        <v>10.5</v>
      </c>
      <c r="G11" s="42"/>
      <c r="H11" s="42">
        <v>100</v>
      </c>
      <c r="I11" s="41">
        <v>59.07</v>
      </c>
      <c r="J11" s="41">
        <v>0.86</v>
      </c>
      <c r="K11" s="41">
        <v>1.2</v>
      </c>
      <c r="L11" s="41">
        <v>1.24</v>
      </c>
      <c r="M11" s="41">
        <v>4.7</v>
      </c>
      <c r="N11" s="41">
        <v>4.7699999999999996</v>
      </c>
      <c r="O11" s="41">
        <v>13.25</v>
      </c>
      <c r="P11" s="41">
        <v>20.09</v>
      </c>
      <c r="Q11" s="41">
        <v>12.96</v>
      </c>
      <c r="R11" s="10"/>
      <c r="S11" s="39">
        <f t="shared" si="0"/>
        <v>99.14</v>
      </c>
      <c r="T11" s="39">
        <f t="shared" si="10"/>
        <v>97.94</v>
      </c>
      <c r="U11" s="39">
        <f t="shared" si="1"/>
        <v>96.7</v>
      </c>
      <c r="V11" s="39">
        <f t="shared" si="2"/>
        <v>92</v>
      </c>
      <c r="W11" s="39">
        <f t="shared" si="3"/>
        <v>87.23</v>
      </c>
      <c r="X11" s="39">
        <f t="shared" si="4"/>
        <v>73.98</v>
      </c>
      <c r="Y11" s="39">
        <f t="shared" si="5"/>
        <v>53.890000000000008</v>
      </c>
      <c r="Z11" s="39">
        <f t="shared" si="6"/>
        <v>40.93</v>
      </c>
      <c r="AA11" s="39">
        <f t="shared" si="7"/>
        <v>0.85999999999999943</v>
      </c>
      <c r="AB11" s="39">
        <f t="shared" si="8"/>
        <v>58.21</v>
      </c>
      <c r="AC11" s="39">
        <f t="shared" si="9"/>
        <v>40.93</v>
      </c>
    </row>
    <row r="12" spans="1:29" ht="30" customHeight="1">
      <c r="A12" s="9">
        <v>8</v>
      </c>
      <c r="B12" s="57"/>
      <c r="C12" s="57"/>
      <c r="D12" s="58"/>
      <c r="E12" s="42" t="s">
        <v>22</v>
      </c>
      <c r="F12" s="41">
        <v>12.5</v>
      </c>
      <c r="G12" s="42"/>
      <c r="H12" s="42">
        <v>100</v>
      </c>
      <c r="I12" s="41">
        <v>59.14</v>
      </c>
      <c r="J12" s="41">
        <v>7.01</v>
      </c>
      <c r="K12" s="41">
        <v>1.66</v>
      </c>
      <c r="L12" s="41">
        <v>1.26</v>
      </c>
      <c r="M12" s="41">
        <v>4.82</v>
      </c>
      <c r="N12" s="41">
        <v>4.1100000000000003</v>
      </c>
      <c r="O12" s="41">
        <v>13.35</v>
      </c>
      <c r="P12" s="41">
        <v>17.7</v>
      </c>
      <c r="Q12" s="41">
        <v>9.23</v>
      </c>
      <c r="R12" s="10"/>
      <c r="S12" s="39">
        <f t="shared" si="0"/>
        <v>92.99</v>
      </c>
      <c r="T12" s="39">
        <f t="shared" si="10"/>
        <v>91.33</v>
      </c>
      <c r="U12" s="39">
        <f t="shared" si="1"/>
        <v>90.07</v>
      </c>
      <c r="V12" s="39">
        <f t="shared" si="2"/>
        <v>85.25</v>
      </c>
      <c r="W12" s="39">
        <f t="shared" si="3"/>
        <v>81.14</v>
      </c>
      <c r="X12" s="39">
        <f t="shared" si="4"/>
        <v>67.789999999999992</v>
      </c>
      <c r="Y12" s="39">
        <f t="shared" si="5"/>
        <v>50.09</v>
      </c>
      <c r="Z12" s="39">
        <f t="shared" si="6"/>
        <v>40.86</v>
      </c>
      <c r="AA12" s="39">
        <f t="shared" si="7"/>
        <v>7.0100000000000051</v>
      </c>
      <c r="AB12" s="39">
        <f t="shared" si="8"/>
        <v>52.129999999999995</v>
      </c>
      <c r="AC12" s="39">
        <f t="shared" si="9"/>
        <v>40.86</v>
      </c>
    </row>
    <row r="13" spans="1:29" ht="30.75" customHeight="1">
      <c r="A13" s="9">
        <v>9</v>
      </c>
      <c r="B13" s="57"/>
      <c r="C13" s="57"/>
      <c r="D13" s="58"/>
      <c r="E13" s="42" t="s">
        <v>22</v>
      </c>
      <c r="F13" s="41">
        <v>13.5</v>
      </c>
      <c r="G13" s="42"/>
      <c r="H13" s="42">
        <v>100</v>
      </c>
      <c r="I13" s="41">
        <v>61.349999999999994</v>
      </c>
      <c r="J13" s="41">
        <v>5.16</v>
      </c>
      <c r="K13" s="41">
        <v>1.62</v>
      </c>
      <c r="L13" s="41">
        <v>1.6</v>
      </c>
      <c r="M13" s="41">
        <v>4.72</v>
      </c>
      <c r="N13" s="41">
        <v>4.3</v>
      </c>
      <c r="O13" s="41">
        <v>12.09</v>
      </c>
      <c r="P13" s="41">
        <v>17.95</v>
      </c>
      <c r="Q13" s="41">
        <v>13.91</v>
      </c>
      <c r="R13" s="10"/>
      <c r="S13" s="39">
        <f t="shared" si="0"/>
        <v>94.84</v>
      </c>
      <c r="T13" s="39">
        <f t="shared" si="10"/>
        <v>93.22</v>
      </c>
      <c r="U13" s="39">
        <f t="shared" si="1"/>
        <v>91.62</v>
      </c>
      <c r="V13" s="39">
        <f t="shared" si="2"/>
        <v>86.9</v>
      </c>
      <c r="W13" s="39">
        <f t="shared" si="3"/>
        <v>82.6</v>
      </c>
      <c r="X13" s="39">
        <f t="shared" si="4"/>
        <v>70.509999999999991</v>
      </c>
      <c r="Y13" s="39">
        <f t="shared" si="5"/>
        <v>52.560000000000009</v>
      </c>
      <c r="Z13" s="39">
        <f t="shared" si="6"/>
        <v>38.650000000000006</v>
      </c>
      <c r="AA13" s="39">
        <f t="shared" si="7"/>
        <v>5.1599999999999966</v>
      </c>
      <c r="AB13" s="39">
        <f t="shared" si="8"/>
        <v>56.19</v>
      </c>
      <c r="AC13" s="39">
        <f t="shared" si="9"/>
        <v>38.650000000000006</v>
      </c>
    </row>
    <row r="14" spans="1:29" ht="36.75" customHeight="1">
      <c r="A14" s="40">
        <v>10</v>
      </c>
      <c r="B14" s="57" t="s">
        <v>49</v>
      </c>
      <c r="C14" s="57"/>
      <c r="D14" s="58"/>
      <c r="E14" s="42" t="s">
        <v>22</v>
      </c>
      <c r="F14" s="41">
        <v>16.5</v>
      </c>
      <c r="G14" s="42"/>
      <c r="H14" s="42">
        <v>100</v>
      </c>
      <c r="I14" s="41">
        <v>61.78</v>
      </c>
      <c r="J14" s="41">
        <v>0.96</v>
      </c>
      <c r="K14" s="41">
        <v>1.55</v>
      </c>
      <c r="L14" s="41">
        <v>1.76</v>
      </c>
      <c r="M14" s="41">
        <v>6.65</v>
      </c>
      <c r="N14" s="41">
        <v>5.31</v>
      </c>
      <c r="O14" s="41">
        <v>15.52</v>
      </c>
      <c r="P14" s="41">
        <v>19.29</v>
      </c>
      <c r="Q14" s="41">
        <v>10.74</v>
      </c>
      <c r="R14" s="10"/>
      <c r="S14" s="39">
        <f t="shared" si="0"/>
        <v>99.04</v>
      </c>
      <c r="T14" s="39">
        <f t="shared" si="10"/>
        <v>97.49</v>
      </c>
      <c r="U14" s="39">
        <f t="shared" si="1"/>
        <v>95.73</v>
      </c>
      <c r="V14" s="39">
        <f t="shared" si="2"/>
        <v>89.08</v>
      </c>
      <c r="W14" s="39">
        <f t="shared" si="3"/>
        <v>83.77</v>
      </c>
      <c r="X14" s="39">
        <f t="shared" si="4"/>
        <v>68.25</v>
      </c>
      <c r="Y14" s="39">
        <f t="shared" si="5"/>
        <v>48.96</v>
      </c>
      <c r="Z14" s="39">
        <f t="shared" si="6"/>
        <v>38.22</v>
      </c>
      <c r="AA14" s="39">
        <f t="shared" si="7"/>
        <v>0.95999999999999375</v>
      </c>
      <c r="AB14" s="39">
        <f t="shared" si="8"/>
        <v>60.820000000000007</v>
      </c>
      <c r="AC14" s="39">
        <f t="shared" si="9"/>
        <v>38.22</v>
      </c>
    </row>
    <row r="15" spans="1:29" ht="32.25" customHeight="1">
      <c r="A15" s="40">
        <v>11</v>
      </c>
      <c r="B15" s="57"/>
      <c r="C15" s="57"/>
      <c r="D15" s="58"/>
      <c r="E15" s="42" t="s">
        <v>22</v>
      </c>
      <c r="F15" s="41">
        <v>17</v>
      </c>
      <c r="G15" s="42"/>
      <c r="H15" s="42">
        <v>100</v>
      </c>
      <c r="I15" s="41">
        <v>74.169999999999987</v>
      </c>
      <c r="J15" s="41">
        <v>1.4</v>
      </c>
      <c r="K15" s="41">
        <v>0.87</v>
      </c>
      <c r="L15" s="41">
        <v>1.46</v>
      </c>
      <c r="M15" s="41">
        <v>7.04</v>
      </c>
      <c r="N15" s="41">
        <v>7.47</v>
      </c>
      <c r="O15" s="41">
        <v>28.37</v>
      </c>
      <c r="P15" s="41">
        <v>24.93</v>
      </c>
      <c r="Q15" s="41">
        <v>2.63</v>
      </c>
      <c r="R15" s="10"/>
      <c r="S15" s="39">
        <f t="shared" si="0"/>
        <v>98.6</v>
      </c>
      <c r="T15" s="39">
        <f t="shared" si="10"/>
        <v>97.73</v>
      </c>
      <c r="U15" s="39">
        <f t="shared" si="1"/>
        <v>96.27</v>
      </c>
      <c r="V15" s="39">
        <f t="shared" si="2"/>
        <v>89.23</v>
      </c>
      <c r="W15" s="39">
        <f t="shared" si="3"/>
        <v>81.760000000000005</v>
      </c>
      <c r="X15" s="39">
        <f t="shared" si="4"/>
        <v>53.39</v>
      </c>
      <c r="Y15" s="39">
        <f t="shared" si="5"/>
        <v>28.460000000000008</v>
      </c>
      <c r="Z15" s="39">
        <f t="shared" si="6"/>
        <v>25.830000000000013</v>
      </c>
      <c r="AA15" s="39">
        <f t="shared" si="7"/>
        <v>1.4000000000000057</v>
      </c>
      <c r="AB15" s="39">
        <f t="shared" si="8"/>
        <v>72.769999999999982</v>
      </c>
      <c r="AC15" s="39">
        <f t="shared" si="9"/>
        <v>25.830000000000013</v>
      </c>
    </row>
    <row r="16" spans="1:29" ht="30" customHeight="1">
      <c r="A16" s="40">
        <v>12</v>
      </c>
      <c r="B16" s="57"/>
      <c r="C16" s="57"/>
      <c r="D16" s="58"/>
      <c r="E16" s="42" t="s">
        <v>22</v>
      </c>
      <c r="F16" s="41">
        <v>18.5</v>
      </c>
      <c r="G16" s="42"/>
      <c r="H16" s="42">
        <v>100</v>
      </c>
      <c r="I16" s="41">
        <v>83.749999999999986</v>
      </c>
      <c r="J16" s="41">
        <v>0.96</v>
      </c>
      <c r="K16" s="41">
        <v>2.2000000000000002</v>
      </c>
      <c r="L16" s="41">
        <v>4.3499999999999996</v>
      </c>
      <c r="M16" s="41">
        <v>16.239999999999998</v>
      </c>
      <c r="N16" s="41">
        <v>13.97</v>
      </c>
      <c r="O16" s="41">
        <v>27.38</v>
      </c>
      <c r="P16" s="41">
        <v>14.04</v>
      </c>
      <c r="Q16" s="41">
        <v>4.6100000000000003</v>
      </c>
      <c r="R16" s="10"/>
      <c r="S16" s="39">
        <f t="shared" si="0"/>
        <v>99.04</v>
      </c>
      <c r="T16" s="39">
        <f t="shared" si="10"/>
        <v>96.84</v>
      </c>
      <c r="U16" s="39">
        <f t="shared" si="1"/>
        <v>92.49</v>
      </c>
      <c r="V16" s="39">
        <f t="shared" si="2"/>
        <v>76.25</v>
      </c>
      <c r="W16" s="39">
        <f t="shared" si="3"/>
        <v>62.28</v>
      </c>
      <c r="X16" s="39">
        <f t="shared" si="4"/>
        <v>34.900000000000006</v>
      </c>
      <c r="Y16" s="39">
        <f t="shared" si="5"/>
        <v>20.860000000000014</v>
      </c>
      <c r="Z16" s="39">
        <f t="shared" si="6"/>
        <v>16.250000000000014</v>
      </c>
      <c r="AA16" s="39">
        <f t="shared" si="7"/>
        <v>0.95999999999999375</v>
      </c>
      <c r="AB16" s="39">
        <f t="shared" si="8"/>
        <v>82.789999999999992</v>
      </c>
      <c r="AC16" s="39">
        <f t="shared" si="9"/>
        <v>16.250000000000014</v>
      </c>
    </row>
    <row r="17" spans="1:29" ht="30.75" customHeight="1">
      <c r="A17" s="40">
        <v>13</v>
      </c>
      <c r="B17" s="57"/>
      <c r="C17" s="57"/>
      <c r="D17" s="58"/>
      <c r="E17" s="42" t="s">
        <v>22</v>
      </c>
      <c r="F17" s="41">
        <v>20</v>
      </c>
      <c r="G17" s="42"/>
      <c r="H17" s="42">
        <v>100</v>
      </c>
      <c r="I17" s="41">
        <v>51.28</v>
      </c>
      <c r="J17" s="41">
        <v>0.86</v>
      </c>
      <c r="K17" s="41">
        <v>0.11</v>
      </c>
      <c r="L17" s="41">
        <v>0.18</v>
      </c>
      <c r="M17" s="41">
        <v>10.45</v>
      </c>
      <c r="N17" s="41">
        <v>6.72</v>
      </c>
      <c r="O17" s="41">
        <v>11.35</v>
      </c>
      <c r="P17" s="41">
        <v>12.21</v>
      </c>
      <c r="Q17" s="41">
        <v>9.4</v>
      </c>
      <c r="R17" s="10"/>
      <c r="S17" s="39">
        <f t="shared" si="0"/>
        <v>99.14</v>
      </c>
      <c r="T17" s="39">
        <f t="shared" si="10"/>
        <v>99.03</v>
      </c>
      <c r="U17" s="39">
        <f t="shared" si="1"/>
        <v>98.85</v>
      </c>
      <c r="V17" s="39">
        <f t="shared" si="2"/>
        <v>88.4</v>
      </c>
      <c r="W17" s="39">
        <f t="shared" si="3"/>
        <v>81.680000000000007</v>
      </c>
      <c r="X17" s="39">
        <f t="shared" si="4"/>
        <v>70.33</v>
      </c>
      <c r="Y17" s="39">
        <f t="shared" si="5"/>
        <v>58.11999999999999</v>
      </c>
      <c r="Z17" s="39">
        <f t="shared" si="6"/>
        <v>48.72</v>
      </c>
      <c r="AA17" s="39">
        <f t="shared" si="7"/>
        <v>0.85999999999999943</v>
      </c>
      <c r="AB17" s="39">
        <f t="shared" si="8"/>
        <v>50.42</v>
      </c>
      <c r="AC17" s="39">
        <f t="shared" si="9"/>
        <v>48.72</v>
      </c>
    </row>
  </sheetData>
  <mergeCells count="24">
    <mergeCell ref="J4:R4"/>
    <mergeCell ref="S4:Z4"/>
    <mergeCell ref="B14:B17"/>
    <mergeCell ref="C14:C17"/>
    <mergeCell ref="D14:D17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AA4:AC4"/>
    <mergeCell ref="J2:R2"/>
    <mergeCell ref="S2:Z2"/>
  </mergeCells>
  <phoneticPr fontId="10" type="noConversion"/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59" t="s">
        <v>4</v>
      </c>
      <c r="B1" s="62" t="s">
        <v>5</v>
      </c>
      <c r="C1" s="62" t="s">
        <v>9</v>
      </c>
      <c r="D1" s="59" t="s">
        <v>8</v>
      </c>
      <c r="E1" s="59" t="s">
        <v>23</v>
      </c>
      <c r="F1" s="59" t="s">
        <v>40</v>
      </c>
      <c r="G1" s="59" t="s">
        <v>24</v>
      </c>
      <c r="H1" s="59" t="s">
        <v>25</v>
      </c>
      <c r="I1" s="68" t="s">
        <v>34</v>
      </c>
      <c r="J1" s="59" t="s">
        <v>35</v>
      </c>
      <c r="K1" s="59" t="s">
        <v>26</v>
      </c>
      <c r="L1" s="59" t="s">
        <v>27</v>
      </c>
      <c r="M1" s="66" t="s">
        <v>28</v>
      </c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6" t="s">
        <v>29</v>
      </c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 t="s">
        <v>30</v>
      </c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21"/>
      <c r="BA1" s="21"/>
    </row>
    <row r="2" spans="1:53">
      <c r="A2" s="60"/>
      <c r="B2" s="63"/>
      <c r="C2" s="63"/>
      <c r="D2" s="60"/>
      <c r="E2" s="60"/>
      <c r="F2" s="60"/>
      <c r="G2" s="60"/>
      <c r="H2" s="60"/>
      <c r="I2" s="68"/>
      <c r="J2" s="60"/>
      <c r="K2" s="60"/>
      <c r="L2" s="60"/>
      <c r="M2" s="69">
        <v>0.5</v>
      </c>
      <c r="N2" s="65">
        <v>1</v>
      </c>
      <c r="O2" s="65">
        <v>2</v>
      </c>
      <c r="P2" s="65">
        <v>4</v>
      </c>
      <c r="Q2" s="65">
        <v>8</v>
      </c>
      <c r="R2" s="65">
        <v>15</v>
      </c>
      <c r="S2" s="65">
        <v>30</v>
      </c>
      <c r="T2" s="65">
        <v>60</v>
      </c>
      <c r="U2" s="65">
        <v>120</v>
      </c>
      <c r="V2" s="65">
        <v>240</v>
      </c>
      <c r="W2" s="65">
        <v>480</v>
      </c>
      <c r="X2" s="65">
        <v>960</v>
      </c>
      <c r="Y2" s="65">
        <v>1440</v>
      </c>
      <c r="Z2" s="69">
        <v>0.5</v>
      </c>
      <c r="AA2" s="65">
        <v>1</v>
      </c>
      <c r="AB2" s="65">
        <v>2</v>
      </c>
      <c r="AC2" s="65">
        <v>4</v>
      </c>
      <c r="AD2" s="65">
        <v>8</v>
      </c>
      <c r="AE2" s="65">
        <v>15</v>
      </c>
      <c r="AF2" s="65">
        <v>30</v>
      </c>
      <c r="AG2" s="65">
        <v>60</v>
      </c>
      <c r="AH2" s="65">
        <v>120</v>
      </c>
      <c r="AI2" s="65">
        <v>240</v>
      </c>
      <c r="AJ2" s="65">
        <v>480</v>
      </c>
      <c r="AK2" s="65">
        <v>960</v>
      </c>
      <c r="AL2" s="65">
        <v>1440</v>
      </c>
      <c r="AM2" s="69">
        <v>0.5</v>
      </c>
      <c r="AN2" s="65">
        <v>1</v>
      </c>
      <c r="AO2" s="65">
        <v>2</v>
      </c>
      <c r="AP2" s="65">
        <v>4</v>
      </c>
      <c r="AQ2" s="65">
        <v>8</v>
      </c>
      <c r="AR2" s="65">
        <v>15</v>
      </c>
      <c r="AS2" s="65">
        <v>30</v>
      </c>
      <c r="AT2" s="65">
        <v>60</v>
      </c>
      <c r="AU2" s="65">
        <v>120</v>
      </c>
      <c r="AV2" s="65">
        <v>240</v>
      </c>
      <c r="AW2" s="65">
        <v>480</v>
      </c>
      <c r="AX2" s="65">
        <v>960</v>
      </c>
      <c r="AY2" s="65">
        <v>1440</v>
      </c>
      <c r="AZ2" s="21"/>
      <c r="BA2" s="21"/>
    </row>
    <row r="3" spans="1:53">
      <c r="A3" s="60"/>
      <c r="B3" s="63"/>
      <c r="C3" s="63"/>
      <c r="D3" s="61"/>
      <c r="E3" s="61"/>
      <c r="F3" s="61"/>
      <c r="G3" s="61"/>
      <c r="H3" s="61"/>
      <c r="I3" s="68"/>
      <c r="J3" s="61"/>
      <c r="K3" s="61"/>
      <c r="L3" s="61"/>
      <c r="M3" s="69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9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9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21"/>
      <c r="BA3" s="21"/>
    </row>
    <row r="4" spans="1:53">
      <c r="A4" s="61"/>
      <c r="B4" s="64"/>
      <c r="C4" s="64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70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2"/>
      <c r="Z4" s="70" t="s">
        <v>32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2"/>
      <c r="AM4" s="68" t="s">
        <v>33</v>
      </c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19"/>
      <c r="BA4" s="19"/>
    </row>
    <row r="5" spans="1:53">
      <c r="A5" s="25">
        <v>1</v>
      </c>
      <c r="B5" s="25" t="str">
        <f>GSD!B5</f>
        <v>RBH-50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RBH-50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RBH-50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RBH-50</v>
      </c>
      <c r="C8" s="38">
        <f>GSD!F8</f>
        <v>4.5</v>
      </c>
      <c r="D8" s="25" t="str">
        <f>GSD!E8</f>
        <v>UDS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RBH-50</v>
      </c>
      <c r="C9" s="38">
        <f>GSD!F9</f>
        <v>5.5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RBH-50</v>
      </c>
      <c r="C10" s="38">
        <f>GSD!F10</f>
        <v>7.5</v>
      </c>
      <c r="D10" s="25" t="str">
        <f>GSD!E10</f>
        <v>UDS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RBH-50</v>
      </c>
      <c r="C11" s="38">
        <f>GSD!F11</f>
        <v>10.5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RBH-50</v>
      </c>
      <c r="C12" s="38">
        <f>GSD!F12</f>
        <v>12.5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RBH-50</v>
      </c>
      <c r="C13" s="38">
        <f>GSD!F13</f>
        <v>13.5</v>
      </c>
      <c r="D13" s="25" t="str">
        <f>GSD!E13</f>
        <v>SPT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E19" sqref="E19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3" t="s">
        <v>42</v>
      </c>
      <c r="E2" s="73"/>
      <c r="F2" s="73"/>
      <c r="G2" s="73"/>
      <c r="H2" s="73"/>
      <c r="I2" s="73"/>
      <c r="J2" s="73"/>
      <c r="K2" s="73"/>
      <c r="L2" s="73" t="s">
        <v>43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 t="s">
        <v>44</v>
      </c>
      <c r="Z2" s="74"/>
      <c r="AA2" s="74"/>
      <c r="AB2" s="74"/>
      <c r="AC2" s="74"/>
      <c r="AD2" s="74"/>
      <c r="AE2" s="74"/>
      <c r="AF2" s="74"/>
      <c r="AG2" s="73" t="s">
        <v>45</v>
      </c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RBH-50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98.76</v>
      </c>
      <c r="Z3" s="36">
        <f>GSD!T5</f>
        <v>98.76</v>
      </c>
      <c r="AA3" s="36">
        <f>GSD!U5</f>
        <v>98.52</v>
      </c>
      <c r="AB3" s="36">
        <f>GSD!V5</f>
        <v>87.87</v>
      </c>
      <c r="AC3" s="36">
        <f>GSD!W5</f>
        <v>80.13</v>
      </c>
      <c r="AD3" s="36">
        <f>GSD!X5</f>
        <v>67.8</v>
      </c>
      <c r="AE3" s="36">
        <f>GSD!Y5</f>
        <v>55.44</v>
      </c>
      <c r="AF3" s="36">
        <f>GSD!Z5</f>
        <v>47.559999999999995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RBH-50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100</v>
      </c>
      <c r="Z4" s="36">
        <f>GSD!T6</f>
        <v>99.674999999999997</v>
      </c>
      <c r="AA4" s="36">
        <f>GSD!U6</f>
        <v>99.424999999999997</v>
      </c>
      <c r="AB4" s="36">
        <f>GSD!V6</f>
        <v>88.38</v>
      </c>
      <c r="AC4" s="36">
        <f>GSD!W6</f>
        <v>80.5</v>
      </c>
      <c r="AD4" s="36">
        <f>GSD!X6</f>
        <v>67.83</v>
      </c>
      <c r="AE4" s="36">
        <f>GSD!Y6</f>
        <v>53.61</v>
      </c>
      <c r="AF4" s="36">
        <f>GSD!Z6</f>
        <v>42.89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RBH-50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86.39</v>
      </c>
      <c r="Z5" s="36">
        <f>GSD!T7</f>
        <v>83.44</v>
      </c>
      <c r="AA5" s="36">
        <f>GSD!U7</f>
        <v>81.59</v>
      </c>
      <c r="AB5" s="36">
        <f>GSD!V7</f>
        <v>77.150000000000006</v>
      </c>
      <c r="AC5" s="36">
        <f>GSD!W7</f>
        <v>73</v>
      </c>
      <c r="AD5" s="36">
        <f>GSD!X7</f>
        <v>60.429999999999993</v>
      </c>
      <c r="AE5" s="36">
        <f>GSD!Y7</f>
        <v>45.87</v>
      </c>
      <c r="AF5" s="36">
        <f>GSD!Z7</f>
        <v>40.32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RBH-50</v>
      </c>
      <c r="C6" s="33">
        <f>GSD!F8</f>
        <v>4.5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96.2</v>
      </c>
      <c r="Z6" s="36">
        <f>GSD!T8</f>
        <v>94.72</v>
      </c>
      <c r="AA6" s="36">
        <f>GSD!U8</f>
        <v>93.36</v>
      </c>
      <c r="AB6" s="36">
        <f>GSD!V8</f>
        <v>87.56</v>
      </c>
      <c r="AC6" s="36">
        <f>GSD!W8</f>
        <v>82.67</v>
      </c>
      <c r="AD6" s="36">
        <f>GSD!X8</f>
        <v>69.28</v>
      </c>
      <c r="AE6" s="36">
        <f>GSD!Y8</f>
        <v>53.064999999999998</v>
      </c>
      <c r="AF6" s="36">
        <f>GSD!Z8</f>
        <v>42.57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RBH-50</v>
      </c>
      <c r="C7" s="33">
        <f>GSD!F9</f>
        <v>5.5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99.55</v>
      </c>
      <c r="Z7" s="36">
        <f>GSD!T9</f>
        <v>98.52</v>
      </c>
      <c r="AA7" s="36">
        <f>GSD!U9</f>
        <v>97.07</v>
      </c>
      <c r="AB7" s="36">
        <f>GSD!V9</f>
        <v>94.72</v>
      </c>
      <c r="AC7" s="36">
        <f>GSD!W9</f>
        <v>92.05</v>
      </c>
      <c r="AD7" s="36">
        <f>GSD!X9</f>
        <v>83.88</v>
      </c>
      <c r="AE7" s="36">
        <f>GSD!Y9</f>
        <v>57.379999999999995</v>
      </c>
      <c r="AF7" s="36">
        <f>GSD!Z9</f>
        <v>38.120000000000005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RBH-50</v>
      </c>
      <c r="C8" s="33">
        <f>GSD!F10</f>
        <v>7.5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99.594999999999999</v>
      </c>
      <c r="Z8" s="36">
        <f>GSD!T10</f>
        <v>99.21</v>
      </c>
      <c r="AA8" s="36">
        <f>GSD!U10</f>
        <v>98.84</v>
      </c>
      <c r="AB8" s="36">
        <f>GSD!V10</f>
        <v>86.745000000000005</v>
      </c>
      <c r="AC8" s="36">
        <f>GSD!W10</f>
        <v>80.31</v>
      </c>
      <c r="AD8" s="36">
        <f>GSD!X10</f>
        <v>67.194999999999993</v>
      </c>
      <c r="AE8" s="36">
        <f>GSD!Y10</f>
        <v>51.344999999999999</v>
      </c>
      <c r="AF8" s="36">
        <f>GSD!Z10</f>
        <v>38.854999999999997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RBH-50</v>
      </c>
      <c r="C9" s="33">
        <f>GSD!F11</f>
        <v>10.5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99.14</v>
      </c>
      <c r="Z9" s="36">
        <f>GSD!T11</f>
        <v>97.94</v>
      </c>
      <c r="AA9" s="36">
        <f>GSD!U11</f>
        <v>96.7</v>
      </c>
      <c r="AB9" s="36">
        <f>GSD!V11</f>
        <v>92</v>
      </c>
      <c r="AC9" s="36">
        <f>GSD!W11</f>
        <v>87.23</v>
      </c>
      <c r="AD9" s="36">
        <f>GSD!X11</f>
        <v>73.98</v>
      </c>
      <c r="AE9" s="36">
        <f>GSD!Y11</f>
        <v>53.890000000000008</v>
      </c>
      <c r="AF9" s="36">
        <f>GSD!Z11</f>
        <v>40.93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RBH-50</v>
      </c>
      <c r="C10" s="33">
        <f>GSD!F12</f>
        <v>12.5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92.99</v>
      </c>
      <c r="Z10" s="36">
        <f>GSD!T12</f>
        <v>91.33</v>
      </c>
      <c r="AA10" s="36">
        <f>GSD!U12</f>
        <v>90.07</v>
      </c>
      <c r="AB10" s="36">
        <f>GSD!V12</f>
        <v>85.25</v>
      </c>
      <c r="AC10" s="36">
        <f>GSD!W12</f>
        <v>81.14</v>
      </c>
      <c r="AD10" s="36">
        <f>GSD!X12</f>
        <v>67.789999999999992</v>
      </c>
      <c r="AE10" s="36">
        <f>GSD!Y12</f>
        <v>50.09</v>
      </c>
      <c r="AF10" s="36">
        <f>GSD!Z12</f>
        <v>40.86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RBH-50</v>
      </c>
      <c r="C11" s="33">
        <f>GSD!F13</f>
        <v>13.5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94.84</v>
      </c>
      <c r="Z11" s="36">
        <f>GSD!T13</f>
        <v>93.22</v>
      </c>
      <c r="AA11" s="36">
        <f>GSD!U13</f>
        <v>91.62</v>
      </c>
      <c r="AB11" s="36">
        <f>GSD!V13</f>
        <v>86.9</v>
      </c>
      <c r="AC11" s="36">
        <f>GSD!W13</f>
        <v>82.6</v>
      </c>
      <c r="AD11" s="36">
        <f>GSD!X13</f>
        <v>70.509999999999991</v>
      </c>
      <c r="AE11" s="36">
        <f>GSD!Y13</f>
        <v>52.560000000000009</v>
      </c>
      <c r="AF11" s="36">
        <f>GSD!Z13</f>
        <v>38.650000000000006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2026-09-14T06:50:47Z</dcterms:modified>
</cp:coreProperties>
</file>