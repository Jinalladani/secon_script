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3. Unlined Canal _CH_289.795  km (CBH-10 &amp; CBH-11)\"/>
    </mc:Choice>
  </mc:AlternateContent>
  <xr:revisionPtr revIDLastSave="0" documentId="13_ncr:1_{EE32C5C3-7B95-486A-B1BA-B6E8839FF24D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<sst xmlns="http://schemas.openxmlformats.org/spreadsheetml/2006/main" count="82" uniqueCount="58">
  <si>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</si>
  <si>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</si>
  <si>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</si>
  <si>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</si>
  <si>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</si>
  <si>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</si>
  <si>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</si>
  <si>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</si>
  <si>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</si>
  <si>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</si>
  <si>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</si>
  <si>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</si>
  <si>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</si>
  <si>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</si>
  <si>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</si>
  <si>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</si>
  <si>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</si>
  <si>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</si>
  <si>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</si>
  <si>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</si>
  <si>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</si>
  <si>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</si>
  <si>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</si>
  <si>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</si>
  <si>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</si>
  <si>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</si>
  <si>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</si>
  <si>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</si>
  <si>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</si>
  <si>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</si>
  <si>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</si>
  <si>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</si>
  <si>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</si>
  <si>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</si>
  <si>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</si>
  <si>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</si>
  <si>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</si>
  <si>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</si>
  <si>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</si>
  <si>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</si>
  <si>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</si>
  <si>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</si>
  <si>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</si>
  <si>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</si>
  <si>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</si>
  <si>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</si>
  <si>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</si>
  <si>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</si>
  <si>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CBH-10</t>
  </si>
  <si>
    <t>A044</t>
  </si>
  <si>
    <t>A09</t>
  </si>
  <si>
    <t>A06</t>
  </si>
  <si>
    <t>A081</t>
  </si>
  <si>
    <t>A079</t>
  </si>
  <si>
    <t>A080</t>
  </si>
  <si>
    <t>A087</t>
  </si>
  <si>
    <t>A083</t>
  </si>
  <si>
    <t>A198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</si>
</sst>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GSD!$S$5:$Z$5</c:f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GSD!$S$6:$Z$6</c:f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GSD!$S$7:$Z$7</c:f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GSD!$S$8:$Z$8</c:f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GSD!$S$9:$Z$9</c:f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GSD!$S$10:$Z$10</c:f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GSD!$S$11:$Z$11</c:f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GSD!$S$12:$Z$12</c:f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GSD!$S$13:$Z$13</c:f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99.62</c:v>
                </c:pt>
                <c:pt idx="2">
                  <c:v>96.07</c:v>
                </c:pt>
                <c:pt idx="3">
                  <c:v>77.16</c:v>
                </c:pt>
                <c:pt idx="4">
                  <c:v>74.66</c:v>
                </c:pt>
                <c:pt idx="5">
                  <c:v>71.740000000000009</c:v>
                </c:pt>
                <c:pt idx="6">
                  <c:v>56.230000000000004</c:v>
                </c:pt>
                <c:pt idx="7">
                  <c:v>41.160000000000004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100</c:v>
                </c:pt>
                <c:pt idx="1">
                  <c:v>99.61</c:v>
                </c:pt>
                <c:pt idx="2">
                  <c:v>93.88</c:v>
                </c:pt>
                <c:pt idx="3">
                  <c:v>46.580000000000005</c:v>
                </c:pt>
                <c:pt idx="4">
                  <c:v>42.150000000000006</c:v>
                </c:pt>
                <c:pt idx="5">
                  <c:v>36.050000000000004</c:v>
                </c:pt>
                <c:pt idx="6">
                  <c:v>22.820000000000007</c:v>
                </c:pt>
                <c:pt idx="7">
                  <c:v>17.890000000000015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99.16</c:v>
                </c:pt>
                <c:pt idx="1">
                  <c:v>95.6</c:v>
                </c:pt>
                <c:pt idx="2">
                  <c:v>87.17</c:v>
                </c:pt>
                <c:pt idx="3">
                  <c:v>45.56</c:v>
                </c:pt>
                <c:pt idx="4">
                  <c:v>41.88</c:v>
                </c:pt>
                <c:pt idx="5">
                  <c:v>35.480000000000004</c:v>
                </c:pt>
                <c:pt idx="6">
                  <c:v>24.88000000000001</c:v>
                </c:pt>
                <c:pt idx="7">
                  <c:v>19.190000000000012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97.43</c:v>
                </c:pt>
                <c:pt idx="1">
                  <c:v>96.27</c:v>
                </c:pt>
                <c:pt idx="2">
                  <c:v>91.78</c:v>
                </c:pt>
                <c:pt idx="3">
                  <c:v>37.56</c:v>
                </c:pt>
                <c:pt idx="4">
                  <c:v>34.460000000000008</c:v>
                </c:pt>
                <c:pt idx="5">
                  <c:v>30.790000000000006</c:v>
                </c:pt>
                <c:pt idx="6">
                  <c:v>22.77000000000001</c:v>
                </c:pt>
                <c:pt idx="7">
                  <c:v>17.400000000000006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99.43</c:v>
                </c:pt>
                <c:pt idx="1">
                  <c:v>96.36</c:v>
                </c:pt>
                <c:pt idx="2">
                  <c:v>89.22</c:v>
                </c:pt>
                <c:pt idx="3">
                  <c:v>44.15</c:v>
                </c:pt>
                <c:pt idx="4">
                  <c:v>40.269999999999996</c:v>
                </c:pt>
                <c:pt idx="5">
                  <c:v>34.5</c:v>
                </c:pt>
                <c:pt idx="6">
                  <c:v>23.650000000000006</c:v>
                </c:pt>
                <c:pt idx="7">
                  <c:v>17.310000000000002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98.77</c:v>
                </c:pt>
                <c:pt idx="1">
                  <c:v>97.54</c:v>
                </c:pt>
                <c:pt idx="2">
                  <c:v>93.35</c:v>
                </c:pt>
                <c:pt idx="3">
                  <c:v>38.190000000000005</c:v>
                </c:pt>
                <c:pt idx="4">
                  <c:v>35</c:v>
                </c:pt>
                <c:pt idx="5">
                  <c:v>31.47</c:v>
                </c:pt>
                <c:pt idx="6">
                  <c:v>22.539999999999992</c:v>
                </c:pt>
                <c:pt idx="7">
                  <c:v>17.429999999999993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99.29</c:v>
                </c:pt>
                <c:pt idx="1">
                  <c:v>96.43</c:v>
                </c:pt>
                <c:pt idx="2">
                  <c:v>91.49</c:v>
                </c:pt>
                <c:pt idx="3">
                  <c:v>41.63</c:v>
                </c:pt>
                <c:pt idx="4">
                  <c:v>38.650000000000006</c:v>
                </c:pt>
                <c:pt idx="5">
                  <c:v>34.75</c:v>
                </c:pt>
                <c:pt idx="6">
                  <c:v>26.319999999999993</c:v>
                </c:pt>
                <c:pt idx="7">
                  <c:v>17.789999999999992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99.23</c:v>
                </c:pt>
                <c:pt idx="1">
                  <c:v>98.16</c:v>
                </c:pt>
                <c:pt idx="2">
                  <c:v>94.79</c:v>
                </c:pt>
                <c:pt idx="3">
                  <c:v>42.73</c:v>
                </c:pt>
                <c:pt idx="4">
                  <c:v>39.919999999999995</c:v>
                </c:pt>
                <c:pt idx="5">
                  <c:v>36.69</c:v>
                </c:pt>
                <c:pt idx="6">
                  <c:v>29.69</c:v>
                </c:pt>
                <c:pt idx="7">
                  <c:v>25.689999999999998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99.31</c:v>
                </c:pt>
                <c:pt idx="1">
                  <c:v>94.2</c:v>
                </c:pt>
                <c:pt idx="2">
                  <c:v>88.09</c:v>
                </c:pt>
                <c:pt idx="3">
                  <c:v>39.010000000000005</c:v>
                </c:pt>
                <c:pt idx="4">
                  <c:v>36.130000000000003</c:v>
                </c:pt>
                <c:pt idx="5">
                  <c:v>32.430000000000007</c:v>
                </c:pt>
                <c:pt idx="6">
                  <c:v>22.980000000000004</c:v>
                </c:pt>
                <c:pt idx="7">
                  <c:v>16.86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AD2" sqref="AD2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hidden="1" customWidth="1"/>
    <col min="8" max="8" width="11.28515625" style="1" hidden="1" customWidth="1"/>
    <col min="9" max="9" width="13" style="1" hidden="1" customWidth="1"/>
    <col min="10" max="18" width="7.7109375" style="1" hidden="1" customWidth="1"/>
    <col min="19" max="26" width="0" style="1" hidden="1" customWidth="1"/>
    <col min="27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48</v>
      </c>
      <c r="C5" s="57"/>
      <c r="D5" s="58"/>
      <c r="E5" s="46" t="s">
        <v>22</v>
      </c>
      <c r="F5" s="24">
        <v>0.5</v>
      </c>
      <c r="G5" s="46" t="s">
        <v>49</v>
      </c>
      <c r="H5" s="33">
        <v>100</v>
      </c>
      <c r="I5" s="24">
        <f>H5-SUM(J5:Q5)</f>
        <v>41.160000000000004</v>
      </c>
      <c r="J5" s="24">
        <v>0</v>
      </c>
      <c r="K5" s="24">
        <v>0.38</v>
      </c>
      <c r="L5" s="24">
        <v>3.55</v>
      </c>
      <c r="M5" s="24">
        <v>18.91</v>
      </c>
      <c r="N5" s="24">
        <v>2.5</v>
      </c>
      <c r="O5" s="24">
        <v>2.92</v>
      </c>
      <c r="P5" s="24">
        <v>15.51</v>
      </c>
      <c r="Q5" s="24">
        <v>15.07</v>
      </c>
      <c r="R5" s="10"/>
      <c r="S5" s="11">
        <f t="shared" ref="S5:S13" si="0">((H5-(SUM(J5)))/H5)*100</f>
        <v>100</v>
      </c>
      <c r="T5" s="11">
        <f t="shared" ref="T5:T13" si="1">((H5-(SUM(J5:K5)))/H5)*100</f>
        <v>99.62</v>
      </c>
      <c r="U5" s="11">
        <f t="shared" ref="U5:U13" si="2">((H5-(SUM(J5:L5)))/H5)*100</f>
        <v>96.07</v>
      </c>
      <c r="V5" s="11">
        <f t="shared" ref="V5:V13" si="3">((H5-(SUM(J5:M5)))/H5)*100</f>
        <v>77.16</v>
      </c>
      <c r="W5" s="11">
        <f t="shared" ref="W5:W13" si="4">((H5-(SUM(J5:N5)))/H5)*100</f>
        <v>74.66</v>
      </c>
      <c r="X5" s="11">
        <f t="shared" ref="X5:X13" si="5">((H5-(SUM(J5:O5)))/H5)*100</f>
        <v>71.740000000000009</v>
      </c>
      <c r="Y5" s="11">
        <f t="shared" ref="Y5:Y13" si="6">((H5-(SUM(J5:P5)))/H5)*100</f>
        <v>56.230000000000004</v>
      </c>
      <c r="Z5" s="11">
        <f t="shared" ref="Z5:Z13" si="7">((H5-(SUM(J5:Q5)))/H5)*100</f>
        <v>41.160000000000004</v>
      </c>
      <c r="AA5" s="11">
        <f t="shared" ref="AA5:AA13" si="8">100-S5</f>
        <v>0</v>
      </c>
      <c r="AB5" s="11">
        <f t="shared" ref="AB5:AB13" si="9">S5-Z5</f>
        <v>58.839999999999996</v>
      </c>
      <c r="AC5" s="11">
        <f t="shared" ref="AC5:AC13" si="10">Z5</f>
        <v>41.160000000000004</v>
      </c>
    </row>
    <row r="6" spans="1:29" ht="30" customHeight="1" x14ac:dyDescent="0.25">
      <c r="A6" s="9">
        <v>2</v>
      </c>
      <c r="B6" s="57"/>
      <c r="C6" s="57"/>
      <c r="D6" s="58"/>
      <c r="E6" s="46" t="s">
        <v>22</v>
      </c>
      <c r="F6" s="24">
        <v>1.5</v>
      </c>
      <c r="G6" s="46" t="s">
        <v>50</v>
      </c>
      <c r="H6" s="55">
        <v>100</v>
      </c>
      <c r="I6" s="24">
        <f t="shared" ref="I6:I13" si="11">H6-SUM(J6:Q6)</f>
        <v>17.890000000000015</v>
      </c>
      <c r="J6" s="24">
        <v>0</v>
      </c>
      <c r="K6" s="24">
        <v>0.39</v>
      </c>
      <c r="L6" s="24">
        <v>5.73</v>
      </c>
      <c r="M6" s="24">
        <v>47.3</v>
      </c>
      <c r="N6" s="24">
        <v>4.43</v>
      </c>
      <c r="O6" s="24">
        <v>6.1</v>
      </c>
      <c r="P6" s="24">
        <v>13.23</v>
      </c>
      <c r="Q6" s="24">
        <v>4.93</v>
      </c>
      <c r="R6" s="10"/>
      <c r="S6" s="11">
        <f t="shared" si="0"/>
        <v>100</v>
      </c>
      <c r="T6" s="11">
        <f t="shared" si="1"/>
        <v>99.61</v>
      </c>
      <c r="U6" s="11">
        <f t="shared" si="2"/>
        <v>93.88</v>
      </c>
      <c r="V6" s="11">
        <f t="shared" si="3"/>
        <v>46.580000000000005</v>
      </c>
      <c r="W6" s="11">
        <f t="shared" si="4"/>
        <v>42.150000000000006</v>
      </c>
      <c r="X6" s="11">
        <f t="shared" si="5"/>
        <v>36.050000000000004</v>
      </c>
      <c r="Y6" s="11">
        <f t="shared" si="6"/>
        <v>22.820000000000007</v>
      </c>
      <c r="Z6" s="11">
        <f t="shared" si="7"/>
        <v>17.890000000000015</v>
      </c>
      <c r="AA6" s="11">
        <f t="shared" si="8"/>
        <v>0</v>
      </c>
      <c r="AB6" s="11">
        <f t="shared" si="9"/>
        <v>82.109999999999985</v>
      </c>
      <c r="AC6" s="11">
        <f t="shared" si="10"/>
        <v>17.890000000000015</v>
      </c>
    </row>
    <row r="7" spans="1:29" ht="30" customHeight="1" x14ac:dyDescent="0.25">
      <c r="A7" s="9">
        <v>3</v>
      </c>
      <c r="B7" s="57"/>
      <c r="C7" s="57"/>
      <c r="D7" s="58"/>
      <c r="E7" s="46" t="s">
        <v>22</v>
      </c>
      <c r="F7" s="24">
        <v>3.5</v>
      </c>
      <c r="G7" s="46" t="s">
        <v>51</v>
      </c>
      <c r="H7" s="55">
        <v>100</v>
      </c>
      <c r="I7" s="24">
        <f t="shared" si="11"/>
        <v>19.190000000000012</v>
      </c>
      <c r="J7" s="24">
        <v>0.84</v>
      </c>
      <c r="K7" s="24">
        <v>3.56</v>
      </c>
      <c r="L7" s="24">
        <v>8.43</v>
      </c>
      <c r="M7" s="24">
        <v>41.61</v>
      </c>
      <c r="N7" s="24">
        <v>3.68</v>
      </c>
      <c r="O7" s="24">
        <v>6.4</v>
      </c>
      <c r="P7" s="24">
        <v>10.6</v>
      </c>
      <c r="Q7" s="24">
        <v>5.69</v>
      </c>
      <c r="R7" s="10"/>
      <c r="S7" s="11">
        <f t="shared" si="0"/>
        <v>99.16</v>
      </c>
      <c r="T7" s="11">
        <f t="shared" si="1"/>
        <v>95.6</v>
      </c>
      <c r="U7" s="11">
        <f t="shared" si="2"/>
        <v>87.17</v>
      </c>
      <c r="V7" s="11">
        <f t="shared" si="3"/>
        <v>45.56</v>
      </c>
      <c r="W7" s="11">
        <f t="shared" si="4"/>
        <v>41.88</v>
      </c>
      <c r="X7" s="11">
        <f t="shared" si="5"/>
        <v>35.480000000000004</v>
      </c>
      <c r="Y7" s="11">
        <f t="shared" si="6"/>
        <v>24.88000000000001</v>
      </c>
      <c r="Z7" s="11">
        <f t="shared" si="7"/>
        <v>19.190000000000012</v>
      </c>
      <c r="AA7" s="11">
        <f t="shared" si="8"/>
        <v>0.84000000000000341</v>
      </c>
      <c r="AB7" s="11">
        <f t="shared" si="9"/>
        <v>79.969999999999985</v>
      </c>
      <c r="AC7" s="11">
        <f t="shared" si="10"/>
        <v>19.190000000000012</v>
      </c>
    </row>
    <row r="8" spans="1:29" ht="30" customHeight="1" x14ac:dyDescent="0.25">
      <c r="A8" s="9">
        <v>4</v>
      </c>
      <c r="B8" s="57"/>
      <c r="C8" s="57"/>
      <c r="D8" s="58"/>
      <c r="E8" s="46" t="s">
        <v>22</v>
      </c>
      <c r="F8" s="24">
        <v>4.5</v>
      </c>
      <c r="G8" s="46" t="s">
        <v>52</v>
      </c>
      <c r="H8" s="55">
        <v>100</v>
      </c>
      <c r="I8" s="24">
        <f t="shared" si="11"/>
        <v>17.400000000000006</v>
      </c>
      <c r="J8" s="24">
        <v>2.57</v>
      </c>
      <c r="K8" s="24">
        <v>1.1599999999999999</v>
      </c>
      <c r="L8" s="24">
        <v>4.49</v>
      </c>
      <c r="M8" s="24">
        <v>54.22</v>
      </c>
      <c r="N8" s="24">
        <v>3.1</v>
      </c>
      <c r="O8" s="24">
        <v>3.67</v>
      </c>
      <c r="P8" s="24">
        <v>8.02</v>
      </c>
      <c r="Q8" s="24">
        <v>5.37</v>
      </c>
      <c r="R8" s="10"/>
      <c r="S8" s="11">
        <f t="shared" si="0"/>
        <v>97.43</v>
      </c>
      <c r="T8" s="11">
        <f t="shared" si="1"/>
        <v>96.27</v>
      </c>
      <c r="U8" s="11">
        <f t="shared" si="2"/>
        <v>91.78</v>
      </c>
      <c r="V8" s="11">
        <f t="shared" si="3"/>
        <v>37.56</v>
      </c>
      <c r="W8" s="11">
        <f t="shared" si="4"/>
        <v>34.460000000000008</v>
      </c>
      <c r="X8" s="11">
        <f t="shared" si="5"/>
        <v>30.790000000000006</v>
      </c>
      <c r="Y8" s="11">
        <f t="shared" si="6"/>
        <v>22.77000000000001</v>
      </c>
      <c r="Z8" s="11">
        <f t="shared" si="7"/>
        <v>17.400000000000006</v>
      </c>
      <c r="AA8" s="11">
        <f t="shared" si="8"/>
        <v>2.5699999999999932</v>
      </c>
      <c r="AB8" s="11">
        <f t="shared" si="9"/>
        <v>80.03</v>
      </c>
      <c r="AC8" s="11">
        <f t="shared" si="10"/>
        <v>17.400000000000006</v>
      </c>
    </row>
    <row r="9" spans="1:29" ht="30" customHeight="1" x14ac:dyDescent="0.25">
      <c r="A9" s="9">
        <v>5</v>
      </c>
      <c r="B9" s="57"/>
      <c r="C9" s="57"/>
      <c r="D9" s="58"/>
      <c r="E9" s="46" t="s">
        <v>22</v>
      </c>
      <c r="F9" s="24">
        <v>6.5</v>
      </c>
      <c r="G9" s="46" t="s">
        <v>53</v>
      </c>
      <c r="H9" s="55">
        <v>100</v>
      </c>
      <c r="I9" s="24">
        <f t="shared" si="11"/>
        <v>17.310000000000002</v>
      </c>
      <c r="J9" s="24">
        <v>0.56999999999999995</v>
      </c>
      <c r="K9" s="24">
        <v>3.07</v>
      </c>
      <c r="L9" s="24">
        <v>7.14</v>
      </c>
      <c r="M9" s="24">
        <v>45.07</v>
      </c>
      <c r="N9" s="24">
        <v>3.88</v>
      </c>
      <c r="O9" s="24">
        <v>5.77</v>
      </c>
      <c r="P9" s="24">
        <v>10.85</v>
      </c>
      <c r="Q9" s="24">
        <v>6.34</v>
      </c>
      <c r="R9" s="10"/>
      <c r="S9" s="11">
        <f t="shared" si="0"/>
        <v>99.43</v>
      </c>
      <c r="T9" s="11">
        <f t="shared" si="1"/>
        <v>96.36</v>
      </c>
      <c r="U9" s="11">
        <f t="shared" si="2"/>
        <v>89.22</v>
      </c>
      <c r="V9" s="11">
        <f t="shared" si="3"/>
        <v>44.15</v>
      </c>
      <c r="W9" s="11">
        <f t="shared" si="4"/>
        <v>40.269999999999996</v>
      </c>
      <c r="X9" s="11">
        <f>((H9-(SUM(J9:O9)))/H9)*100</f>
        <v>34.5</v>
      </c>
      <c r="Y9" s="11">
        <f t="shared" si="6"/>
        <v>23.650000000000006</v>
      </c>
      <c r="Z9" s="11">
        <f t="shared" si="7"/>
        <v>17.310000000000002</v>
      </c>
      <c r="AA9" s="11">
        <f t="shared" si="8"/>
        <v>0.56999999999999318</v>
      </c>
      <c r="AB9" s="11">
        <f t="shared" si="9"/>
        <v>82.12</v>
      </c>
      <c r="AC9" s="11">
        <f t="shared" si="10"/>
        <v>17.310000000000002</v>
      </c>
    </row>
    <row r="10" spans="1:29" s="34" customFormat="1" ht="30" customHeight="1" x14ac:dyDescent="0.25">
      <c r="A10" s="42"/>
      <c r="B10" s="57"/>
      <c r="C10" s="57"/>
      <c r="D10" s="58"/>
      <c r="E10" s="46" t="s">
        <v>22</v>
      </c>
      <c r="F10" s="43">
        <v>7.5</v>
      </c>
      <c r="G10" s="47" t="s">
        <v>54</v>
      </c>
      <c r="H10" s="55">
        <v>100</v>
      </c>
      <c r="I10" s="24">
        <f t="shared" si="11"/>
        <v>17.429999999999993</v>
      </c>
      <c r="J10" s="43">
        <v>1.23</v>
      </c>
      <c r="K10" s="43">
        <v>1.23</v>
      </c>
      <c r="L10" s="43">
        <v>4.1900000000000004</v>
      </c>
      <c r="M10" s="43">
        <v>55.16</v>
      </c>
      <c r="N10" s="43">
        <v>3.19</v>
      </c>
      <c r="O10" s="43">
        <v>3.53</v>
      </c>
      <c r="P10" s="43">
        <v>8.93</v>
      </c>
      <c r="Q10" s="43">
        <v>5.1100000000000003</v>
      </c>
      <c r="R10" s="44"/>
      <c r="S10" s="45">
        <f t="shared" si="0"/>
        <v>98.77</v>
      </c>
      <c r="T10" s="45">
        <f t="shared" si="1"/>
        <v>97.54</v>
      </c>
      <c r="U10" s="45">
        <f t="shared" si="2"/>
        <v>93.35</v>
      </c>
      <c r="V10" s="45">
        <f t="shared" si="3"/>
        <v>38.190000000000005</v>
      </c>
      <c r="W10" s="45">
        <f t="shared" si="4"/>
        <v>35</v>
      </c>
      <c r="X10" s="45">
        <f t="shared" si="5"/>
        <v>31.47</v>
      </c>
      <c r="Y10" s="45">
        <f t="shared" si="6"/>
        <v>22.539999999999992</v>
      </c>
      <c r="Z10" s="45">
        <f t="shared" si="7"/>
        <v>17.429999999999993</v>
      </c>
      <c r="AA10" s="45">
        <f t="shared" si="8"/>
        <v>1.230000000000004</v>
      </c>
      <c r="AB10" s="45">
        <f t="shared" si="9"/>
        <v>81.34</v>
      </c>
      <c r="AC10" s="45">
        <f t="shared" si="10"/>
        <v>17.429999999999993</v>
      </c>
    </row>
    <row r="11" spans="1:29" ht="30" customHeight="1" x14ac:dyDescent="0.25">
      <c r="A11" s="9">
        <v>7</v>
      </c>
      <c r="B11" s="57"/>
      <c r="C11" s="57"/>
      <c r="D11" s="58"/>
      <c r="E11" s="46" t="s">
        <v>22</v>
      </c>
      <c r="F11" s="24">
        <v>10.5</v>
      </c>
      <c r="G11" s="46" t="s">
        <v>55</v>
      </c>
      <c r="H11" s="55">
        <v>100</v>
      </c>
      <c r="I11" s="24">
        <f t="shared" si="11"/>
        <v>17.789999999999992</v>
      </c>
      <c r="J11" s="24">
        <v>0.71</v>
      </c>
      <c r="K11" s="24">
        <v>2.86</v>
      </c>
      <c r="L11" s="24">
        <v>4.9400000000000004</v>
      </c>
      <c r="M11" s="24">
        <v>49.86</v>
      </c>
      <c r="N11" s="24">
        <v>2.98</v>
      </c>
      <c r="O11" s="24">
        <v>3.9</v>
      </c>
      <c r="P11" s="24">
        <v>8.43</v>
      </c>
      <c r="Q11" s="24">
        <v>8.5299999999999994</v>
      </c>
      <c r="R11" s="10"/>
      <c r="S11" s="11">
        <f t="shared" si="0"/>
        <v>99.29</v>
      </c>
      <c r="T11" s="11">
        <f t="shared" si="1"/>
        <v>96.43</v>
      </c>
      <c r="U11" s="11">
        <f t="shared" si="2"/>
        <v>91.49</v>
      </c>
      <c r="V11" s="11">
        <f t="shared" si="3"/>
        <v>41.63</v>
      </c>
      <c r="W11" s="11">
        <f t="shared" si="4"/>
        <v>38.650000000000006</v>
      </c>
      <c r="X11" s="11">
        <f t="shared" si="5"/>
        <v>34.75</v>
      </c>
      <c r="Y11" s="11">
        <f t="shared" si="6"/>
        <v>26.319999999999993</v>
      </c>
      <c r="Z11" s="11">
        <f t="shared" si="7"/>
        <v>17.789999999999992</v>
      </c>
      <c r="AA11" s="11">
        <f t="shared" si="8"/>
        <v>0.70999999999999375</v>
      </c>
      <c r="AB11" s="11">
        <f t="shared" si="9"/>
        <v>81.500000000000014</v>
      </c>
      <c r="AC11" s="11">
        <f t="shared" si="10"/>
        <v>17.789999999999992</v>
      </c>
    </row>
    <row r="12" spans="1:29" ht="30" customHeight="1" x14ac:dyDescent="0.25">
      <c r="A12" s="9">
        <v>8</v>
      </c>
      <c r="B12" s="57"/>
      <c r="C12" s="57"/>
      <c r="D12" s="58"/>
      <c r="E12" s="46" t="s">
        <v>22</v>
      </c>
      <c r="F12" s="24">
        <v>13.5</v>
      </c>
      <c r="G12" s="46" t="s">
        <v>56</v>
      </c>
      <c r="H12" s="55">
        <v>100</v>
      </c>
      <c r="I12" s="24">
        <f t="shared" si="11"/>
        <v>25.689999999999998</v>
      </c>
      <c r="J12" s="24">
        <v>0.77</v>
      </c>
      <c r="K12" s="24">
        <v>1.07</v>
      </c>
      <c r="L12" s="24">
        <v>3.37</v>
      </c>
      <c r="M12" s="24">
        <v>52.06</v>
      </c>
      <c r="N12" s="24">
        <v>2.81</v>
      </c>
      <c r="O12" s="24">
        <v>3.23</v>
      </c>
      <c r="P12" s="24">
        <v>7</v>
      </c>
      <c r="Q12" s="24">
        <v>4</v>
      </c>
      <c r="R12" s="10"/>
      <c r="S12" s="11">
        <f t="shared" si="0"/>
        <v>99.23</v>
      </c>
      <c r="T12" s="11">
        <f t="shared" si="1"/>
        <v>98.16</v>
      </c>
      <c r="U12" s="11">
        <f t="shared" si="2"/>
        <v>94.79</v>
      </c>
      <c r="V12" s="11">
        <f t="shared" si="3"/>
        <v>42.73</v>
      </c>
      <c r="W12" s="11">
        <f t="shared" si="4"/>
        <v>39.919999999999995</v>
      </c>
      <c r="X12" s="11">
        <f t="shared" si="5"/>
        <v>36.69</v>
      </c>
      <c r="Y12" s="11">
        <f t="shared" si="6"/>
        <v>29.69</v>
      </c>
      <c r="Z12" s="11">
        <f t="shared" si="7"/>
        <v>25.689999999999998</v>
      </c>
      <c r="AA12" s="11">
        <f t="shared" si="8"/>
        <v>0.76999999999999602</v>
      </c>
      <c r="AB12" s="11">
        <f t="shared" si="9"/>
        <v>73.540000000000006</v>
      </c>
      <c r="AC12" s="11">
        <f t="shared" si="10"/>
        <v>25.689999999999998</v>
      </c>
    </row>
    <row r="13" spans="1:29" ht="30" customHeight="1" x14ac:dyDescent="0.25">
      <c r="A13" s="9">
        <v>9</v>
      </c>
      <c r="B13" s="57"/>
      <c r="C13" s="57"/>
      <c r="D13" s="58"/>
      <c r="E13" s="46" t="s">
        <v>22</v>
      </c>
      <c r="F13" s="24">
        <v>15</v>
      </c>
      <c r="G13" s="46" t="s">
        <v>57</v>
      </c>
      <c r="H13" s="55">
        <v>100</v>
      </c>
      <c r="I13" s="24">
        <f t="shared" si="11"/>
        <v>16.86</v>
      </c>
      <c r="J13" s="24">
        <v>0.69</v>
      </c>
      <c r="K13" s="24">
        <v>5.1100000000000003</v>
      </c>
      <c r="L13" s="24">
        <v>6.11</v>
      </c>
      <c r="M13" s="24">
        <v>49.08</v>
      </c>
      <c r="N13" s="24">
        <v>2.88</v>
      </c>
      <c r="O13" s="24">
        <v>3.7</v>
      </c>
      <c r="P13" s="24">
        <v>9.4499999999999993</v>
      </c>
      <c r="Q13" s="24">
        <v>6.12</v>
      </c>
      <c r="R13" s="10"/>
      <c r="S13" s="11">
        <f t="shared" si="0"/>
        <v>99.31</v>
      </c>
      <c r="T13" s="11">
        <f t="shared" si="1"/>
        <v>94.2</v>
      </c>
      <c r="U13" s="11">
        <f t="shared" si="2"/>
        <v>88.09</v>
      </c>
      <c r="V13" s="11">
        <f t="shared" si="3"/>
        <v>39.010000000000005</v>
      </c>
      <c r="W13" s="11">
        <f t="shared" si="4"/>
        <v>36.130000000000003</v>
      </c>
      <c r="X13" s="11">
        <f t="shared" si="5"/>
        <v>32.430000000000007</v>
      </c>
      <c r="Y13" s="11">
        <f t="shared" si="6"/>
        <v>22.980000000000004</v>
      </c>
      <c r="Z13" s="11">
        <f t="shared" si="7"/>
        <v>16.86</v>
      </c>
      <c r="AA13" s="11">
        <f t="shared" si="8"/>
        <v>0.68999999999999773</v>
      </c>
      <c r="AB13" s="11">
        <f t="shared" si="9"/>
        <v>82.45</v>
      </c>
      <c r="AC13" s="11">
        <f t="shared" si="10"/>
        <v>16.86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21" sqref="D21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CBH-10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CBH-10</v>
      </c>
      <c r="C6" s="32">
        <f>GSD!F6</f>
        <v>1.5</v>
      </c>
      <c r="D6" s="27" t="str">
        <f>GSD!E6</f>
        <v>SPT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CBH-10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CBH-10</v>
      </c>
      <c r="C8" s="32">
        <f>GSD!F8</f>
        <v>4.5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CBH-10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CBH-10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CBH-10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CBH-10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CBH-10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AJ20" sqref="AJ20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CBH-10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100</v>
      </c>
      <c r="Z3" s="52">
        <f>GSD!T5</f>
        <v>99.62</v>
      </c>
      <c r="AA3" s="52">
        <f>GSD!U5</f>
        <v>96.07</v>
      </c>
      <c r="AB3" s="52">
        <f>GSD!V5</f>
        <v>77.16</v>
      </c>
      <c r="AC3" s="52">
        <f>GSD!W5</f>
        <v>74.66</v>
      </c>
      <c r="AD3" s="52">
        <f>GSD!X5</f>
        <v>71.740000000000009</v>
      </c>
      <c r="AE3" s="52">
        <f>GSD!Y5</f>
        <v>56.230000000000004</v>
      </c>
      <c r="AF3" s="52">
        <f>GSD!Z5</f>
        <v>41.160000000000004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CBH-10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100</v>
      </c>
      <c r="Z4" s="52">
        <f>GSD!T6</f>
        <v>99.61</v>
      </c>
      <c r="AA4" s="52">
        <f>GSD!U6</f>
        <v>93.88</v>
      </c>
      <c r="AB4" s="52">
        <f>GSD!V6</f>
        <v>46.580000000000005</v>
      </c>
      <c r="AC4" s="52">
        <f>GSD!W6</f>
        <v>42.150000000000006</v>
      </c>
      <c r="AD4" s="52">
        <f>GSD!X6</f>
        <v>36.050000000000004</v>
      </c>
      <c r="AE4" s="52">
        <f>GSD!Y6</f>
        <v>22.820000000000007</v>
      </c>
      <c r="AF4" s="52">
        <f>GSD!Z6</f>
        <v>17.890000000000015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CBH-10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99.16</v>
      </c>
      <c r="Z5" s="52">
        <f>GSD!T7</f>
        <v>95.6</v>
      </c>
      <c r="AA5" s="52">
        <f>GSD!U7</f>
        <v>87.17</v>
      </c>
      <c r="AB5" s="52">
        <f>GSD!V7</f>
        <v>45.56</v>
      </c>
      <c r="AC5" s="52">
        <f>GSD!W7</f>
        <v>41.88</v>
      </c>
      <c r="AD5" s="52">
        <f>GSD!X7</f>
        <v>35.480000000000004</v>
      </c>
      <c r="AE5" s="52">
        <f>GSD!Y7</f>
        <v>24.88000000000001</v>
      </c>
      <c r="AF5" s="52">
        <f>GSD!Z7</f>
        <v>19.190000000000012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CBH-10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97.43</v>
      </c>
      <c r="Z6" s="52">
        <f>GSD!T8</f>
        <v>96.27</v>
      </c>
      <c r="AA6" s="52">
        <f>GSD!U8</f>
        <v>91.78</v>
      </c>
      <c r="AB6" s="52">
        <f>GSD!V8</f>
        <v>37.56</v>
      </c>
      <c r="AC6" s="52">
        <f>GSD!W8</f>
        <v>34.460000000000008</v>
      </c>
      <c r="AD6" s="52">
        <f>GSD!X8</f>
        <v>30.790000000000006</v>
      </c>
      <c r="AE6" s="52">
        <f>GSD!Y8</f>
        <v>22.77000000000001</v>
      </c>
      <c r="AF6" s="52">
        <f>GSD!Z8</f>
        <v>17.400000000000006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CBH-10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99.43</v>
      </c>
      <c r="Z7" s="52">
        <f>GSD!T9</f>
        <v>96.36</v>
      </c>
      <c r="AA7" s="52">
        <f>GSD!U9</f>
        <v>89.22</v>
      </c>
      <c r="AB7" s="52">
        <f>GSD!V9</f>
        <v>44.15</v>
      </c>
      <c r="AC7" s="52">
        <f>GSD!W9</f>
        <v>40.269999999999996</v>
      </c>
      <c r="AD7" s="52">
        <f>GSD!X9</f>
        <v>34.5</v>
      </c>
      <c r="AE7" s="52">
        <f>GSD!Y9</f>
        <v>23.650000000000006</v>
      </c>
      <c r="AF7" s="52">
        <f>GSD!Z9</f>
        <v>17.310000000000002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CBH-10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98.77</v>
      </c>
      <c r="Z8" s="52">
        <f>GSD!T10</f>
        <v>97.54</v>
      </c>
      <c r="AA8" s="52">
        <f>GSD!U10</f>
        <v>93.35</v>
      </c>
      <c r="AB8" s="52">
        <f>GSD!V10</f>
        <v>38.190000000000005</v>
      </c>
      <c r="AC8" s="52">
        <f>GSD!W10</f>
        <v>35</v>
      </c>
      <c r="AD8" s="52">
        <f>GSD!X10</f>
        <v>31.47</v>
      </c>
      <c r="AE8" s="52">
        <f>GSD!Y10</f>
        <v>22.539999999999992</v>
      </c>
      <c r="AF8" s="52">
        <f>GSD!Z10</f>
        <v>17.429999999999993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CBH-10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99.29</v>
      </c>
      <c r="Z9" s="52">
        <f>GSD!T11</f>
        <v>96.43</v>
      </c>
      <c r="AA9" s="52">
        <f>GSD!U11</f>
        <v>91.49</v>
      </c>
      <c r="AB9" s="52">
        <f>GSD!V11</f>
        <v>41.63</v>
      </c>
      <c r="AC9" s="52">
        <f>GSD!W11</f>
        <v>38.650000000000006</v>
      </c>
      <c r="AD9" s="52">
        <f>GSD!X11</f>
        <v>34.75</v>
      </c>
      <c r="AE9" s="52">
        <f>GSD!Y11</f>
        <v>26.319999999999993</v>
      </c>
      <c r="AF9" s="52">
        <f>GSD!Z11</f>
        <v>17.789999999999992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>
        <v>8</v>
      </c>
      <c r="B10" s="48" t="str">
        <f t="shared" si="0"/>
        <v>CBH-10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99.23</v>
      </c>
      <c r="Z10" s="52">
        <f>GSD!T12</f>
        <v>98.16</v>
      </c>
      <c r="AA10" s="52">
        <f>GSD!U12</f>
        <v>94.79</v>
      </c>
      <c r="AB10" s="52">
        <f>GSD!V12</f>
        <v>42.73</v>
      </c>
      <c r="AC10" s="52">
        <f>GSD!W12</f>
        <v>39.919999999999995</v>
      </c>
      <c r="AD10" s="52">
        <f>GSD!X12</f>
        <v>36.69</v>
      </c>
      <c r="AE10" s="52">
        <f>GSD!Y12</f>
        <v>29.69</v>
      </c>
      <c r="AF10" s="52">
        <f>GSD!Z12</f>
        <v>25.689999999999998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/>
      <c r="AU10" s="54"/>
      <c r="AV10" s="54"/>
      <c r="AW10" s="54"/>
    </row>
    <row r="11" spans="1:49" s="41" customFormat="1" x14ac:dyDescent="0.25">
      <c r="A11" s="48">
        <v>9</v>
      </c>
      <c r="B11" s="48" t="str">
        <f t="shared" si="0"/>
        <v>CBH-10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99.31</v>
      </c>
      <c r="Z11" s="52">
        <f>GSD!T13</f>
        <v>94.2</v>
      </c>
      <c r="AA11" s="52">
        <f>GSD!U13</f>
        <v>88.09</v>
      </c>
      <c r="AB11" s="52">
        <f>GSD!V13</f>
        <v>39.010000000000005</v>
      </c>
      <c r="AC11" s="52">
        <f>GSD!W13</f>
        <v>36.130000000000003</v>
      </c>
      <c r="AD11" s="52">
        <f>GSD!X13</f>
        <v>32.430000000000007</v>
      </c>
      <c r="AE11" s="52">
        <f>GSD!Y13</f>
        <v>22.980000000000004</v>
      </c>
      <c r="AF11" s="52">
        <f>GSD!Z13</f>
        <v>16.86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2026-09-16T12:45:02Z</dcterms:modified>
</cp:coreProperties>
</file>