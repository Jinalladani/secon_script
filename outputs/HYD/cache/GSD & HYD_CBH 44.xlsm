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3\17.Canal_CH_366.087 km (CBH-43 &amp; CBH-44)\"/>
    </mc:Choice>
  </mc:AlternateContent>
  <xr:revisionPtr revIDLastSave="0" documentId="13_ncr:1_{D52DDD18-5515-4AE4-A5FA-277E854FB638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6" i="7"/>
  <c r="I7" i="7"/>
  <c r="I8" i="7"/>
  <c r="I9" i="7"/>
  <c r="I10" i="7"/>
  <c r="I11" i="7"/>
  <c r="I12" i="7"/>
  <c r="I13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D3" i="9"/>
  <c r="E3" i="9" s="1"/>
  <c r="F3" i="9" s="1"/>
  <c r="D4" i="9"/>
  <c r="E4" i="9" s="1"/>
  <c r="F4" i="9" s="1"/>
  <c r="D5" i="9"/>
  <c r="E5" i="9" s="1"/>
  <c r="F5" i="9" s="1"/>
  <c r="D6" i="9"/>
  <c r="E6" i="9" s="1"/>
  <c r="F6" i="9" s="1"/>
  <c r="D7" i="9"/>
  <c r="E7" i="9" s="1"/>
  <c r="F7" i="9" s="1"/>
  <c r="D8" i="9"/>
  <c r="E8" i="9" s="1"/>
  <c r="F8" i="9" s="1"/>
  <c r="D9" i="9"/>
  <c r="E9" i="9" s="1"/>
  <c r="F9" i="9" s="1"/>
  <c r="D10" i="9"/>
  <c r="E10" i="9" s="1"/>
  <c r="F10" i="9" s="1"/>
  <c r="D11" i="9"/>
  <c r="E11" i="9" s="1"/>
  <c r="F11" i="9" s="1"/>
  <c r="D12" i="9"/>
  <c r="E12" i="9" s="1"/>
  <c r="F12" i="9" s="1"/>
  <c r="D13" i="9"/>
  <c r="E13" i="9" s="1"/>
  <c r="F13" i="9" s="1"/>
  <c r="D14" i="9"/>
  <c r="E14" i="9" s="1"/>
  <c r="F14" i="9" s="1"/>
  <c r="D15" i="9"/>
  <c r="E15" i="9" s="1"/>
  <c r="F15" i="9" s="1"/>
  <c r="D16" i="9"/>
  <c r="E16" i="9" s="1"/>
  <c r="F16" i="9" s="1"/>
  <c r="D17" i="9"/>
  <c r="E17" i="9" s="1"/>
  <c r="F17" i="9" s="1"/>
  <c r="D18" i="9"/>
  <c r="E18" i="9" s="1"/>
  <c r="F18" i="9" s="1"/>
  <c r="D19" i="9"/>
  <c r="E19" i="9" s="1"/>
  <c r="F19" i="9" s="1"/>
  <c r="D20" i="9"/>
  <c r="E20" i="9" s="1"/>
  <c r="F20" i="9" s="1"/>
  <c r="D21" i="9"/>
  <c r="E21" i="9" s="1"/>
  <c r="F21" i="9" s="1"/>
  <c r="D22" i="9"/>
  <c r="E22" i="9" s="1"/>
  <c r="F22" i="9" s="1"/>
  <c r="D23" i="9"/>
  <c r="E23" i="9" s="1"/>
  <c r="F23" i="9" s="1"/>
  <c r="D24" i="9"/>
  <c r="E24" i="9" s="1"/>
  <c r="F24" i="9" s="1"/>
  <c r="D25" i="9"/>
  <c r="E25" i="9" s="1"/>
  <c r="F25" i="9" s="1"/>
  <c r="D26" i="9"/>
  <c r="E26" i="9" s="1"/>
  <c r="F26" i="9" s="1"/>
  <c r="D27" i="9"/>
  <c r="E27" i="9" s="1"/>
  <c r="F27" i="9" s="1"/>
  <c r="D28" i="9"/>
  <c r="E28" i="9" s="1"/>
  <c r="F28" i="9" s="1"/>
  <c r="D29" i="9"/>
  <c r="E29" i="9" s="1"/>
  <c r="F29" i="9" s="1"/>
  <c r="D30" i="9"/>
  <c r="E30" i="9" s="1"/>
  <c r="F30" i="9" s="1"/>
  <c r="D31" i="9"/>
  <c r="E31" i="9" s="1"/>
  <c r="F31" i="9" s="1"/>
  <c r="D32" i="9"/>
  <c r="E32" i="9" s="1"/>
  <c r="F32" i="9" s="1"/>
  <c r="D33" i="9"/>
  <c r="E33" i="9" s="1"/>
  <c r="F33" i="9" s="1"/>
  <c r="D34" i="9"/>
  <c r="E34" i="9" s="1"/>
  <c r="F34" i="9" s="1"/>
  <c r="D35" i="9"/>
  <c r="E35" i="9" s="1"/>
  <c r="F35" i="9" s="1"/>
  <c r="D36" i="9"/>
  <c r="E36" i="9" s="1"/>
  <c r="F36" i="9" s="1"/>
  <c r="D37" i="9"/>
  <c r="E37" i="9" s="1"/>
  <c r="F37" i="9" s="1"/>
  <c r="D38" i="9"/>
  <c r="E38" i="9" s="1"/>
  <c r="F38" i="9" s="1"/>
  <c r="D39" i="9"/>
  <c r="E39" i="9" s="1"/>
  <c r="F39" i="9" s="1"/>
  <c r="D40" i="9"/>
  <c r="E40" i="9" s="1"/>
  <c r="F40" i="9" s="1"/>
  <c r="D41" i="9"/>
  <c r="E41" i="9" s="1"/>
  <c r="F41" i="9" s="1"/>
  <c r="D2" i="9"/>
  <c r="E2" i="9" s="1"/>
  <c r="F2" i="9" s="1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<sst xmlns="http://schemas.openxmlformats.org/spreadsheetml/2006/main" count="82" uniqueCount="59">
  <si>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</si>
  <si>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</si>
  <si>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</si>
  <si>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</si>
  <si>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</si>
  <si>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</si>
  <si>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</si>
  <si>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</si>
  <si>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</si>
  <si>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</si>
  <si>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</si>
  <si>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</si>
  <si>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</si>
  <si>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</si>
  <si>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</si>
  <si>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</si>
  <si>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</si>
  <si>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</si>
  <si>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</si>
  <si>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</si>
  <si>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</si>
  <si>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</si>
  <si>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</si>
  <si>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</si>
  <si>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</si>
  <si>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</si>
  <si>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</si>
  <si>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</si>
  <si>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</si>
  <si>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</si>
  <si>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</si>
  <si>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</si>
  <si>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</si>
  <si>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</si>
  <si>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</si>
  <si>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</si>
  <si>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</si>
  <si>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</si>
  <si>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</si>
  <si>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</si>
  <si>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</si>
  <si>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</si>
  <si>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</si>
  <si>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</si>
  <si>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</si>
  <si>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</si>
  <si>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</si>
  <si>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</si>
  <si>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</si>
  <si>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CBH-44</t>
  </si>
  <si>
    <t>A163</t>
  </si>
  <si>
    <t>A150</t>
  </si>
  <si>
    <t>A060</t>
  </si>
  <si>
    <t>A133</t>
  </si>
  <si>
    <t>A029</t>
  </si>
  <si>
    <t>A103</t>
  </si>
  <si>
    <t>A144</t>
  </si>
  <si>
    <t>A129</t>
  </si>
  <si>
    <t>A033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</si>
</sst>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99.36</c:v>
                </c:pt>
                <c:pt idx="2">
                  <c:v>99.03</c:v>
                </c:pt>
                <c:pt idx="3">
                  <c:v>96.63</c:v>
                </c:pt>
                <c:pt idx="4">
                  <c:v>87.98</c:v>
                </c:pt>
                <c:pt idx="5">
                  <c:v>83.75</c:v>
                </c:pt>
                <c:pt idx="6">
                  <c:v>69.539999999999992</c:v>
                </c:pt>
                <c:pt idx="7">
                  <c:v>53.12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98.215000000000003</c:v>
                </c:pt>
                <c:pt idx="1">
                  <c:v>96.17</c:v>
                </c:pt>
                <c:pt idx="2">
                  <c:v>94.61</c:v>
                </c:pt>
                <c:pt idx="3">
                  <c:v>78.144999999999996</c:v>
                </c:pt>
                <c:pt idx="4">
                  <c:v>73.289999999999992</c:v>
                </c:pt>
                <c:pt idx="5">
                  <c:v>66.394999999999996</c:v>
                </c:pt>
                <c:pt idx="6">
                  <c:v>51</c:v>
                </c:pt>
                <c:pt idx="7">
                  <c:v>37.26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79.28</c:v>
                </c:pt>
                <c:pt idx="1">
                  <c:v>76.92</c:v>
                </c:pt>
                <c:pt idx="2">
                  <c:v>75.25</c:v>
                </c:pt>
                <c:pt idx="3">
                  <c:v>73.5</c:v>
                </c:pt>
                <c:pt idx="4">
                  <c:v>72.3</c:v>
                </c:pt>
                <c:pt idx="5">
                  <c:v>68.94</c:v>
                </c:pt>
                <c:pt idx="6">
                  <c:v>57.600000000000009</c:v>
                </c:pt>
                <c:pt idx="7">
                  <c:v>41.95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98.325000000000003</c:v>
                </c:pt>
                <c:pt idx="1">
                  <c:v>97.575000000000003</c:v>
                </c:pt>
                <c:pt idx="2">
                  <c:v>97.05</c:v>
                </c:pt>
                <c:pt idx="3">
                  <c:v>84.605000000000004</c:v>
                </c:pt>
                <c:pt idx="4">
                  <c:v>80.015000000000001</c:v>
                </c:pt>
                <c:pt idx="5">
                  <c:v>73.164999999999992</c:v>
                </c:pt>
                <c:pt idx="6">
                  <c:v>60.644999999999996</c:v>
                </c:pt>
                <c:pt idx="7">
                  <c:v>44.444999999999993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96.19</c:v>
                </c:pt>
                <c:pt idx="1">
                  <c:v>93.92</c:v>
                </c:pt>
                <c:pt idx="2">
                  <c:v>92.41</c:v>
                </c:pt>
                <c:pt idx="3">
                  <c:v>90.2</c:v>
                </c:pt>
                <c:pt idx="4">
                  <c:v>86.95</c:v>
                </c:pt>
                <c:pt idx="5">
                  <c:v>72.7</c:v>
                </c:pt>
                <c:pt idx="6">
                  <c:v>50.080000000000005</c:v>
                </c:pt>
                <c:pt idx="7">
                  <c:v>24.680000000000007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89.015000000000001</c:v>
                </c:pt>
                <c:pt idx="1">
                  <c:v>85.385000000000005</c:v>
                </c:pt>
                <c:pt idx="2">
                  <c:v>84.78</c:v>
                </c:pt>
                <c:pt idx="3">
                  <c:v>83.825000000000003</c:v>
                </c:pt>
                <c:pt idx="4">
                  <c:v>80.790000000000006</c:v>
                </c:pt>
                <c:pt idx="5">
                  <c:v>77.025000000000006</c:v>
                </c:pt>
                <c:pt idx="6">
                  <c:v>59.61</c:v>
                </c:pt>
                <c:pt idx="7">
                  <c:v>43.74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91.76</c:v>
                </c:pt>
                <c:pt idx="1">
                  <c:v>88.57</c:v>
                </c:pt>
                <c:pt idx="2">
                  <c:v>87.194999999999993</c:v>
                </c:pt>
                <c:pt idx="3">
                  <c:v>86.665000000000006</c:v>
                </c:pt>
                <c:pt idx="4">
                  <c:v>86.355000000000004</c:v>
                </c:pt>
                <c:pt idx="5">
                  <c:v>84.984999999999999</c:v>
                </c:pt>
                <c:pt idx="6">
                  <c:v>71.674999999999997</c:v>
                </c:pt>
                <c:pt idx="7">
                  <c:v>64.069999999999993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86.32</c:v>
                </c:pt>
                <c:pt idx="1">
                  <c:v>83.34</c:v>
                </c:pt>
                <c:pt idx="2">
                  <c:v>82.27</c:v>
                </c:pt>
                <c:pt idx="3">
                  <c:v>81.710000000000008</c:v>
                </c:pt>
                <c:pt idx="4">
                  <c:v>81.430000000000007</c:v>
                </c:pt>
                <c:pt idx="5">
                  <c:v>80.05</c:v>
                </c:pt>
                <c:pt idx="6">
                  <c:v>48.05</c:v>
                </c:pt>
                <c:pt idx="7">
                  <c:v>29.719999999999995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97.08</c:v>
                </c:pt>
                <c:pt idx="1">
                  <c:v>94.82</c:v>
                </c:pt>
                <c:pt idx="2">
                  <c:v>92.86</c:v>
                </c:pt>
                <c:pt idx="3">
                  <c:v>92.27</c:v>
                </c:pt>
                <c:pt idx="4">
                  <c:v>92.1</c:v>
                </c:pt>
                <c:pt idx="5">
                  <c:v>90.37</c:v>
                </c:pt>
                <c:pt idx="6">
                  <c:v>47.379999999999995</c:v>
                </c:pt>
                <c:pt idx="7">
                  <c:v>28.549999999999997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99.36</c:v>
                </c:pt>
                <c:pt idx="2">
                  <c:v>99.03</c:v>
                </c:pt>
                <c:pt idx="3">
                  <c:v>96.63</c:v>
                </c:pt>
                <c:pt idx="4">
                  <c:v>87.98</c:v>
                </c:pt>
                <c:pt idx="5">
                  <c:v>83.75</c:v>
                </c:pt>
                <c:pt idx="6">
                  <c:v>69.539999999999992</c:v>
                </c:pt>
                <c:pt idx="7">
                  <c:v>53.12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98.215000000000003</c:v>
                </c:pt>
                <c:pt idx="1">
                  <c:v>96.17</c:v>
                </c:pt>
                <c:pt idx="2">
                  <c:v>94.61</c:v>
                </c:pt>
                <c:pt idx="3">
                  <c:v>78.144999999999996</c:v>
                </c:pt>
                <c:pt idx="4">
                  <c:v>73.289999999999992</c:v>
                </c:pt>
                <c:pt idx="5">
                  <c:v>66.394999999999996</c:v>
                </c:pt>
                <c:pt idx="6">
                  <c:v>51</c:v>
                </c:pt>
                <c:pt idx="7">
                  <c:v>37.26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79.28</c:v>
                </c:pt>
                <c:pt idx="1">
                  <c:v>76.92</c:v>
                </c:pt>
                <c:pt idx="2">
                  <c:v>75.25</c:v>
                </c:pt>
                <c:pt idx="3">
                  <c:v>73.5</c:v>
                </c:pt>
                <c:pt idx="4">
                  <c:v>72.3</c:v>
                </c:pt>
                <c:pt idx="5">
                  <c:v>68.94</c:v>
                </c:pt>
                <c:pt idx="6">
                  <c:v>57.600000000000009</c:v>
                </c:pt>
                <c:pt idx="7">
                  <c:v>41.95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6.8857609476359674E-2</c:v>
                </c:pt>
                <c:pt idx="9" formatCode="0.00000">
                  <c:v>4.8689682597029008E-2</c:v>
                </c:pt>
                <c:pt idx="10" formatCode="0.00000">
                  <c:v>3.4789325613782902E-2</c:v>
                </c:pt>
                <c:pt idx="11" formatCode="0.00000">
                  <c:v>2.4599768054412739E-2</c:v>
                </c:pt>
                <c:pt idx="12" formatCode="0.00000">
                  <c:v>1.8154019726369559E-2</c:v>
                </c:pt>
                <c:pt idx="13" formatCode="0.00000">
                  <c:v>1.3257821484701829E-2</c:v>
                </c:pt>
                <c:pt idx="14" formatCode="0.00000">
                  <c:v>9.3746954755933639E-3</c:v>
                </c:pt>
                <c:pt idx="15" formatCode="0.00000">
                  <c:v>6.6289107423509143E-3</c:v>
                </c:pt>
                <c:pt idx="16" formatCode="0.00000">
                  <c:v>4.731504887213937E-3</c:v>
                </c:pt>
                <c:pt idx="17" formatCode="0.00000">
                  <c:v>3.3456791909662656E-3</c:v>
                </c:pt>
                <c:pt idx="18" formatCode="0.00000">
                  <c:v>2.3657524436069685E-3</c:v>
                </c:pt>
                <c:pt idx="19" formatCode="0.00000">
                  <c:v>1.6883071469829987E-3</c:v>
                </c:pt>
                <c:pt idx="20" formatCode="0.00000">
                  <c:v>1.3784970130674621E-3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98.325000000000003</c:v>
                </c:pt>
                <c:pt idx="1">
                  <c:v>97.575000000000003</c:v>
                </c:pt>
                <c:pt idx="2">
                  <c:v>97.05</c:v>
                </c:pt>
                <c:pt idx="3">
                  <c:v>84.605000000000004</c:v>
                </c:pt>
                <c:pt idx="4">
                  <c:v>80.015000000000001</c:v>
                </c:pt>
                <c:pt idx="5">
                  <c:v>73.164999999999992</c:v>
                </c:pt>
                <c:pt idx="6">
                  <c:v>60.644999999999996</c:v>
                </c:pt>
                <c:pt idx="7">
                  <c:v>44.444999999999993</c:v>
                </c:pt>
                <c:pt idx="8">
                  <c:v>21.582318681318345</c:v>
                </c:pt>
                <c:pt idx="9">
                  <c:v>21.582318681318345</c:v>
                </c:pt>
                <c:pt idx="10">
                  <c:v>18.361317460317476</c:v>
                </c:pt>
                <c:pt idx="11">
                  <c:v>18.361317460317476</c:v>
                </c:pt>
                <c:pt idx="12">
                  <c:v>18.361317460317476</c:v>
                </c:pt>
                <c:pt idx="13">
                  <c:v>18.361317460317476</c:v>
                </c:pt>
                <c:pt idx="14">
                  <c:v>18.361317460317476</c:v>
                </c:pt>
                <c:pt idx="15">
                  <c:v>18.361317460317476</c:v>
                </c:pt>
                <c:pt idx="16">
                  <c:v>15.140316239315895</c:v>
                </c:pt>
                <c:pt idx="17">
                  <c:v>15.140316239315895</c:v>
                </c:pt>
                <c:pt idx="18">
                  <c:v>15.140316239315895</c:v>
                </c:pt>
                <c:pt idx="19">
                  <c:v>11.919315018315029</c:v>
                </c:pt>
                <c:pt idx="20">
                  <c:v>11.919315018315029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96.19</c:v>
                </c:pt>
                <c:pt idx="1">
                  <c:v>93.92</c:v>
                </c:pt>
                <c:pt idx="2">
                  <c:v>92.41</c:v>
                </c:pt>
                <c:pt idx="3">
                  <c:v>90.2</c:v>
                </c:pt>
                <c:pt idx="4">
                  <c:v>86.95</c:v>
                </c:pt>
                <c:pt idx="5">
                  <c:v>72.7</c:v>
                </c:pt>
                <c:pt idx="6">
                  <c:v>50.080000000000005</c:v>
                </c:pt>
                <c:pt idx="7">
                  <c:v>24.680000000000007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89.015000000000001</c:v>
                </c:pt>
                <c:pt idx="1">
                  <c:v>85.385000000000005</c:v>
                </c:pt>
                <c:pt idx="2">
                  <c:v>84.78</c:v>
                </c:pt>
                <c:pt idx="3">
                  <c:v>83.825000000000003</c:v>
                </c:pt>
                <c:pt idx="4">
                  <c:v>80.790000000000006</c:v>
                </c:pt>
                <c:pt idx="5">
                  <c:v>77.025000000000006</c:v>
                </c:pt>
                <c:pt idx="6">
                  <c:v>59.61</c:v>
                </c:pt>
                <c:pt idx="7">
                  <c:v>43.74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91.76</c:v>
                </c:pt>
                <c:pt idx="1">
                  <c:v>88.57</c:v>
                </c:pt>
                <c:pt idx="2">
                  <c:v>87.194999999999993</c:v>
                </c:pt>
                <c:pt idx="3">
                  <c:v>86.665000000000006</c:v>
                </c:pt>
                <c:pt idx="4">
                  <c:v>86.355000000000004</c:v>
                </c:pt>
                <c:pt idx="5">
                  <c:v>84.984999999999999</c:v>
                </c:pt>
                <c:pt idx="6">
                  <c:v>71.674999999999997</c:v>
                </c:pt>
                <c:pt idx="7">
                  <c:v>64.069999999999993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86.32</c:v>
                </c:pt>
                <c:pt idx="1">
                  <c:v>83.34</c:v>
                </c:pt>
                <c:pt idx="2">
                  <c:v>82.27</c:v>
                </c:pt>
                <c:pt idx="3">
                  <c:v>81.710000000000008</c:v>
                </c:pt>
                <c:pt idx="4">
                  <c:v>81.430000000000007</c:v>
                </c:pt>
                <c:pt idx="5">
                  <c:v>80.05</c:v>
                </c:pt>
                <c:pt idx="6">
                  <c:v>48.05</c:v>
                </c:pt>
                <c:pt idx="7">
                  <c:v>29.719999999999995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97.08</c:v>
                </c:pt>
                <c:pt idx="1">
                  <c:v>94.82</c:v>
                </c:pt>
                <c:pt idx="2">
                  <c:v>92.86</c:v>
                </c:pt>
                <c:pt idx="3">
                  <c:v>92.27</c:v>
                </c:pt>
                <c:pt idx="4">
                  <c:v>92.1</c:v>
                </c:pt>
                <c:pt idx="5">
                  <c:v>90.37</c:v>
                </c:pt>
                <c:pt idx="6">
                  <c:v>47.379999999999995</c:v>
                </c:pt>
                <c:pt idx="7">
                  <c:v>28.549999999999997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A2" zoomScale="130" zoomScaleNormal="85" zoomScaleSheetLayoutView="130" zoomScalePageLayoutView="85" workbookViewId="0">
      <selection activeCell="R8" sqref="R8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49</v>
      </c>
      <c r="C5" s="57"/>
      <c r="D5" s="58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53.12</v>
      </c>
      <c r="J5" s="24">
        <v>0</v>
      </c>
      <c r="K5" s="24">
        <v>0.64</v>
      </c>
      <c r="L5" s="24">
        <v>0.33</v>
      </c>
      <c r="M5" s="24">
        <v>2.4</v>
      </c>
      <c r="N5" s="24">
        <v>8.65</v>
      </c>
      <c r="O5" s="24">
        <v>4.2300000000000004</v>
      </c>
      <c r="P5" s="24">
        <v>14.21</v>
      </c>
      <c r="Q5" s="24">
        <v>16.420000000000002</v>
      </c>
      <c r="R5" s="10"/>
      <c r="S5" s="11">
        <f t="shared" ref="S5:S13" si="0">((H5-(SUM(J5)))/H5)*100</f>
        <v>100</v>
      </c>
      <c r="T5" s="11">
        <f t="shared" ref="T5:T13" si="1">((H5-(SUM(J5:K5)))/H5)*100</f>
        <v>99.36</v>
      </c>
      <c r="U5" s="11">
        <f t="shared" ref="U5:U13" si="2">((H5-(SUM(J5:L5)))/H5)*100</f>
        <v>99.03</v>
      </c>
      <c r="V5" s="11">
        <f t="shared" ref="V5:V13" si="3">((H5-(SUM(J5:M5)))/H5)*100</f>
        <v>96.63</v>
      </c>
      <c r="W5" s="11">
        <f t="shared" ref="W5:W13" si="4">((H5-(SUM(J5:N5)))/H5)*100</f>
        <v>87.98</v>
      </c>
      <c r="X5" s="11">
        <f t="shared" ref="X5:X13" si="5">((H5-(SUM(J5:O5)))/H5)*100</f>
        <v>83.75</v>
      </c>
      <c r="Y5" s="11">
        <f t="shared" ref="Y5:Y13" si="6">((H5-(SUM(J5:P5)))/H5)*100</f>
        <v>69.539999999999992</v>
      </c>
      <c r="Z5" s="11">
        <f t="shared" ref="Z5:Z13" si="7">((H5-(SUM(J5:Q5)))/H5)*100</f>
        <v>53.12</v>
      </c>
      <c r="AA5" s="11">
        <f t="shared" ref="AA5:AA13" si="8">100-S5</f>
        <v>0</v>
      </c>
      <c r="AB5" s="11">
        <f t="shared" ref="AB5:AB13" si="9">S5-Z5</f>
        <v>46.88</v>
      </c>
      <c r="AC5" s="11">
        <f t="shared" ref="AC5:AC13" si="10">Z5</f>
        <v>53.12</v>
      </c>
    </row>
    <row r="6" spans="1:29" ht="30" customHeight="1" x14ac:dyDescent="0.25">
      <c r="A6" s="9">
        <v>2</v>
      </c>
      <c r="B6" s="57"/>
      <c r="C6" s="57"/>
      <c r="D6" s="58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3" si="11">H6-SUM(J6:Q6)</f>
        <v>74.52</v>
      </c>
      <c r="J6" s="24">
        <v>3.57</v>
      </c>
      <c r="K6" s="24">
        <v>4.09</v>
      </c>
      <c r="L6" s="24">
        <v>3.12</v>
      </c>
      <c r="M6" s="24">
        <v>32.93</v>
      </c>
      <c r="N6" s="24">
        <v>9.7100000000000009</v>
      </c>
      <c r="O6" s="24">
        <v>13.79</v>
      </c>
      <c r="P6" s="24">
        <v>30.79</v>
      </c>
      <c r="Q6" s="24">
        <v>27.48</v>
      </c>
      <c r="R6" s="10"/>
      <c r="S6" s="11">
        <f t="shared" si="0"/>
        <v>98.215000000000003</v>
      </c>
      <c r="T6" s="11">
        <f t="shared" si="1"/>
        <v>96.17</v>
      </c>
      <c r="U6" s="11">
        <f t="shared" si="2"/>
        <v>94.61</v>
      </c>
      <c r="V6" s="11">
        <f t="shared" si="3"/>
        <v>78.144999999999996</v>
      </c>
      <c r="W6" s="11">
        <f t="shared" si="4"/>
        <v>73.289999999999992</v>
      </c>
      <c r="X6" s="11">
        <f t="shared" si="5"/>
        <v>66.394999999999996</v>
      </c>
      <c r="Y6" s="11">
        <f t="shared" si="6"/>
        <v>51</v>
      </c>
      <c r="Z6" s="11">
        <f t="shared" si="7"/>
        <v>37.26</v>
      </c>
      <c r="AA6" s="11">
        <f t="shared" si="8"/>
        <v>1.7849999999999966</v>
      </c>
      <c r="AB6" s="11">
        <f t="shared" si="9"/>
        <v>60.955000000000005</v>
      </c>
      <c r="AC6" s="11">
        <f t="shared" si="10"/>
        <v>37.26</v>
      </c>
    </row>
    <row r="7" spans="1:29" ht="30" customHeight="1" x14ac:dyDescent="0.25">
      <c r="A7" s="9">
        <v>3</v>
      </c>
      <c r="B7" s="57"/>
      <c r="C7" s="57"/>
      <c r="D7" s="58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41.95</v>
      </c>
      <c r="J7" s="24">
        <v>20.72</v>
      </c>
      <c r="K7" s="24">
        <v>2.36</v>
      </c>
      <c r="L7" s="24">
        <v>1.67</v>
      </c>
      <c r="M7" s="24">
        <v>1.75</v>
      </c>
      <c r="N7" s="24">
        <v>1.2</v>
      </c>
      <c r="O7" s="24">
        <v>3.36</v>
      </c>
      <c r="P7" s="24">
        <v>11.34</v>
      </c>
      <c r="Q7" s="24">
        <v>15.65</v>
      </c>
      <c r="R7" s="10"/>
      <c r="S7" s="11">
        <f t="shared" si="0"/>
        <v>79.28</v>
      </c>
      <c r="T7" s="11">
        <f t="shared" si="1"/>
        <v>76.92</v>
      </c>
      <c r="U7" s="11">
        <f t="shared" si="2"/>
        <v>75.25</v>
      </c>
      <c r="V7" s="11">
        <f t="shared" si="3"/>
        <v>73.5</v>
      </c>
      <c r="W7" s="11">
        <f t="shared" si="4"/>
        <v>72.3</v>
      </c>
      <c r="X7" s="11">
        <f t="shared" si="5"/>
        <v>68.94</v>
      </c>
      <c r="Y7" s="11">
        <f t="shared" si="6"/>
        <v>57.600000000000009</v>
      </c>
      <c r="Z7" s="11">
        <f t="shared" si="7"/>
        <v>41.95</v>
      </c>
      <c r="AA7" s="11">
        <f t="shared" si="8"/>
        <v>20.72</v>
      </c>
      <c r="AB7" s="11">
        <f t="shared" si="9"/>
        <v>37.33</v>
      </c>
      <c r="AC7" s="11">
        <f t="shared" si="10"/>
        <v>41.95</v>
      </c>
    </row>
    <row r="8" spans="1:29" ht="30" customHeight="1" x14ac:dyDescent="0.25">
      <c r="A8" s="9">
        <v>4</v>
      </c>
      <c r="B8" s="57"/>
      <c r="C8" s="57"/>
      <c r="D8" s="58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88.889999999999986</v>
      </c>
      <c r="J8" s="24">
        <v>3.35</v>
      </c>
      <c r="K8" s="24">
        <v>1.5</v>
      </c>
      <c r="L8" s="24">
        <v>1.05</v>
      </c>
      <c r="M8" s="24">
        <v>24.89</v>
      </c>
      <c r="N8" s="24">
        <v>9.18</v>
      </c>
      <c r="O8" s="24">
        <v>13.7</v>
      </c>
      <c r="P8" s="24">
        <v>25.04</v>
      </c>
      <c r="Q8" s="24">
        <v>32.4</v>
      </c>
      <c r="R8" s="10"/>
      <c r="S8" s="11">
        <f t="shared" si="0"/>
        <v>98.325000000000003</v>
      </c>
      <c r="T8" s="11">
        <f t="shared" si="1"/>
        <v>97.575000000000003</v>
      </c>
      <c r="U8" s="11">
        <f t="shared" si="2"/>
        <v>97.05</v>
      </c>
      <c r="V8" s="11">
        <f t="shared" si="3"/>
        <v>84.605000000000004</v>
      </c>
      <c r="W8" s="11">
        <f t="shared" si="4"/>
        <v>80.015000000000001</v>
      </c>
      <c r="X8" s="11">
        <f t="shared" si="5"/>
        <v>73.164999999999992</v>
      </c>
      <c r="Y8" s="11">
        <f t="shared" si="6"/>
        <v>60.644999999999996</v>
      </c>
      <c r="Z8" s="11">
        <f t="shared" si="7"/>
        <v>44.444999999999993</v>
      </c>
      <c r="AA8" s="11">
        <f t="shared" si="8"/>
        <v>1.6749999999999972</v>
      </c>
      <c r="AB8" s="11">
        <f t="shared" si="9"/>
        <v>53.88000000000001</v>
      </c>
      <c r="AC8" s="11">
        <f t="shared" si="10"/>
        <v>44.444999999999993</v>
      </c>
    </row>
    <row r="9" spans="1:29" ht="30" customHeight="1" x14ac:dyDescent="0.25">
      <c r="A9" s="9">
        <v>5</v>
      </c>
      <c r="B9" s="57"/>
      <c r="C9" s="57"/>
      <c r="D9" s="58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24.680000000000007</v>
      </c>
      <c r="J9" s="24">
        <v>3.81</v>
      </c>
      <c r="K9" s="24">
        <v>2.27</v>
      </c>
      <c r="L9" s="24">
        <v>1.51</v>
      </c>
      <c r="M9" s="24">
        <v>2.21</v>
      </c>
      <c r="N9" s="24">
        <v>3.25</v>
      </c>
      <c r="O9" s="24">
        <v>14.25</v>
      </c>
      <c r="P9" s="24">
        <v>22.62</v>
      </c>
      <c r="Q9" s="24">
        <v>25.4</v>
      </c>
      <c r="R9" s="10"/>
      <c r="S9" s="11">
        <f t="shared" si="0"/>
        <v>96.19</v>
      </c>
      <c r="T9" s="11">
        <f t="shared" si="1"/>
        <v>93.92</v>
      </c>
      <c r="U9" s="11">
        <f t="shared" si="2"/>
        <v>92.41</v>
      </c>
      <c r="V9" s="11">
        <f t="shared" si="3"/>
        <v>90.2</v>
      </c>
      <c r="W9" s="11">
        <f t="shared" si="4"/>
        <v>86.95</v>
      </c>
      <c r="X9" s="11">
        <f>((H9-(SUM(J9:O9)))/H9)*100</f>
        <v>72.7</v>
      </c>
      <c r="Y9" s="11">
        <f t="shared" si="6"/>
        <v>50.080000000000005</v>
      </c>
      <c r="Z9" s="11">
        <f t="shared" si="7"/>
        <v>24.680000000000007</v>
      </c>
      <c r="AA9" s="11">
        <f t="shared" si="8"/>
        <v>3.8100000000000023</v>
      </c>
      <c r="AB9" s="11">
        <f t="shared" si="9"/>
        <v>71.509999999999991</v>
      </c>
      <c r="AC9" s="11">
        <f t="shared" si="10"/>
        <v>24.680000000000007</v>
      </c>
    </row>
    <row r="10" spans="1:29" s="34" customFormat="1" ht="30" customHeight="1" x14ac:dyDescent="0.25">
      <c r="A10" s="43"/>
      <c r="B10" s="57"/>
      <c r="C10" s="57"/>
      <c r="D10" s="58"/>
      <c r="E10" s="48" t="s">
        <v>48</v>
      </c>
      <c r="F10" s="44">
        <v>7.5</v>
      </c>
      <c r="G10" s="48" t="s">
        <v>55</v>
      </c>
      <c r="H10" s="42">
        <v>200</v>
      </c>
      <c r="I10" s="24">
        <f t="shared" si="11"/>
        <v>87.48</v>
      </c>
      <c r="J10" s="44">
        <v>21.97</v>
      </c>
      <c r="K10" s="44">
        <v>7.26</v>
      </c>
      <c r="L10" s="44">
        <v>1.21</v>
      </c>
      <c r="M10" s="44">
        <v>1.91</v>
      </c>
      <c r="N10" s="44">
        <v>6.07</v>
      </c>
      <c r="O10" s="44">
        <v>7.53</v>
      </c>
      <c r="P10" s="44">
        <v>34.83</v>
      </c>
      <c r="Q10" s="44">
        <v>31.74</v>
      </c>
      <c r="R10" s="45"/>
      <c r="S10" s="46">
        <f t="shared" si="0"/>
        <v>89.015000000000001</v>
      </c>
      <c r="T10" s="46">
        <f t="shared" si="1"/>
        <v>85.385000000000005</v>
      </c>
      <c r="U10" s="46">
        <f t="shared" si="2"/>
        <v>84.78</v>
      </c>
      <c r="V10" s="46">
        <f t="shared" si="3"/>
        <v>83.825000000000003</v>
      </c>
      <c r="W10" s="46">
        <f t="shared" si="4"/>
        <v>80.790000000000006</v>
      </c>
      <c r="X10" s="46">
        <f t="shared" si="5"/>
        <v>77.025000000000006</v>
      </c>
      <c r="Y10" s="46">
        <f t="shared" si="6"/>
        <v>59.61</v>
      </c>
      <c r="Z10" s="46">
        <f t="shared" si="7"/>
        <v>43.74</v>
      </c>
      <c r="AA10" s="46">
        <f t="shared" si="8"/>
        <v>10.984999999999999</v>
      </c>
      <c r="AB10" s="46">
        <f t="shared" si="9"/>
        <v>45.274999999999999</v>
      </c>
      <c r="AC10" s="46">
        <f t="shared" si="10"/>
        <v>43.74</v>
      </c>
    </row>
    <row r="11" spans="1:29" ht="30" customHeight="1" x14ac:dyDescent="0.25">
      <c r="A11" s="9">
        <v>7</v>
      </c>
      <c r="B11" s="57"/>
      <c r="C11" s="57"/>
      <c r="D11" s="58"/>
      <c r="E11" s="47" t="s">
        <v>48</v>
      </c>
      <c r="F11" s="24">
        <v>10.5</v>
      </c>
      <c r="G11" s="47" t="s">
        <v>56</v>
      </c>
      <c r="H11" s="33">
        <v>200</v>
      </c>
      <c r="I11" s="24">
        <f t="shared" si="11"/>
        <v>128.13999999999999</v>
      </c>
      <c r="J11" s="24">
        <v>16.48</v>
      </c>
      <c r="K11" s="24">
        <v>6.38</v>
      </c>
      <c r="L11" s="24">
        <v>2.75</v>
      </c>
      <c r="M11" s="24">
        <v>1.06</v>
      </c>
      <c r="N11" s="24">
        <v>0.62</v>
      </c>
      <c r="O11" s="24">
        <v>2.74</v>
      </c>
      <c r="P11" s="24">
        <v>26.62</v>
      </c>
      <c r="Q11" s="24">
        <v>15.21</v>
      </c>
      <c r="R11" s="10"/>
      <c r="S11" s="11">
        <f t="shared" si="0"/>
        <v>91.76</v>
      </c>
      <c r="T11" s="11">
        <f t="shared" si="1"/>
        <v>88.57</v>
      </c>
      <c r="U11" s="11">
        <f t="shared" si="2"/>
        <v>87.194999999999993</v>
      </c>
      <c r="V11" s="11">
        <f t="shared" si="3"/>
        <v>86.665000000000006</v>
      </c>
      <c r="W11" s="11">
        <f t="shared" si="4"/>
        <v>86.355000000000004</v>
      </c>
      <c r="X11" s="11">
        <f t="shared" si="5"/>
        <v>84.984999999999999</v>
      </c>
      <c r="Y11" s="11">
        <f t="shared" si="6"/>
        <v>71.674999999999997</v>
      </c>
      <c r="Z11" s="11">
        <f t="shared" si="7"/>
        <v>64.069999999999993</v>
      </c>
      <c r="AA11" s="11">
        <f t="shared" si="8"/>
        <v>8.2399999999999949</v>
      </c>
      <c r="AB11" s="11">
        <f t="shared" si="9"/>
        <v>27.690000000000012</v>
      </c>
      <c r="AC11" s="11">
        <f t="shared" si="10"/>
        <v>64.069999999999993</v>
      </c>
    </row>
    <row r="12" spans="1:29" ht="30" customHeight="1" x14ac:dyDescent="0.25">
      <c r="A12" s="9">
        <v>8</v>
      </c>
      <c r="B12" s="57"/>
      <c r="C12" s="57"/>
      <c r="D12" s="58"/>
      <c r="E12" s="47" t="s">
        <v>22</v>
      </c>
      <c r="F12" s="24">
        <v>13.5</v>
      </c>
      <c r="G12" s="47" t="s">
        <v>57</v>
      </c>
      <c r="H12" s="33">
        <v>100</v>
      </c>
      <c r="I12" s="24">
        <f t="shared" si="11"/>
        <v>29.72</v>
      </c>
      <c r="J12" s="24">
        <v>13.68</v>
      </c>
      <c r="K12" s="24">
        <v>2.98</v>
      </c>
      <c r="L12" s="24">
        <v>1.07</v>
      </c>
      <c r="M12" s="24">
        <v>0.56000000000000005</v>
      </c>
      <c r="N12" s="24">
        <v>0.28000000000000003</v>
      </c>
      <c r="O12" s="24">
        <v>1.38</v>
      </c>
      <c r="P12" s="24">
        <v>32</v>
      </c>
      <c r="Q12" s="24">
        <v>18.329999999999998</v>
      </c>
      <c r="R12" s="10"/>
      <c r="S12" s="11">
        <f t="shared" si="0"/>
        <v>86.32</v>
      </c>
      <c r="T12" s="11">
        <f t="shared" si="1"/>
        <v>83.34</v>
      </c>
      <c r="U12" s="11">
        <f t="shared" si="2"/>
        <v>82.27</v>
      </c>
      <c r="V12" s="11">
        <f t="shared" si="3"/>
        <v>81.710000000000008</v>
      </c>
      <c r="W12" s="11">
        <f t="shared" si="4"/>
        <v>81.430000000000007</v>
      </c>
      <c r="X12" s="11">
        <f t="shared" si="5"/>
        <v>80.05</v>
      </c>
      <c r="Y12" s="11">
        <f t="shared" si="6"/>
        <v>48.05</v>
      </c>
      <c r="Z12" s="11">
        <f t="shared" si="7"/>
        <v>29.719999999999995</v>
      </c>
      <c r="AA12" s="11">
        <f t="shared" si="8"/>
        <v>13.680000000000007</v>
      </c>
      <c r="AB12" s="11">
        <f t="shared" si="9"/>
        <v>56.599999999999994</v>
      </c>
      <c r="AC12" s="11">
        <f t="shared" si="10"/>
        <v>29.719999999999995</v>
      </c>
    </row>
    <row r="13" spans="1:29" ht="30" customHeight="1" x14ac:dyDescent="0.25">
      <c r="A13" s="9">
        <v>9</v>
      </c>
      <c r="B13" s="57"/>
      <c r="C13" s="57"/>
      <c r="D13" s="58"/>
      <c r="E13" s="47" t="s">
        <v>22</v>
      </c>
      <c r="F13" s="24">
        <v>15</v>
      </c>
      <c r="G13" s="47" t="s">
        <v>58</v>
      </c>
      <c r="H13" s="33">
        <v>100</v>
      </c>
      <c r="I13" s="24">
        <f t="shared" si="11"/>
        <v>28.549999999999997</v>
      </c>
      <c r="J13" s="24">
        <v>2.92</v>
      </c>
      <c r="K13" s="24">
        <v>2.2599999999999998</v>
      </c>
      <c r="L13" s="24">
        <v>1.96</v>
      </c>
      <c r="M13" s="24">
        <v>0.59</v>
      </c>
      <c r="N13" s="24">
        <v>0.17</v>
      </c>
      <c r="O13" s="24">
        <v>1.73</v>
      </c>
      <c r="P13" s="24">
        <v>42.99</v>
      </c>
      <c r="Q13" s="24">
        <v>18.829999999999998</v>
      </c>
      <c r="R13" s="10"/>
      <c r="S13" s="11">
        <f t="shared" si="0"/>
        <v>97.08</v>
      </c>
      <c r="T13" s="11">
        <f t="shared" si="1"/>
        <v>94.82</v>
      </c>
      <c r="U13" s="11">
        <f t="shared" si="2"/>
        <v>92.86</v>
      </c>
      <c r="V13" s="11">
        <f t="shared" si="3"/>
        <v>92.27</v>
      </c>
      <c r="W13" s="11">
        <f t="shared" si="4"/>
        <v>92.1</v>
      </c>
      <c r="X13" s="11">
        <f t="shared" si="5"/>
        <v>90.37</v>
      </c>
      <c r="Y13" s="11">
        <f t="shared" si="6"/>
        <v>47.379999999999995</v>
      </c>
      <c r="Z13" s="11">
        <f t="shared" si="7"/>
        <v>28.549999999999997</v>
      </c>
      <c r="AA13" s="11">
        <f t="shared" si="8"/>
        <v>2.9200000000000017</v>
      </c>
      <c r="AB13" s="11">
        <f t="shared" si="9"/>
        <v>68.53</v>
      </c>
      <c r="AC13" s="11">
        <f t="shared" si="10"/>
        <v>28.549999999999997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J1" zoomScale="145" zoomScaleNormal="145" zoomScaleSheetLayoutView="145" workbookViewId="0">
      <selection activeCell="AR7" sqref="AR7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CBH-44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CBH-44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CBH-44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CBH-44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>
        <v>2.6379999999999999</v>
      </c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>
        <v>1.0069999999999999</v>
      </c>
      <c r="N8" s="30">
        <v>1.0069999999999999</v>
      </c>
      <c r="O8" s="30">
        <v>1.006</v>
      </c>
      <c r="P8" s="30">
        <v>1.006</v>
      </c>
      <c r="Q8" s="30">
        <v>1.006</v>
      </c>
      <c r="R8" s="30">
        <v>1.006</v>
      </c>
      <c r="S8" s="30">
        <v>1.006</v>
      </c>
      <c r="T8" s="30">
        <v>1.006</v>
      </c>
      <c r="U8" s="30">
        <v>1.0049999999999999</v>
      </c>
      <c r="V8" s="30">
        <v>1.0049999999999999</v>
      </c>
      <c r="W8" s="30">
        <v>1.0049999999999999</v>
      </c>
      <c r="X8" s="30">
        <v>1.004</v>
      </c>
      <c r="Y8" s="30">
        <v>1.004</v>
      </c>
      <c r="Z8" s="31">
        <v>6.8857609476359674E-2</v>
      </c>
      <c r="AA8" s="31">
        <v>4.8689682597029008E-2</v>
      </c>
      <c r="AB8" s="31">
        <v>3.4789325613782902E-2</v>
      </c>
      <c r="AC8" s="31">
        <v>2.4599768054412739E-2</v>
      </c>
      <c r="AD8" s="31">
        <v>1.8154019726369559E-2</v>
      </c>
      <c r="AE8" s="31">
        <v>1.3257821484701829E-2</v>
      </c>
      <c r="AF8" s="31">
        <v>9.3746954755933639E-3</v>
      </c>
      <c r="AG8" s="31">
        <v>6.6289107423509143E-3</v>
      </c>
      <c r="AH8" s="31">
        <v>4.731504887213937E-3</v>
      </c>
      <c r="AI8" s="31">
        <v>3.3456791909662656E-3</v>
      </c>
      <c r="AJ8" s="31">
        <v>2.3657524436069685E-3</v>
      </c>
      <c r="AK8" s="31">
        <v>1.6883071469829987E-3</v>
      </c>
      <c r="AL8" s="31">
        <v>1.3784970130674621E-3</v>
      </c>
      <c r="AM8" s="32">
        <v>21.582318681318345</v>
      </c>
      <c r="AN8" s="32">
        <v>21.582318681318345</v>
      </c>
      <c r="AO8" s="32">
        <v>18.361317460317476</v>
      </c>
      <c r="AP8" s="32">
        <v>18.361317460317476</v>
      </c>
      <c r="AQ8" s="32">
        <v>18.361317460317476</v>
      </c>
      <c r="AR8" s="32">
        <v>18.361317460317476</v>
      </c>
      <c r="AS8" s="32">
        <v>18.361317460317476</v>
      </c>
      <c r="AT8" s="32">
        <v>18.361317460317476</v>
      </c>
      <c r="AU8" s="32">
        <v>15.140316239315895</v>
      </c>
      <c r="AV8" s="32">
        <v>15.140316239315895</v>
      </c>
      <c r="AW8" s="32">
        <v>15.140316239315895</v>
      </c>
      <c r="AX8" s="32">
        <v>11.919315018315029</v>
      </c>
      <c r="AY8" s="32">
        <v>11.919315018315029</v>
      </c>
      <c r="AZ8" s="21"/>
      <c r="BA8" s="21"/>
    </row>
    <row r="9" spans="1:53" x14ac:dyDescent="0.25">
      <c r="A9" s="27">
        <v>5</v>
      </c>
      <c r="B9" s="27" t="str">
        <f t="shared" si="2"/>
        <v>CBH-44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CBH-44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CBH-44</v>
      </c>
      <c r="C11" s="36">
        <f>GSD!F11</f>
        <v>10.5</v>
      </c>
      <c r="D11" s="35" t="str">
        <f>GSD!E11</f>
        <v>UDS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CBH-44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CBH-44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H1" zoomScale="130" zoomScaleNormal="130" workbookViewId="0">
      <selection activeCell="AR20" sqref="AR20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CBH-44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100</v>
      </c>
      <c r="Z3" s="53">
        <f>GSD!T5</f>
        <v>99.36</v>
      </c>
      <c r="AA3" s="53">
        <f>GSD!U5</f>
        <v>99.03</v>
      </c>
      <c r="AB3" s="53">
        <f>GSD!V5</f>
        <v>96.63</v>
      </c>
      <c r="AC3" s="53">
        <f>GSD!W5</f>
        <v>87.98</v>
      </c>
      <c r="AD3" s="53">
        <f>GSD!X5</f>
        <v>83.75</v>
      </c>
      <c r="AE3" s="53">
        <f>GSD!Y5</f>
        <v>69.539999999999992</v>
      </c>
      <c r="AF3" s="53">
        <f>GSD!Z5</f>
        <v>53.12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>
        <v>0</v>
      </c>
      <c r="AU3" s="53">
        <v>46.88</v>
      </c>
      <c r="AV3" s="53"/>
      <c r="AW3" s="53"/>
    </row>
    <row r="4" spans="1:49" s="41" customFormat="1" x14ac:dyDescent="0.25">
      <c r="A4" s="49">
        <v>2</v>
      </c>
      <c r="B4" s="49" t="str">
        <f>B3</f>
        <v>CBH-44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98.215000000000003</v>
      </c>
      <c r="Z4" s="53">
        <f>GSD!T6</f>
        <v>96.17</v>
      </c>
      <c r="AA4" s="53">
        <f>GSD!U6</f>
        <v>94.61</v>
      </c>
      <c r="AB4" s="53">
        <f>GSD!V6</f>
        <v>78.144999999999996</v>
      </c>
      <c r="AC4" s="53">
        <f>GSD!W6</f>
        <v>73.289999999999992</v>
      </c>
      <c r="AD4" s="53">
        <f>GSD!X6</f>
        <v>66.394999999999996</v>
      </c>
      <c r="AE4" s="53">
        <f>GSD!Y6</f>
        <v>51</v>
      </c>
      <c r="AF4" s="53">
        <f>GSD!Z6</f>
        <v>37.26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>
        <v>1.7849999999999966</v>
      </c>
      <c r="AU4" s="53">
        <v>60.955000000000005</v>
      </c>
      <c r="AV4" s="53"/>
      <c r="AW4" s="53"/>
    </row>
    <row r="5" spans="1:49" s="41" customFormat="1" x14ac:dyDescent="0.25">
      <c r="A5" s="49">
        <v>3</v>
      </c>
      <c r="B5" s="49" t="str">
        <f t="shared" ref="B5:B11" si="0">B4</f>
        <v>CBH-44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79.28</v>
      </c>
      <c r="Z5" s="53">
        <f>GSD!T7</f>
        <v>76.92</v>
      </c>
      <c r="AA5" s="53">
        <f>GSD!U7</f>
        <v>75.25</v>
      </c>
      <c r="AB5" s="53">
        <f>GSD!V7</f>
        <v>73.5</v>
      </c>
      <c r="AC5" s="53">
        <f>GSD!W7</f>
        <v>72.3</v>
      </c>
      <c r="AD5" s="53">
        <f>GSD!X7</f>
        <v>68.94</v>
      </c>
      <c r="AE5" s="53">
        <f>GSD!Y7</f>
        <v>57.600000000000009</v>
      </c>
      <c r="AF5" s="53">
        <f>GSD!Z7</f>
        <v>41.95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>
        <v>20.72</v>
      </c>
      <c r="AU5" s="53">
        <v>37.33</v>
      </c>
      <c r="AV5" s="53"/>
      <c r="AW5" s="53"/>
    </row>
    <row r="6" spans="1:49" s="41" customFormat="1" x14ac:dyDescent="0.25">
      <c r="A6" s="49">
        <v>4</v>
      </c>
      <c r="B6" s="49" t="str">
        <f t="shared" si="0"/>
        <v>CBH-44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6.8857609476359674E-2</v>
      </c>
      <c r="M6" s="52">
        <f>HYD!AA8</f>
        <v>4.8689682597029008E-2</v>
      </c>
      <c r="N6" s="52">
        <f>HYD!AB8</f>
        <v>3.4789325613782902E-2</v>
      </c>
      <c r="O6" s="52">
        <f>HYD!AC8</f>
        <v>2.4599768054412739E-2</v>
      </c>
      <c r="P6" s="52">
        <f>HYD!AD8</f>
        <v>1.8154019726369559E-2</v>
      </c>
      <c r="Q6" s="52">
        <f>HYD!AE8</f>
        <v>1.3257821484701829E-2</v>
      </c>
      <c r="R6" s="52">
        <f>HYD!AF8</f>
        <v>9.3746954755933639E-3</v>
      </c>
      <c r="S6" s="52">
        <f>HYD!AG8</f>
        <v>6.6289107423509143E-3</v>
      </c>
      <c r="T6" s="52">
        <f>HYD!AH8</f>
        <v>4.731504887213937E-3</v>
      </c>
      <c r="U6" s="52">
        <f>HYD!AI8</f>
        <v>3.3456791909662656E-3</v>
      </c>
      <c r="V6" s="52">
        <f>HYD!AJ8</f>
        <v>2.3657524436069685E-3</v>
      </c>
      <c r="W6" s="52">
        <f>HYD!AK8</f>
        <v>1.6883071469829987E-3</v>
      </c>
      <c r="X6" s="52">
        <f>HYD!AL8</f>
        <v>1.3784970130674621E-3</v>
      </c>
      <c r="Y6" s="53">
        <f>GSD!S8</f>
        <v>98.325000000000003</v>
      </c>
      <c r="Z6" s="53">
        <f>GSD!T8</f>
        <v>97.575000000000003</v>
      </c>
      <c r="AA6" s="53">
        <f>GSD!U8</f>
        <v>97.05</v>
      </c>
      <c r="AB6" s="53">
        <f>GSD!V8</f>
        <v>84.605000000000004</v>
      </c>
      <c r="AC6" s="53">
        <f>GSD!W8</f>
        <v>80.015000000000001</v>
      </c>
      <c r="AD6" s="53">
        <f>GSD!X8</f>
        <v>73.164999999999992</v>
      </c>
      <c r="AE6" s="53">
        <f>GSD!Y8</f>
        <v>60.644999999999996</v>
      </c>
      <c r="AF6" s="53">
        <f>GSD!Z8</f>
        <v>44.444999999999993</v>
      </c>
      <c r="AG6" s="53">
        <f>HYD!AM8</f>
        <v>21.582318681318345</v>
      </c>
      <c r="AH6" s="53">
        <f>HYD!AN8</f>
        <v>21.582318681318345</v>
      </c>
      <c r="AI6" s="53">
        <f>HYD!AO8</f>
        <v>18.361317460317476</v>
      </c>
      <c r="AJ6" s="53">
        <f>HYD!AP8</f>
        <v>18.361317460317476</v>
      </c>
      <c r="AK6" s="53">
        <f>HYD!AQ8</f>
        <v>18.361317460317476</v>
      </c>
      <c r="AL6" s="53">
        <f>HYD!AR8</f>
        <v>18.361317460317476</v>
      </c>
      <c r="AM6" s="53">
        <f>HYD!AS8</f>
        <v>18.361317460317476</v>
      </c>
      <c r="AN6" s="53">
        <f>HYD!AT8</f>
        <v>18.361317460317476</v>
      </c>
      <c r="AO6" s="53">
        <f>HYD!AU8</f>
        <v>15.140316239315895</v>
      </c>
      <c r="AP6" s="53">
        <f>HYD!AV8</f>
        <v>15.140316239315895</v>
      </c>
      <c r="AQ6" s="53">
        <f>HYD!AW8</f>
        <v>15.140316239315895</v>
      </c>
      <c r="AR6" s="53">
        <f>HYD!AX8</f>
        <v>11.919315018315029</v>
      </c>
      <c r="AS6" s="53">
        <f>HYD!AY8</f>
        <v>11.919315018315029</v>
      </c>
      <c r="AT6" s="53">
        <v>1.6749999999999972</v>
      </c>
      <c r="AU6" s="53">
        <v>53.88000000000001</v>
      </c>
      <c r="AV6" s="53">
        <v>30.908158002038036</v>
      </c>
      <c r="AW6" s="53">
        <v>13.536841997961956</v>
      </c>
    </row>
    <row r="7" spans="1:49" s="41" customFormat="1" x14ac:dyDescent="0.25">
      <c r="A7" s="49">
        <v>5</v>
      </c>
      <c r="B7" s="49" t="str">
        <f t="shared" si="0"/>
        <v>CBH-44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96.19</v>
      </c>
      <c r="Z7" s="53">
        <f>GSD!T9</f>
        <v>93.92</v>
      </c>
      <c r="AA7" s="53">
        <f>GSD!U9</f>
        <v>92.41</v>
      </c>
      <c r="AB7" s="53">
        <f>GSD!V9</f>
        <v>90.2</v>
      </c>
      <c r="AC7" s="53">
        <f>GSD!W9</f>
        <v>86.95</v>
      </c>
      <c r="AD7" s="53">
        <f>GSD!X9</f>
        <v>72.7</v>
      </c>
      <c r="AE7" s="53">
        <f>GSD!Y9</f>
        <v>50.080000000000005</v>
      </c>
      <c r="AF7" s="53">
        <f>GSD!Z9</f>
        <v>24.680000000000007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>
        <v>3.8100000000000023</v>
      </c>
      <c r="AU7" s="53">
        <v>71.509999999999991</v>
      </c>
      <c r="AV7" s="53"/>
      <c r="AW7" s="53"/>
    </row>
    <row r="8" spans="1:49" s="41" customFormat="1" x14ac:dyDescent="0.25">
      <c r="A8" s="49">
        <v>6</v>
      </c>
      <c r="B8" s="49" t="str">
        <f t="shared" si="0"/>
        <v>CBH-44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89.015000000000001</v>
      </c>
      <c r="Z8" s="53">
        <f>GSD!T10</f>
        <v>85.385000000000005</v>
      </c>
      <c r="AA8" s="53">
        <f>GSD!U10</f>
        <v>84.78</v>
      </c>
      <c r="AB8" s="53">
        <f>GSD!V10</f>
        <v>83.825000000000003</v>
      </c>
      <c r="AC8" s="53">
        <f>GSD!W10</f>
        <v>80.790000000000006</v>
      </c>
      <c r="AD8" s="53">
        <f>GSD!X10</f>
        <v>77.025000000000006</v>
      </c>
      <c r="AE8" s="53">
        <f>GSD!Y10</f>
        <v>59.61</v>
      </c>
      <c r="AF8" s="53">
        <f>GSD!Z10</f>
        <v>43.74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>
        <v>10.984999999999999</v>
      </c>
      <c r="AU8" s="53">
        <v>45.274999999999999</v>
      </c>
      <c r="AV8" s="53"/>
      <c r="AW8" s="53"/>
    </row>
    <row r="9" spans="1:49" s="41" customFormat="1" x14ac:dyDescent="0.25">
      <c r="A9" s="49">
        <v>7</v>
      </c>
      <c r="B9" s="49" t="str">
        <f t="shared" si="0"/>
        <v>CBH-44</v>
      </c>
      <c r="C9" s="50">
        <f>GSD!F11</f>
        <v>10.5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91.76</v>
      </c>
      <c r="Z9" s="53">
        <f>GSD!T11</f>
        <v>88.57</v>
      </c>
      <c r="AA9" s="53">
        <f>GSD!U11</f>
        <v>87.194999999999993</v>
      </c>
      <c r="AB9" s="53">
        <f>GSD!V11</f>
        <v>86.665000000000006</v>
      </c>
      <c r="AC9" s="53">
        <f>GSD!W11</f>
        <v>86.355000000000004</v>
      </c>
      <c r="AD9" s="53">
        <f>GSD!X11</f>
        <v>84.984999999999999</v>
      </c>
      <c r="AE9" s="53">
        <f>GSD!Y11</f>
        <v>71.674999999999997</v>
      </c>
      <c r="AF9" s="53">
        <f>GSD!Z11</f>
        <v>64.069999999999993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>
        <v>8.2399999999999949</v>
      </c>
      <c r="AU9" s="55">
        <v>27.690000000000012</v>
      </c>
      <c r="AV9" s="55"/>
      <c r="AW9" s="55"/>
    </row>
    <row r="10" spans="1:49" s="41" customFormat="1" x14ac:dyDescent="0.25">
      <c r="A10" s="49">
        <v>8</v>
      </c>
      <c r="B10" s="49" t="str">
        <f t="shared" si="0"/>
        <v>CBH-44</v>
      </c>
      <c r="C10" s="50">
        <f>GSD!F12</f>
        <v>13.5</v>
      </c>
      <c r="D10" s="51">
        <v>4.75</v>
      </c>
      <c r="E10" s="51">
        <v>2</v>
      </c>
      <c r="F10" s="51">
        <v>1.18</v>
      </c>
      <c r="G10" s="51">
        <v>0.6</v>
      </c>
      <c r="H10" s="51">
        <v>0.42499999999999999</v>
      </c>
      <c r="I10" s="51">
        <v>0.3</v>
      </c>
      <c r="J10" s="51">
        <v>0.15</v>
      </c>
      <c r="K10" s="51">
        <v>7.4999999999999997E-2</v>
      </c>
      <c r="L10" s="52">
        <f>HYD!Z12</f>
        <v>0</v>
      </c>
      <c r="M10" s="52">
        <f>HYD!AA12</f>
        <v>0</v>
      </c>
      <c r="N10" s="52">
        <f>HYD!AB12</f>
        <v>0</v>
      </c>
      <c r="O10" s="52">
        <f>HYD!AC12</f>
        <v>0</v>
      </c>
      <c r="P10" s="52">
        <f>HYD!AD12</f>
        <v>0</v>
      </c>
      <c r="Q10" s="52">
        <f>HYD!AE12</f>
        <v>0</v>
      </c>
      <c r="R10" s="52">
        <f>HYD!AF12</f>
        <v>0</v>
      </c>
      <c r="S10" s="52">
        <f>HYD!AG12</f>
        <v>0</v>
      </c>
      <c r="T10" s="52">
        <f>HYD!AH12</f>
        <v>0</v>
      </c>
      <c r="U10" s="52">
        <f>HYD!AI12</f>
        <v>0</v>
      </c>
      <c r="V10" s="52">
        <f>HYD!AJ12</f>
        <v>0</v>
      </c>
      <c r="W10" s="52">
        <f>HYD!AK12</f>
        <v>0</v>
      </c>
      <c r="X10" s="52">
        <f>HYD!AL12</f>
        <v>0</v>
      </c>
      <c r="Y10" s="53">
        <f>GSD!S12</f>
        <v>86.32</v>
      </c>
      <c r="Z10" s="53">
        <f>GSD!T12</f>
        <v>83.34</v>
      </c>
      <c r="AA10" s="53">
        <f>GSD!U12</f>
        <v>82.27</v>
      </c>
      <c r="AB10" s="53">
        <f>GSD!V12</f>
        <v>81.710000000000008</v>
      </c>
      <c r="AC10" s="53">
        <f>GSD!W12</f>
        <v>81.430000000000007</v>
      </c>
      <c r="AD10" s="53">
        <f>GSD!X12</f>
        <v>80.05</v>
      </c>
      <c r="AE10" s="53">
        <f>GSD!Y12</f>
        <v>48.05</v>
      </c>
      <c r="AF10" s="53">
        <f>GSD!Z12</f>
        <v>29.719999999999995</v>
      </c>
      <c r="AG10" s="53">
        <f>HYD!AM12</f>
        <v>0</v>
      </c>
      <c r="AH10" s="53">
        <f>HYD!AN12</f>
        <v>0</v>
      </c>
      <c r="AI10" s="53">
        <f>HYD!AO12</f>
        <v>0</v>
      </c>
      <c r="AJ10" s="53">
        <f>HYD!AP12</f>
        <v>0</v>
      </c>
      <c r="AK10" s="53">
        <f>HYD!AQ12</f>
        <v>0</v>
      </c>
      <c r="AL10" s="53">
        <f>HYD!AR12</f>
        <v>0</v>
      </c>
      <c r="AM10" s="53">
        <f>HYD!AS12</f>
        <v>0</v>
      </c>
      <c r="AN10" s="53">
        <f>HYD!AT12</f>
        <v>0</v>
      </c>
      <c r="AO10" s="53">
        <f>HYD!AU12</f>
        <v>0</v>
      </c>
      <c r="AP10" s="53">
        <f>HYD!AV12</f>
        <v>0</v>
      </c>
      <c r="AQ10" s="53">
        <f>HYD!AW12</f>
        <v>0</v>
      </c>
      <c r="AR10" s="53">
        <f>HYD!AX12</f>
        <v>0</v>
      </c>
      <c r="AS10" s="53">
        <f>HYD!AY12</f>
        <v>0</v>
      </c>
      <c r="AT10" s="55">
        <v>13.680000000000007</v>
      </c>
      <c r="AU10" s="55">
        <v>56.599999999999994</v>
      </c>
      <c r="AV10" s="55"/>
      <c r="AW10" s="55"/>
    </row>
    <row r="11" spans="1:49" s="41" customFormat="1" x14ac:dyDescent="0.25">
      <c r="A11" s="49">
        <v>9</v>
      </c>
      <c r="B11" s="49" t="str">
        <f t="shared" si="0"/>
        <v>CBH-44</v>
      </c>
      <c r="C11" s="50">
        <f>GSD!F13</f>
        <v>15</v>
      </c>
      <c r="D11" s="51">
        <v>4.75</v>
      </c>
      <c r="E11" s="51">
        <v>2</v>
      </c>
      <c r="F11" s="51">
        <v>1.18</v>
      </c>
      <c r="G11" s="51">
        <v>0.6</v>
      </c>
      <c r="H11" s="51">
        <v>0.42499999999999999</v>
      </c>
      <c r="I11" s="51">
        <v>0.3</v>
      </c>
      <c r="J11" s="51">
        <v>0.15</v>
      </c>
      <c r="K11" s="51">
        <v>7.4999999999999997E-2</v>
      </c>
      <c r="L11" s="52">
        <f>HYD!Z13</f>
        <v>0</v>
      </c>
      <c r="M11" s="52">
        <f>HYD!AA13</f>
        <v>0</v>
      </c>
      <c r="N11" s="52">
        <f>HYD!AB13</f>
        <v>0</v>
      </c>
      <c r="O11" s="52">
        <f>HYD!AC13</f>
        <v>0</v>
      </c>
      <c r="P11" s="52">
        <f>HYD!AD13</f>
        <v>0</v>
      </c>
      <c r="Q11" s="52">
        <f>HYD!AE13</f>
        <v>0</v>
      </c>
      <c r="R11" s="52">
        <f>HYD!AF13</f>
        <v>0</v>
      </c>
      <c r="S11" s="52">
        <f>HYD!AG13</f>
        <v>0</v>
      </c>
      <c r="T11" s="52">
        <f>HYD!AH13</f>
        <v>0</v>
      </c>
      <c r="U11" s="52">
        <f>HYD!AI13</f>
        <v>0</v>
      </c>
      <c r="V11" s="52">
        <f>HYD!AJ13</f>
        <v>0</v>
      </c>
      <c r="W11" s="52">
        <f>HYD!AK13</f>
        <v>0</v>
      </c>
      <c r="X11" s="52">
        <f>HYD!AL13</f>
        <v>0</v>
      </c>
      <c r="Y11" s="53">
        <f>GSD!S13</f>
        <v>97.08</v>
      </c>
      <c r="Z11" s="53">
        <f>GSD!T13</f>
        <v>94.82</v>
      </c>
      <c r="AA11" s="53">
        <f>GSD!U13</f>
        <v>92.86</v>
      </c>
      <c r="AB11" s="53">
        <f>GSD!V13</f>
        <v>92.27</v>
      </c>
      <c r="AC11" s="53">
        <f>GSD!W13</f>
        <v>92.1</v>
      </c>
      <c r="AD11" s="53">
        <f>GSD!X13</f>
        <v>90.37</v>
      </c>
      <c r="AE11" s="53">
        <f>GSD!Y13</f>
        <v>47.379999999999995</v>
      </c>
      <c r="AF11" s="53">
        <f>GSD!Z13</f>
        <v>28.549999999999997</v>
      </c>
      <c r="AG11" s="53">
        <f>HYD!AM13</f>
        <v>0</v>
      </c>
      <c r="AH11" s="53">
        <f>HYD!AN13</f>
        <v>0</v>
      </c>
      <c r="AI11" s="53">
        <f>HYD!AO13</f>
        <v>0</v>
      </c>
      <c r="AJ11" s="53">
        <f>HYD!AP13</f>
        <v>0</v>
      </c>
      <c r="AK11" s="53">
        <f>HYD!AQ13</f>
        <v>0</v>
      </c>
      <c r="AL11" s="53">
        <f>HYD!AR13</f>
        <v>0</v>
      </c>
      <c r="AM11" s="53">
        <f>HYD!AS13</f>
        <v>0</v>
      </c>
      <c r="AN11" s="53">
        <f>HYD!AT13</f>
        <v>0</v>
      </c>
      <c r="AO11" s="53">
        <f>HYD!AU13</f>
        <v>0</v>
      </c>
      <c r="AP11" s="53">
        <f>HYD!AV13</f>
        <v>0</v>
      </c>
      <c r="AQ11" s="53">
        <f>HYD!AW13</f>
        <v>0</v>
      </c>
      <c r="AR11" s="53">
        <f>HYD!AX13</f>
        <v>0</v>
      </c>
      <c r="AS11" s="53">
        <f>HYD!AY13</f>
        <v>0</v>
      </c>
      <c r="AT11" s="55">
        <v>2.9200000000000017</v>
      </c>
      <c r="AU11" s="55">
        <v>68.53</v>
      </c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2026-09-11T07:25:38Z</dcterms:modified>
</cp:coreProperties>
</file>