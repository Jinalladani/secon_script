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Z:\002_WORKING DOCUMENTS\GUJARAT SECTION\02_TEST RESULTS\LOT-02\19. Canal_240.825km (CBH-05 &amp; CBH-06)\"/>
    </mc:Choice>
  </mc:AlternateContent>
  <xr:revisionPtr revIDLastSave="0" documentId="13_ncr:1_{D15435AC-5FDB-477A-924E-7EB2B2259B82}" xr6:coauthVersionLast="47" xr6:coauthVersionMax="47" xr10:uidLastSave="{00000000-0000-0000-0000-000000000000}"/>
  <bookViews>
    <workbookView xWindow="-28920" yWindow="630" windowWidth="29040" windowHeight="15720" xr2:uid="{B16E64A8-CC9D-4A8A-9F41-7FD552CE8813}"/>
  </bookViews>
  <sheets>
    <sheet name="GSD" sheetId="7" r:id="rId1"/>
    <sheet name="HYD" sheetId="8" r:id="rId2"/>
    <sheet name="Sheet4" sheetId="9" state="hidden" r:id="rId3"/>
    <sheet name="PLOT" sheetId="6" r:id="rId4"/>
  </sheets>
  <functionGroups builtInGroupCount="19"/>
  <definedNames>
    <definedName name="_xlnm.Print_Area" localSheetId="0">GSD!$A$1:$Y$13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22" i="6" l="1"/>
  <c r="J22" i="6"/>
  <c r="K22" i="6"/>
  <c r="L22" i="6"/>
  <c r="M22" i="6"/>
  <c r="N22" i="6"/>
  <c r="O22" i="6"/>
  <c r="P22" i="6"/>
  <c r="Q22" i="6"/>
  <c r="R22" i="6"/>
  <c r="S22" i="6"/>
  <c r="T22" i="6"/>
  <c r="U22" i="6"/>
  <c r="V22" i="6"/>
  <c r="AC22" i="6"/>
  <c r="AD22" i="6"/>
  <c r="AE22" i="6"/>
  <c r="AF22" i="6"/>
  <c r="AG22" i="6"/>
  <c r="AH22" i="6"/>
  <c r="AI22" i="6"/>
  <c r="AJ22" i="6"/>
  <c r="AK22" i="6"/>
  <c r="AL22" i="6"/>
  <c r="AM22" i="6"/>
  <c r="AN22" i="6"/>
  <c r="AO22" i="6"/>
  <c r="C23" i="6"/>
  <c r="J23" i="6"/>
  <c r="K23" i="6"/>
  <c r="L23" i="6"/>
  <c r="M23" i="6"/>
  <c r="N23" i="6"/>
  <c r="O23" i="6"/>
  <c r="P23" i="6"/>
  <c r="Q23" i="6"/>
  <c r="R23" i="6"/>
  <c r="S23" i="6"/>
  <c r="T23" i="6"/>
  <c r="U23" i="6"/>
  <c r="V23" i="6"/>
  <c r="W23" i="6"/>
  <c r="AC23" i="6"/>
  <c r="AD23" i="6"/>
  <c r="AE23" i="6"/>
  <c r="AF23" i="6"/>
  <c r="AG23" i="6"/>
  <c r="AH23" i="6"/>
  <c r="AI23" i="6"/>
  <c r="AJ23" i="6"/>
  <c r="AK23" i="6"/>
  <c r="AL23" i="6"/>
  <c r="AM23" i="6"/>
  <c r="AN23" i="6"/>
  <c r="AO23" i="6"/>
  <c r="C25" i="8"/>
  <c r="D25" i="8"/>
  <c r="F25" i="8"/>
  <c r="K25" i="8"/>
  <c r="B24" i="8"/>
  <c r="B25" i="8" s="1"/>
  <c r="C24" i="8"/>
  <c r="D24" i="8"/>
  <c r="F24" i="8"/>
  <c r="K24" i="8"/>
  <c r="W22" i="6"/>
  <c r="X22" i="6"/>
  <c r="Y22" i="6"/>
  <c r="Z22" i="6"/>
  <c r="AA22" i="6"/>
  <c r="X23" i="6"/>
  <c r="Y23" i="6"/>
  <c r="Z23" i="6"/>
  <c r="AA23" i="6"/>
  <c r="AB23" i="6"/>
  <c r="I12" i="7"/>
  <c r="I11" i="7"/>
  <c r="I10" i="7"/>
  <c r="I9" i="7"/>
  <c r="I8" i="7"/>
  <c r="I7" i="7"/>
  <c r="I6" i="7"/>
  <c r="I5" i="7"/>
  <c r="AO21" i="6"/>
  <c r="AN21" i="6"/>
  <c r="AM21" i="6"/>
  <c r="AL21" i="6"/>
  <c r="AK21" i="6"/>
  <c r="AJ21" i="6"/>
  <c r="AI21" i="6"/>
  <c r="AH21" i="6"/>
  <c r="AG21" i="6"/>
  <c r="AF21" i="6"/>
  <c r="AE21" i="6"/>
  <c r="AD21" i="6"/>
  <c r="AC21" i="6"/>
  <c r="V21" i="6"/>
  <c r="U21" i="6"/>
  <c r="T21" i="6"/>
  <c r="S21" i="6"/>
  <c r="R21" i="6"/>
  <c r="Q21" i="6"/>
  <c r="P21" i="6"/>
  <c r="O21" i="6"/>
  <c r="N21" i="6"/>
  <c r="M21" i="6"/>
  <c r="L21" i="6"/>
  <c r="K21" i="6"/>
  <c r="J21" i="6"/>
  <c r="C21" i="6"/>
  <c r="AO20" i="6"/>
  <c r="AN20" i="6"/>
  <c r="AM20" i="6"/>
  <c r="AL20" i="6"/>
  <c r="AK20" i="6"/>
  <c r="AJ20" i="6"/>
  <c r="AI20" i="6"/>
  <c r="AH20" i="6"/>
  <c r="AG20" i="6"/>
  <c r="AF20" i="6"/>
  <c r="AE20" i="6"/>
  <c r="AD20" i="6"/>
  <c r="AC20" i="6"/>
  <c r="V20" i="6"/>
  <c r="U20" i="6"/>
  <c r="T20" i="6"/>
  <c r="S20" i="6"/>
  <c r="R20" i="6"/>
  <c r="Q20" i="6"/>
  <c r="P20" i="6"/>
  <c r="O20" i="6"/>
  <c r="N20" i="6"/>
  <c r="M20" i="6"/>
  <c r="L20" i="6"/>
  <c r="K20" i="6"/>
  <c r="J20" i="6"/>
  <c r="C20" i="6"/>
  <c r="AO19" i="6"/>
  <c r="AN19" i="6"/>
  <c r="AM19" i="6"/>
  <c r="AL19" i="6"/>
  <c r="AK19" i="6"/>
  <c r="AJ19" i="6"/>
  <c r="AI19" i="6"/>
  <c r="AH19" i="6"/>
  <c r="AG19" i="6"/>
  <c r="AF19" i="6"/>
  <c r="AE19" i="6"/>
  <c r="AD19" i="6"/>
  <c r="AC19" i="6"/>
  <c r="V19" i="6"/>
  <c r="U19" i="6"/>
  <c r="T19" i="6"/>
  <c r="S19" i="6"/>
  <c r="R19" i="6"/>
  <c r="Q19" i="6"/>
  <c r="P19" i="6"/>
  <c r="O19" i="6"/>
  <c r="N19" i="6"/>
  <c r="M19" i="6"/>
  <c r="L19" i="6"/>
  <c r="K19" i="6"/>
  <c r="J19" i="6"/>
  <c r="C19" i="6"/>
  <c r="AO18" i="6"/>
  <c r="AN18" i="6"/>
  <c r="AM18" i="6"/>
  <c r="AL18" i="6"/>
  <c r="AK18" i="6"/>
  <c r="AJ18" i="6"/>
  <c r="AI18" i="6"/>
  <c r="AH18" i="6"/>
  <c r="AG18" i="6"/>
  <c r="AF18" i="6"/>
  <c r="AE18" i="6"/>
  <c r="AD18" i="6"/>
  <c r="AC18" i="6"/>
  <c r="V18" i="6"/>
  <c r="U18" i="6"/>
  <c r="T18" i="6"/>
  <c r="S18" i="6"/>
  <c r="R18" i="6"/>
  <c r="Q18" i="6"/>
  <c r="P18" i="6"/>
  <c r="O18" i="6"/>
  <c r="N18" i="6"/>
  <c r="M18" i="6"/>
  <c r="L18" i="6"/>
  <c r="K18" i="6"/>
  <c r="J18" i="6"/>
  <c r="C18" i="6"/>
  <c r="AO17" i="6"/>
  <c r="AN17" i="6"/>
  <c r="AM17" i="6"/>
  <c r="AL17" i="6"/>
  <c r="AK17" i="6"/>
  <c r="AJ17" i="6"/>
  <c r="AI17" i="6"/>
  <c r="AH17" i="6"/>
  <c r="AG17" i="6"/>
  <c r="AF17" i="6"/>
  <c r="AE17" i="6"/>
  <c r="AD17" i="6"/>
  <c r="AC17" i="6"/>
  <c r="V17" i="6"/>
  <c r="U17" i="6"/>
  <c r="T17" i="6"/>
  <c r="S17" i="6"/>
  <c r="R17" i="6"/>
  <c r="Q17" i="6"/>
  <c r="P17" i="6"/>
  <c r="O17" i="6"/>
  <c r="N17" i="6"/>
  <c r="M17" i="6"/>
  <c r="L17" i="6"/>
  <c r="K17" i="6"/>
  <c r="J17" i="6"/>
  <c r="C17" i="6"/>
  <c r="AO16" i="6"/>
  <c r="AN16" i="6"/>
  <c r="AM16" i="6"/>
  <c r="AL16" i="6"/>
  <c r="AK16" i="6"/>
  <c r="AJ16" i="6"/>
  <c r="AI16" i="6"/>
  <c r="AH16" i="6"/>
  <c r="AG16" i="6"/>
  <c r="AF16" i="6"/>
  <c r="AE16" i="6"/>
  <c r="AD16" i="6"/>
  <c r="AC16" i="6"/>
  <c r="V16" i="6"/>
  <c r="U16" i="6"/>
  <c r="T16" i="6"/>
  <c r="S16" i="6"/>
  <c r="R16" i="6"/>
  <c r="Q16" i="6"/>
  <c r="P16" i="6"/>
  <c r="O16" i="6"/>
  <c r="N16" i="6"/>
  <c r="M16" i="6"/>
  <c r="L16" i="6"/>
  <c r="K16" i="6"/>
  <c r="J16" i="6"/>
  <c r="C16" i="6"/>
  <c r="AO15" i="6"/>
  <c r="AN15" i="6"/>
  <c r="AM15" i="6"/>
  <c r="AL15" i="6"/>
  <c r="AK15" i="6"/>
  <c r="AJ15" i="6"/>
  <c r="AI15" i="6"/>
  <c r="AH15" i="6"/>
  <c r="AG15" i="6"/>
  <c r="AF15" i="6"/>
  <c r="AE15" i="6"/>
  <c r="AD15" i="6"/>
  <c r="AC15" i="6"/>
  <c r="V15" i="6"/>
  <c r="U15" i="6"/>
  <c r="T15" i="6"/>
  <c r="S15" i="6"/>
  <c r="R15" i="6"/>
  <c r="Q15" i="6"/>
  <c r="P15" i="6"/>
  <c r="O15" i="6"/>
  <c r="N15" i="6"/>
  <c r="M15" i="6"/>
  <c r="L15" i="6"/>
  <c r="K15" i="6"/>
  <c r="J15" i="6"/>
  <c r="C15" i="6"/>
  <c r="K23" i="8"/>
  <c r="F23" i="8"/>
  <c r="D23" i="8"/>
  <c r="C23" i="8"/>
  <c r="K22" i="8"/>
  <c r="F22" i="8"/>
  <c r="D22" i="8"/>
  <c r="C22" i="8"/>
  <c r="K21" i="8"/>
  <c r="F21" i="8"/>
  <c r="D21" i="8"/>
  <c r="C21" i="8"/>
  <c r="K20" i="8"/>
  <c r="F20" i="8"/>
  <c r="D20" i="8"/>
  <c r="C20" i="8"/>
  <c r="K19" i="8"/>
  <c r="F19" i="8"/>
  <c r="D19" i="8"/>
  <c r="C19" i="8"/>
  <c r="K18" i="8"/>
  <c r="F18" i="8"/>
  <c r="D18" i="8"/>
  <c r="C18" i="8"/>
  <c r="K17" i="8"/>
  <c r="F17" i="8"/>
  <c r="D17" i="8"/>
  <c r="C17" i="8"/>
  <c r="AA21" i="6"/>
  <c r="Z21" i="6"/>
  <c r="Y21" i="6"/>
  <c r="X21" i="6"/>
  <c r="AA20" i="6"/>
  <c r="Z20" i="6"/>
  <c r="Y20" i="6"/>
  <c r="X20" i="6"/>
  <c r="AA19" i="6"/>
  <c r="Z19" i="6"/>
  <c r="Y19" i="6"/>
  <c r="X19" i="6"/>
  <c r="AA18" i="6"/>
  <c r="Z18" i="6"/>
  <c r="Y18" i="6"/>
  <c r="X18" i="6"/>
  <c r="W18" i="6"/>
  <c r="AB17" i="6"/>
  <c r="AA17" i="6"/>
  <c r="Z17" i="6"/>
  <c r="Y17" i="6"/>
  <c r="X17" i="6"/>
  <c r="AA16" i="6"/>
  <c r="Z16" i="6"/>
  <c r="Y16" i="6"/>
  <c r="X16" i="6"/>
  <c r="AA15" i="6"/>
  <c r="Z15" i="6"/>
  <c r="Y15" i="6"/>
  <c r="X15" i="6"/>
  <c r="W15" i="6"/>
  <c r="AC4" i="6"/>
  <c r="AD4" i="6"/>
  <c r="AE4" i="6"/>
  <c r="AF4" i="6"/>
  <c r="AG4" i="6"/>
  <c r="AH4" i="6"/>
  <c r="AI4" i="6"/>
  <c r="AJ4" i="6"/>
  <c r="AK4" i="6"/>
  <c r="AL4" i="6"/>
  <c r="AM4" i="6"/>
  <c r="AN4" i="6"/>
  <c r="AO4" i="6"/>
  <c r="AC5" i="6"/>
  <c r="AD5" i="6"/>
  <c r="AE5" i="6"/>
  <c r="AF5" i="6"/>
  <c r="AG5" i="6"/>
  <c r="AH5" i="6"/>
  <c r="AI5" i="6"/>
  <c r="AJ5" i="6"/>
  <c r="AK5" i="6"/>
  <c r="AL5" i="6"/>
  <c r="AM5" i="6"/>
  <c r="AN5" i="6"/>
  <c r="AO5" i="6"/>
  <c r="AC6" i="6"/>
  <c r="AD6" i="6"/>
  <c r="AE6" i="6"/>
  <c r="AF6" i="6"/>
  <c r="AG6" i="6"/>
  <c r="AH6" i="6"/>
  <c r="AI6" i="6"/>
  <c r="AJ6" i="6"/>
  <c r="AK6" i="6"/>
  <c r="AL6" i="6"/>
  <c r="AM6" i="6"/>
  <c r="AN6" i="6"/>
  <c r="AO6" i="6"/>
  <c r="AC7" i="6"/>
  <c r="AD7" i="6"/>
  <c r="AE7" i="6"/>
  <c r="AF7" i="6"/>
  <c r="AG7" i="6"/>
  <c r="AH7" i="6"/>
  <c r="AI7" i="6"/>
  <c r="AJ7" i="6"/>
  <c r="AK7" i="6"/>
  <c r="AL7" i="6"/>
  <c r="AM7" i="6"/>
  <c r="AN7" i="6"/>
  <c r="AO7" i="6"/>
  <c r="AC8" i="6"/>
  <c r="AD8" i="6"/>
  <c r="AE8" i="6"/>
  <c r="AF8" i="6"/>
  <c r="AG8" i="6"/>
  <c r="AH8" i="6"/>
  <c r="AI8" i="6"/>
  <c r="AJ8" i="6"/>
  <c r="AK8" i="6"/>
  <c r="AL8" i="6"/>
  <c r="AM8" i="6"/>
  <c r="AN8" i="6"/>
  <c r="AO8" i="6"/>
  <c r="AC9" i="6"/>
  <c r="AD9" i="6"/>
  <c r="AE9" i="6"/>
  <c r="AF9" i="6"/>
  <c r="AG9" i="6"/>
  <c r="AH9" i="6"/>
  <c r="AI9" i="6"/>
  <c r="AJ9" i="6"/>
  <c r="AK9" i="6"/>
  <c r="AL9" i="6"/>
  <c r="AM9" i="6"/>
  <c r="AN9" i="6"/>
  <c r="AO9" i="6"/>
  <c r="AC10" i="6"/>
  <c r="AD10" i="6"/>
  <c r="AE10" i="6"/>
  <c r="AF10" i="6"/>
  <c r="AG10" i="6"/>
  <c r="AH10" i="6"/>
  <c r="AI10" i="6"/>
  <c r="AJ10" i="6"/>
  <c r="AK10" i="6"/>
  <c r="AL10" i="6"/>
  <c r="AM10" i="6"/>
  <c r="AN10" i="6"/>
  <c r="AO10" i="6"/>
  <c r="AC11" i="6"/>
  <c r="AD11" i="6"/>
  <c r="AE11" i="6"/>
  <c r="AF11" i="6"/>
  <c r="AG11" i="6"/>
  <c r="AH11" i="6"/>
  <c r="AI11" i="6"/>
  <c r="AJ11" i="6"/>
  <c r="AK11" i="6"/>
  <c r="AL11" i="6"/>
  <c r="AM11" i="6"/>
  <c r="AN11" i="6"/>
  <c r="AO11" i="6"/>
  <c r="AC12" i="6"/>
  <c r="AD12" i="6"/>
  <c r="AE12" i="6"/>
  <c r="AF12" i="6"/>
  <c r="AG12" i="6"/>
  <c r="AH12" i="6"/>
  <c r="AI12" i="6"/>
  <c r="AJ12" i="6"/>
  <c r="AK12" i="6"/>
  <c r="AL12" i="6"/>
  <c r="AM12" i="6"/>
  <c r="AN12" i="6"/>
  <c r="AO12" i="6"/>
  <c r="AC13" i="6"/>
  <c r="AD13" i="6"/>
  <c r="AE13" i="6"/>
  <c r="AF13" i="6"/>
  <c r="AG13" i="6"/>
  <c r="AH13" i="6"/>
  <c r="AI13" i="6"/>
  <c r="AJ13" i="6"/>
  <c r="AK13" i="6"/>
  <c r="AL13" i="6"/>
  <c r="AM13" i="6"/>
  <c r="AN13" i="6"/>
  <c r="AO13" i="6"/>
  <c r="AC14" i="6"/>
  <c r="AD14" i="6"/>
  <c r="AE14" i="6"/>
  <c r="AF14" i="6"/>
  <c r="AG14" i="6"/>
  <c r="AH14" i="6"/>
  <c r="AI14" i="6"/>
  <c r="AJ14" i="6"/>
  <c r="AK14" i="6"/>
  <c r="AL14" i="6"/>
  <c r="AM14" i="6"/>
  <c r="AN14" i="6"/>
  <c r="AO14" i="6"/>
  <c r="AD3" i="6"/>
  <c r="AE3" i="6"/>
  <c r="AF3" i="6"/>
  <c r="AG3" i="6"/>
  <c r="AH3" i="6"/>
  <c r="AI3" i="6"/>
  <c r="AJ3" i="6"/>
  <c r="AK3" i="6"/>
  <c r="AL3" i="6"/>
  <c r="AM3" i="6"/>
  <c r="AN3" i="6"/>
  <c r="AO3" i="6"/>
  <c r="AC3" i="6"/>
  <c r="J4" i="6"/>
  <c r="K4" i="6"/>
  <c r="L4" i="6"/>
  <c r="M4" i="6"/>
  <c r="N4" i="6"/>
  <c r="O4" i="6"/>
  <c r="P4" i="6"/>
  <c r="Q4" i="6"/>
  <c r="R4" i="6"/>
  <c r="S4" i="6"/>
  <c r="T4" i="6"/>
  <c r="U4" i="6"/>
  <c r="V4" i="6"/>
  <c r="J5" i="6"/>
  <c r="K5" i="6"/>
  <c r="L5" i="6"/>
  <c r="M5" i="6"/>
  <c r="N5" i="6"/>
  <c r="O5" i="6"/>
  <c r="P5" i="6"/>
  <c r="Q5" i="6"/>
  <c r="R5" i="6"/>
  <c r="S5" i="6"/>
  <c r="T5" i="6"/>
  <c r="U5" i="6"/>
  <c r="V5" i="6"/>
  <c r="J6" i="6"/>
  <c r="K6" i="6"/>
  <c r="L6" i="6"/>
  <c r="M6" i="6"/>
  <c r="N6" i="6"/>
  <c r="O6" i="6"/>
  <c r="P6" i="6"/>
  <c r="Q6" i="6"/>
  <c r="R6" i="6"/>
  <c r="S6" i="6"/>
  <c r="T6" i="6"/>
  <c r="U6" i="6"/>
  <c r="V6" i="6"/>
  <c r="J7" i="6"/>
  <c r="K7" i="6"/>
  <c r="L7" i="6"/>
  <c r="M7" i="6"/>
  <c r="N7" i="6"/>
  <c r="O7" i="6"/>
  <c r="P7" i="6"/>
  <c r="Q7" i="6"/>
  <c r="R7" i="6"/>
  <c r="S7" i="6"/>
  <c r="T7" i="6"/>
  <c r="U7" i="6"/>
  <c r="V7" i="6"/>
  <c r="J8" i="6"/>
  <c r="K8" i="6"/>
  <c r="L8" i="6"/>
  <c r="M8" i="6"/>
  <c r="N8" i="6"/>
  <c r="O8" i="6"/>
  <c r="P8" i="6"/>
  <c r="Q8" i="6"/>
  <c r="R8" i="6"/>
  <c r="S8" i="6"/>
  <c r="T8" i="6"/>
  <c r="U8" i="6"/>
  <c r="V8" i="6"/>
  <c r="J9" i="6"/>
  <c r="K9" i="6"/>
  <c r="L9" i="6"/>
  <c r="M9" i="6"/>
  <c r="N9" i="6"/>
  <c r="O9" i="6"/>
  <c r="P9" i="6"/>
  <c r="Q9" i="6"/>
  <c r="R9" i="6"/>
  <c r="S9" i="6"/>
  <c r="T9" i="6"/>
  <c r="U9" i="6"/>
  <c r="V9" i="6"/>
  <c r="J10" i="6"/>
  <c r="K10" i="6"/>
  <c r="L10" i="6"/>
  <c r="M10" i="6"/>
  <c r="N10" i="6"/>
  <c r="O10" i="6"/>
  <c r="P10" i="6"/>
  <c r="Q10" i="6"/>
  <c r="R10" i="6"/>
  <c r="S10" i="6"/>
  <c r="T10" i="6"/>
  <c r="U10" i="6"/>
  <c r="V10" i="6"/>
  <c r="J11" i="6"/>
  <c r="K11" i="6"/>
  <c r="L11" i="6"/>
  <c r="M11" i="6"/>
  <c r="N11" i="6"/>
  <c r="O11" i="6"/>
  <c r="P11" i="6"/>
  <c r="Q11" i="6"/>
  <c r="R11" i="6"/>
  <c r="S11" i="6"/>
  <c r="T11" i="6"/>
  <c r="U11" i="6"/>
  <c r="V11" i="6"/>
  <c r="J12" i="6"/>
  <c r="K12" i="6"/>
  <c r="L12" i="6"/>
  <c r="M12" i="6"/>
  <c r="N12" i="6"/>
  <c r="O12" i="6"/>
  <c r="P12" i="6"/>
  <c r="Q12" i="6"/>
  <c r="R12" i="6"/>
  <c r="S12" i="6"/>
  <c r="T12" i="6"/>
  <c r="U12" i="6"/>
  <c r="V12" i="6"/>
  <c r="J13" i="6"/>
  <c r="K13" i="6"/>
  <c r="L13" i="6"/>
  <c r="M13" i="6"/>
  <c r="N13" i="6"/>
  <c r="O13" i="6"/>
  <c r="P13" i="6"/>
  <c r="Q13" i="6"/>
  <c r="R13" i="6"/>
  <c r="S13" i="6"/>
  <c r="T13" i="6"/>
  <c r="U13" i="6"/>
  <c r="V13" i="6"/>
  <c r="J14" i="6"/>
  <c r="K14" i="6"/>
  <c r="L14" i="6"/>
  <c r="M14" i="6"/>
  <c r="N14" i="6"/>
  <c r="O14" i="6"/>
  <c r="P14" i="6"/>
  <c r="Q14" i="6"/>
  <c r="R14" i="6"/>
  <c r="S14" i="6"/>
  <c r="T14" i="6"/>
  <c r="U14" i="6"/>
  <c r="V14" i="6"/>
  <c r="K3" i="6"/>
  <c r="L3" i="6"/>
  <c r="M3" i="6"/>
  <c r="N3" i="6"/>
  <c r="O3" i="6"/>
  <c r="P3" i="6"/>
  <c r="Q3" i="6"/>
  <c r="R3" i="6"/>
  <c r="S3" i="6"/>
  <c r="T3" i="6"/>
  <c r="U3" i="6"/>
  <c r="V3" i="6"/>
  <c r="J3" i="6"/>
  <c r="V5" i="7"/>
  <c r="AB3" i="6" s="1"/>
  <c r="U5" i="7"/>
  <c r="AA3" i="6" s="1"/>
  <c r="T5" i="7"/>
  <c r="Z3" i="6" s="1"/>
  <c r="S5" i="7"/>
  <c r="Y3" i="6" s="1"/>
  <c r="R5" i="7"/>
  <c r="X3" i="6" s="1"/>
  <c r="Q5" i="7"/>
  <c r="C4" i="6"/>
  <c r="C5" i="6"/>
  <c r="C6" i="6"/>
  <c r="C7" i="6"/>
  <c r="C8" i="6"/>
  <c r="C9" i="6"/>
  <c r="C10" i="6"/>
  <c r="C11" i="6"/>
  <c r="C12" i="6"/>
  <c r="C13" i="6"/>
  <c r="C14" i="6"/>
  <c r="C3" i="6"/>
  <c r="B3" i="6"/>
  <c r="B4" i="6" s="1"/>
  <c r="B5" i="6" s="1"/>
  <c r="B6" i="6" s="1"/>
  <c r="B7" i="6" s="1"/>
  <c r="B8" i="6" s="1"/>
  <c r="B9" i="6" s="1"/>
  <c r="B10" i="6" s="1"/>
  <c r="B11" i="6" s="1"/>
  <c r="B12" i="6" s="1"/>
  <c r="B13" i="6" s="1"/>
  <c r="B14" i="6" s="1"/>
  <c r="B15" i="6" s="1"/>
  <c r="B16" i="6" s="1"/>
  <c r="B17" i="6" s="1"/>
  <c r="B18" i="6" s="1"/>
  <c r="B19" i="6" s="1"/>
  <c r="B20" i="6" s="1"/>
  <c r="B21" i="6" s="1"/>
  <c r="B22" i="6" s="1"/>
  <c r="B23" i="6" s="1"/>
  <c r="D6" i="8"/>
  <c r="D7" i="8"/>
  <c r="D8" i="8"/>
  <c r="D9" i="8"/>
  <c r="D10" i="8"/>
  <c r="D11" i="8"/>
  <c r="D12" i="8"/>
  <c r="D13" i="8"/>
  <c r="D14" i="8"/>
  <c r="D15" i="8"/>
  <c r="D16" i="8"/>
  <c r="D5" i="8"/>
  <c r="C6" i="8"/>
  <c r="C7" i="8"/>
  <c r="C8" i="8"/>
  <c r="C9" i="8"/>
  <c r="C10" i="8"/>
  <c r="C11" i="8"/>
  <c r="C12" i="8"/>
  <c r="C13" i="8"/>
  <c r="C14" i="8"/>
  <c r="C15" i="8"/>
  <c r="C16" i="8"/>
  <c r="C5" i="8"/>
  <c r="B5" i="8"/>
  <c r="B6" i="8" s="1"/>
  <c r="B7" i="8" s="1"/>
  <c r="B8" i="8" s="1"/>
  <c r="B9" i="8" s="1"/>
  <c r="B10" i="8" s="1"/>
  <c r="B11" i="8" s="1"/>
  <c r="B12" i="8" s="1"/>
  <c r="B13" i="8" s="1"/>
  <c r="B14" i="8" s="1"/>
  <c r="B15" i="8" s="1"/>
  <c r="B16" i="8" s="1"/>
  <c r="B17" i="8" s="1"/>
  <c r="B18" i="8" s="1"/>
  <c r="B19" i="8" s="1"/>
  <c r="B20" i="8" s="1"/>
  <c r="B21" i="8" s="1"/>
  <c r="B22" i="8" s="1"/>
  <c r="B23" i="8" s="1"/>
  <c r="AB22" i="6" l="1"/>
  <c r="AB15" i="6"/>
  <c r="AB16" i="6"/>
  <c r="W16" i="6"/>
  <c r="W20" i="6"/>
  <c r="AB19" i="6"/>
  <c r="W17" i="6"/>
  <c r="W19" i="6"/>
  <c r="AB21" i="6"/>
  <c r="W21" i="6"/>
  <c r="AB18" i="6"/>
  <c r="AB20" i="6"/>
  <c r="X5" i="7"/>
  <c r="W5" i="7"/>
  <c r="Y5" i="7"/>
  <c r="W3" i="6"/>
  <c r="K16" i="8"/>
  <c r="F16" i="8"/>
  <c r="K15" i="8"/>
  <c r="F15" i="8"/>
  <c r="K14" i="8"/>
  <c r="F14" i="8"/>
  <c r="K13" i="8"/>
  <c r="F13" i="8"/>
  <c r="K12" i="8"/>
  <c r="F12" i="8"/>
  <c r="K11" i="8"/>
  <c r="F11" i="8"/>
  <c r="K10" i="8"/>
  <c r="F10" i="8"/>
  <c r="K9" i="8"/>
  <c r="F9" i="8"/>
  <c r="K8" i="8"/>
  <c r="F8" i="8"/>
  <c r="K7" i="8"/>
  <c r="F7" i="8"/>
  <c r="K6" i="8"/>
  <c r="F6" i="8"/>
  <c r="K5" i="8" l="1"/>
  <c r="F5" i="8"/>
  <c r="F3" i="9"/>
  <c r="F4" i="9"/>
  <c r="F5" i="9"/>
  <c r="F6" i="9"/>
  <c r="F7" i="9"/>
  <c r="F8" i="9"/>
  <c r="F9" i="9"/>
  <c r="F10" i="9"/>
  <c r="F11" i="9"/>
  <c r="F12" i="9"/>
  <c r="F13" i="9"/>
  <c r="F14" i="9"/>
  <c r="F15" i="9"/>
  <c r="F16" i="9"/>
  <c r="F17" i="9"/>
  <c r="F18" i="9"/>
  <c r="F19" i="9"/>
  <c r="F20" i="9"/>
  <c r="F21" i="9"/>
  <c r="F22" i="9"/>
  <c r="F23" i="9"/>
  <c r="F24" i="9"/>
  <c r="F25" i="9"/>
  <c r="F26" i="9"/>
  <c r="F27" i="9"/>
  <c r="F28" i="9"/>
  <c r="F29" i="9"/>
  <c r="F30" i="9"/>
  <c r="F31" i="9"/>
  <c r="F32" i="9"/>
  <c r="F33" i="9"/>
  <c r="F34" i="9"/>
  <c r="F35" i="9"/>
  <c r="F36" i="9"/>
  <c r="F37" i="9"/>
  <c r="F38" i="9"/>
  <c r="F39" i="9"/>
  <c r="F40" i="9"/>
  <c r="F41" i="9"/>
  <c r="F2" i="9"/>
  <c r="E3" i="9"/>
  <c r="E4" i="9"/>
  <c r="E5" i="9"/>
  <c r="E6" i="9"/>
  <c r="E7" i="9"/>
  <c r="E8" i="9"/>
  <c r="E9" i="9"/>
  <c r="E10" i="9"/>
  <c r="E11" i="9"/>
  <c r="E12" i="9"/>
  <c r="E13" i="9"/>
  <c r="E14" i="9"/>
  <c r="E15" i="9"/>
  <c r="E16" i="9"/>
  <c r="E17" i="9"/>
  <c r="E18" i="9"/>
  <c r="E19" i="9"/>
  <c r="E20" i="9"/>
  <c r="E21" i="9"/>
  <c r="E22" i="9"/>
  <c r="E23" i="9"/>
  <c r="E24" i="9"/>
  <c r="E25" i="9"/>
  <c r="E26" i="9"/>
  <c r="E27" i="9"/>
  <c r="E28" i="9"/>
  <c r="E29" i="9"/>
  <c r="E30" i="9"/>
  <c r="E31" i="9"/>
  <c r="E32" i="9"/>
  <c r="E33" i="9"/>
  <c r="E34" i="9"/>
  <c r="E35" i="9"/>
  <c r="E36" i="9"/>
  <c r="E37" i="9"/>
  <c r="E38" i="9"/>
  <c r="E39" i="9"/>
  <c r="E40" i="9"/>
  <c r="E41" i="9"/>
  <c r="E2" i="9"/>
  <c r="D3" i="9"/>
  <c r="D4" i="9"/>
  <c r="D5" i="9"/>
  <c r="D6" i="9"/>
  <c r="D7" i="9"/>
  <c r="D8" i="9"/>
  <c r="D9" i="9"/>
  <c r="D10" i="9"/>
  <c r="D11" i="9"/>
  <c r="D12" i="9"/>
  <c r="D13" i="9"/>
  <c r="D14" i="9"/>
  <c r="D15" i="9"/>
  <c r="D16" i="9"/>
  <c r="D17" i="9"/>
  <c r="D18" i="9"/>
  <c r="D19" i="9"/>
  <c r="D20" i="9"/>
  <c r="D21" i="9"/>
  <c r="D22" i="9"/>
  <c r="D23" i="9"/>
  <c r="D24" i="9"/>
  <c r="D25" i="9"/>
  <c r="D26" i="9"/>
  <c r="D27" i="9"/>
  <c r="D28" i="9"/>
  <c r="D29" i="9"/>
  <c r="D30" i="9"/>
  <c r="D31" i="9"/>
  <c r="D32" i="9"/>
  <c r="D33" i="9"/>
  <c r="D34" i="9"/>
  <c r="D35" i="9"/>
  <c r="D36" i="9"/>
  <c r="D37" i="9"/>
  <c r="D38" i="9"/>
  <c r="D39" i="9"/>
  <c r="D40" i="9"/>
  <c r="D41" i="9"/>
  <c r="D2" i="9"/>
  <c r="AA14" i="6" l="1"/>
  <c r="Z14" i="6"/>
  <c r="Y14" i="6"/>
  <c r="X14" i="6"/>
  <c r="AA13" i="6"/>
  <c r="Z13" i="6"/>
  <c r="Y13" i="6"/>
  <c r="X13" i="6"/>
  <c r="AA12" i="6"/>
  <c r="Z12" i="6"/>
  <c r="Y12" i="6"/>
  <c r="X12" i="6"/>
  <c r="AA11" i="6"/>
  <c r="Z11" i="6"/>
  <c r="Y11" i="6"/>
  <c r="X11" i="6"/>
  <c r="V12" i="7"/>
  <c r="U12" i="7"/>
  <c r="AA10" i="6" s="1"/>
  <c r="T12" i="7"/>
  <c r="Z10" i="6" s="1"/>
  <c r="S12" i="7"/>
  <c r="Y10" i="6" s="1"/>
  <c r="R12" i="7"/>
  <c r="X10" i="6" s="1"/>
  <c r="Q12" i="7"/>
  <c r="V11" i="7"/>
  <c r="U11" i="7"/>
  <c r="AA9" i="6" s="1"/>
  <c r="T11" i="7"/>
  <c r="Z9" i="6" s="1"/>
  <c r="S11" i="7"/>
  <c r="Y9" i="6" s="1"/>
  <c r="R11" i="7"/>
  <c r="X9" i="6" s="1"/>
  <c r="Q11" i="7"/>
  <c r="V10" i="7"/>
  <c r="U10" i="7"/>
  <c r="AA8" i="6" s="1"/>
  <c r="T10" i="7"/>
  <c r="Z8" i="6" s="1"/>
  <c r="S10" i="7"/>
  <c r="Y8" i="6" s="1"/>
  <c r="R10" i="7"/>
  <c r="X8" i="6" s="1"/>
  <c r="Q10" i="7"/>
  <c r="V9" i="7"/>
  <c r="U9" i="7"/>
  <c r="AA7" i="6" s="1"/>
  <c r="T9" i="7"/>
  <c r="Z7" i="6" s="1"/>
  <c r="S9" i="7"/>
  <c r="Y7" i="6" s="1"/>
  <c r="R9" i="7"/>
  <c r="X7" i="6" s="1"/>
  <c r="Q9" i="7"/>
  <c r="V8" i="7"/>
  <c r="U8" i="7"/>
  <c r="AA6" i="6" s="1"/>
  <c r="T8" i="7"/>
  <c r="Z6" i="6" s="1"/>
  <c r="S8" i="7"/>
  <c r="Y6" i="6" s="1"/>
  <c r="R8" i="7"/>
  <c r="X6" i="6" s="1"/>
  <c r="Q8" i="7"/>
  <c r="V7" i="7"/>
  <c r="U7" i="7"/>
  <c r="AA5" i="6" s="1"/>
  <c r="T7" i="7"/>
  <c r="Z5" i="6" s="1"/>
  <c r="S7" i="7"/>
  <c r="Y5" i="6" s="1"/>
  <c r="R7" i="7"/>
  <c r="X5" i="6" s="1"/>
  <c r="Q7" i="7"/>
  <c r="V6" i="7"/>
  <c r="U6" i="7"/>
  <c r="AA4" i="6" s="1"/>
  <c r="T6" i="7"/>
  <c r="Z4" i="6" s="1"/>
  <c r="S6" i="7"/>
  <c r="Y4" i="6" s="1"/>
  <c r="R6" i="7"/>
  <c r="X4" i="6" s="1"/>
  <c r="Q6" i="7"/>
  <c r="W6" i="6" l="1"/>
  <c r="W8" i="7"/>
  <c r="X8" i="7"/>
  <c r="W7" i="6"/>
  <c r="X9" i="7"/>
  <c r="W9" i="7"/>
  <c r="W8" i="6"/>
  <c r="W10" i="7"/>
  <c r="X10" i="7"/>
  <c r="W9" i="6"/>
  <c r="X11" i="7"/>
  <c r="W11" i="7"/>
  <c r="W11" i="6"/>
  <c r="W14" i="6"/>
  <c r="W10" i="6"/>
  <c r="W12" i="7"/>
  <c r="X12" i="7"/>
  <c r="W4" i="6"/>
  <c r="W6" i="7"/>
  <c r="X6" i="7"/>
  <c r="W12" i="6"/>
  <c r="W5" i="6"/>
  <c r="X7" i="7"/>
  <c r="W7" i="7"/>
  <c r="W13" i="6"/>
  <c r="Y6" i="7"/>
  <c r="AB4" i="6"/>
  <c r="AB5" i="6"/>
  <c r="Y7" i="7"/>
  <c r="Y8" i="7"/>
  <c r="AB6" i="6"/>
  <c r="AB7" i="6"/>
  <c r="Y9" i="7"/>
  <c r="Y10" i="7"/>
  <c r="AB8" i="6"/>
  <c r="AB9" i="6"/>
  <c r="Y11" i="7"/>
  <c r="Y12" i="7"/>
  <c r="AB10" i="6"/>
  <c r="AB11" i="6"/>
  <c r="AB12" i="6"/>
  <c r="AB13" i="6"/>
  <c r="AB14" i="6"/>
</calcChain>
</file>

<file path=xl/sharedStrings.xml><?xml version="1.0" encoding="utf-8"?>
<sst xmlns="http://schemas.openxmlformats.org/spreadsheetml/2006/main" count="72" uniqueCount="50">
  <si>
    <t>% Passing</t>
  </si>
  <si>
    <t>% Gravel</t>
  </si>
  <si>
    <t>% Clay</t>
  </si>
  <si>
    <t>Grain Size Analysis (Sieve Analysis)</t>
  </si>
  <si>
    <t>Sr No.</t>
  </si>
  <si>
    <t>BH ID</t>
  </si>
  <si>
    <t>Chainage</t>
  </si>
  <si>
    <t>Sample ID</t>
  </si>
  <si>
    <t>Sample Type</t>
  </si>
  <si>
    <t>Depth</t>
  </si>
  <si>
    <t>Container No.</t>
  </si>
  <si>
    <t>Weight of Sample taken for Sieve Analysis</t>
  </si>
  <si>
    <r>
      <t>Weight of Sample Remain after washing through 75</t>
    </r>
    <r>
      <rPr>
        <b/>
        <sz val="10"/>
        <color theme="1"/>
        <rFont val="Calibri"/>
        <family val="2"/>
      </rPr>
      <t>µ sieve</t>
    </r>
  </si>
  <si>
    <t>Weight Retained on IS Sieve</t>
  </si>
  <si>
    <t xml:space="preserve">Gravel </t>
  </si>
  <si>
    <t>Sand</t>
  </si>
  <si>
    <t>Fines</t>
  </si>
  <si>
    <t>Pan</t>
  </si>
  <si>
    <t>-</t>
  </si>
  <si>
    <t>(m)</t>
  </si>
  <si>
    <t>(gm)</t>
  </si>
  <si>
    <t>%</t>
  </si>
  <si>
    <t xml:space="preserve">Temperature </t>
  </si>
  <si>
    <t>SPGR</t>
  </si>
  <si>
    <t xml:space="preserve"> Meniscus Correction (Cm)</t>
  </si>
  <si>
    <t>Mt (temperature correction)</t>
  </si>
  <si>
    <t>X (dispersion correction)</t>
  </si>
  <si>
    <t xml:space="preserve"> Hydrometer Reading at Elapsed Time (min)</t>
  </si>
  <si>
    <t>Diameter of the particle at Elapsed Time</t>
  </si>
  <si>
    <t>Percentge finer than Diameter of the particle at Elapsed Time</t>
  </si>
  <si>
    <t>(°C)</t>
  </si>
  <si>
    <t>(mm)</t>
  </si>
  <si>
    <t>(%)</t>
  </si>
  <si>
    <t>Hydrometer No.</t>
  </si>
  <si>
    <t>Cylinder Type</t>
  </si>
  <si>
    <t>Temperature (°C)</t>
  </si>
  <si>
    <t>Viscosity (mP)</t>
  </si>
  <si>
    <t>Viscosity (P)</t>
  </si>
  <si>
    <t>Poise</t>
  </si>
  <si>
    <t xml:space="preserve">Coefficent of Viscosity </t>
  </si>
  <si>
    <t>SR No.</t>
  </si>
  <si>
    <t>Particle Size in mm (GSD)</t>
  </si>
  <si>
    <t>Particle Size in mm (HYD)</t>
  </si>
  <si>
    <t>% Passing (GSD)</t>
  </si>
  <si>
    <t>% Passing (HYD)</t>
  </si>
  <si>
    <t>% Sand</t>
  </si>
  <si>
    <t>% Silt</t>
  </si>
  <si>
    <t>SPT</t>
  </si>
  <si>
    <t>UDS</t>
  </si>
  <si>
    <t>CBH-05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</si>
</sst>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"/>
    <numFmt numFmtId="165" formatCode="0.000"/>
    <numFmt numFmtId="166" formatCode="0.0000"/>
    <numFmt numFmtId="167" formatCode="0.000000"/>
    <numFmt numFmtId="168" formatCode="0.00000"/>
  </numFmts>
  <fonts count="1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color theme="1"/>
      <name val="Calibri"/>
      <family val="2"/>
    </font>
    <font>
      <b/>
      <sz val="8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8"/>
      <name val="Calibri"/>
      <family val="2"/>
      <scheme val="minor"/>
    </font>
    <font>
      <sz val="9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/>
    <xf numFmtId="0" fontId="3" fillId="0" borderId="0"/>
  </cellStyleXfs>
  <cellXfs count="73">
    <xf numFmtId="0" fontId="0" fillId="0" borderId="0" xfId="0"/>
    <xf numFmtId="2" fontId="0" fillId="0" borderId="0" xfId="0" applyNumberFormat="1" applyAlignment="1">
      <alignment horizontal="center" vertical="center"/>
    </xf>
    <xf numFmtId="0" fontId="3" fillId="0" borderId="0" xfId="1"/>
    <xf numFmtId="0" fontId="5" fillId="0" borderId="8" xfId="1" applyFont="1" applyBorder="1" applyAlignment="1">
      <alignment horizontal="center" vertical="center" wrapText="1"/>
    </xf>
    <xf numFmtId="2" fontId="5" fillId="0" borderId="8" xfId="1" applyNumberFormat="1" applyFont="1" applyBorder="1" applyAlignment="1">
      <alignment horizontal="center" vertical="center" wrapText="1"/>
    </xf>
    <xf numFmtId="165" fontId="5" fillId="0" borderId="8" xfId="1" applyNumberFormat="1" applyFont="1" applyBorder="1" applyAlignment="1">
      <alignment horizontal="center" vertical="center" wrapText="1"/>
    </xf>
    <xf numFmtId="0" fontId="5" fillId="0" borderId="1" xfId="1" applyFont="1" applyBorder="1" applyAlignment="1">
      <alignment horizontal="center" vertical="center" wrapText="1"/>
    </xf>
    <xf numFmtId="2" fontId="5" fillId="0" borderId="1" xfId="1" applyNumberFormat="1" applyFont="1" applyBorder="1" applyAlignment="1">
      <alignment horizontal="center" vertical="center" wrapText="1"/>
    </xf>
    <xf numFmtId="165" fontId="5" fillId="0" borderId="1" xfId="1" applyNumberFormat="1" applyFont="1" applyBorder="1" applyAlignment="1">
      <alignment horizontal="center" vertical="center" wrapText="1"/>
    </xf>
    <xf numFmtId="0" fontId="5" fillId="0" borderId="1" xfId="1" applyFont="1" applyBorder="1" applyAlignment="1">
      <alignment horizontal="center" vertical="center"/>
    </xf>
    <xf numFmtId="0" fontId="1" fillId="0" borderId="1" xfId="1" applyFont="1" applyBorder="1" applyAlignment="1">
      <alignment horizontal="center" vertical="center"/>
    </xf>
    <xf numFmtId="2" fontId="3" fillId="2" borderId="1" xfId="1" applyNumberFormat="1" applyFill="1" applyBorder="1" applyAlignment="1">
      <alignment horizontal="center" vertical="center"/>
    </xf>
    <xf numFmtId="0" fontId="3" fillId="0" borderId="0" xfId="1" applyAlignment="1">
      <alignment horizontal="center" vertical="center"/>
    </xf>
    <xf numFmtId="0" fontId="7" fillId="0" borderId="8" xfId="0" applyFont="1" applyBorder="1" applyAlignment="1">
      <alignment horizontal="center" vertical="center" wrapText="1"/>
    </xf>
    <xf numFmtId="0" fontId="7" fillId="0" borderId="1" xfId="0" applyFont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 wrapText="1"/>
    </xf>
    <xf numFmtId="0" fontId="0" fillId="0" borderId="0" xfId="0" applyAlignment="1">
      <alignment horizontal="right" vertical="center" wrapText="1"/>
    </xf>
    <xf numFmtId="0" fontId="2" fillId="0" borderId="0" xfId="0" applyFont="1" applyAlignment="1">
      <alignment horizontal="right" vertical="center" wrapText="1"/>
    </xf>
    <xf numFmtId="0" fontId="0" fillId="0" borderId="0" xfId="0" applyAlignment="1">
      <alignment horizontal="center" vertical="center"/>
    </xf>
    <xf numFmtId="10" fontId="0" fillId="0" borderId="0" xfId="0" applyNumberFormat="1"/>
    <xf numFmtId="0" fontId="8" fillId="0" borderId="0" xfId="0" applyFont="1" applyAlignment="1">
      <alignment horizontal="center" vertical="center"/>
    </xf>
    <xf numFmtId="1" fontId="7" fillId="0" borderId="0" xfId="0" applyNumberFormat="1" applyFont="1" applyAlignment="1">
      <alignment vertical="center" wrapText="1"/>
    </xf>
    <xf numFmtId="165" fontId="0" fillId="0" borderId="0" xfId="0" applyNumberFormat="1" applyAlignment="1">
      <alignment horizontal="center" vertical="center"/>
    </xf>
    <xf numFmtId="168" fontId="0" fillId="0" borderId="0" xfId="0" applyNumberFormat="1" applyAlignment="1">
      <alignment horizontal="center" vertical="center"/>
    </xf>
    <xf numFmtId="0" fontId="2" fillId="0" borderId="0" xfId="0" applyFont="1" applyAlignment="1">
      <alignment horizontal="center" vertical="center"/>
    </xf>
    <xf numFmtId="2" fontId="1" fillId="0" borderId="1" xfId="0" applyNumberFormat="1" applyFont="1" applyBorder="1" applyAlignment="1">
      <alignment horizontal="center" vertical="center"/>
    </xf>
    <xf numFmtId="2" fontId="1" fillId="0" borderId="0" xfId="0" applyNumberFormat="1" applyFont="1" applyAlignment="1">
      <alignment horizontal="center" vertical="center"/>
    </xf>
    <xf numFmtId="0" fontId="2" fillId="0" borderId="0" xfId="0" applyFont="1" applyAlignment="1">
      <alignment horizontal="center"/>
    </xf>
    <xf numFmtId="0" fontId="2" fillId="0" borderId="1" xfId="0" applyFont="1" applyBorder="1" applyAlignment="1">
      <alignment horizontal="center" vertical="center"/>
    </xf>
    <xf numFmtId="2" fontId="0" fillId="0" borderId="0" xfId="0" applyNumberFormat="1" applyAlignment="1">
      <alignment horizontal="center"/>
    </xf>
    <xf numFmtId="0" fontId="0" fillId="0" borderId="0" xfId="0" applyAlignment="1">
      <alignment vertical="center"/>
    </xf>
    <xf numFmtId="0" fontId="11" fillId="0" borderId="1" xfId="0" applyFont="1" applyBorder="1" applyAlignment="1">
      <alignment horizontal="center" vertical="center"/>
    </xf>
    <xf numFmtId="2" fontId="11" fillId="0" borderId="1" xfId="0" applyNumberFormat="1" applyFont="1" applyBorder="1" applyAlignment="1">
      <alignment horizontal="center" vertical="center"/>
    </xf>
    <xf numFmtId="167" fontId="11" fillId="0" borderId="1" xfId="0" applyNumberFormat="1" applyFont="1" applyBorder="1" applyAlignment="1">
      <alignment horizontal="center" vertical="center"/>
    </xf>
    <xf numFmtId="165" fontId="11" fillId="0" borderId="1" xfId="0" applyNumberFormat="1" applyFont="1" applyBorder="1" applyAlignment="1">
      <alignment horizontal="center" vertical="center"/>
    </xf>
    <xf numFmtId="166" fontId="11" fillId="0" borderId="1" xfId="0" applyNumberFormat="1" applyFont="1" applyBorder="1" applyAlignment="1">
      <alignment horizontal="center" vertical="center"/>
    </xf>
    <xf numFmtId="2" fontId="9" fillId="0" borderId="0" xfId="0" applyNumberFormat="1" applyFont="1" applyAlignment="1">
      <alignment horizontal="center" vertical="center"/>
    </xf>
    <xf numFmtId="165" fontId="2" fillId="0" borderId="0" xfId="0" applyNumberFormat="1" applyFont="1" applyAlignment="1">
      <alignment horizontal="center" vertical="center"/>
    </xf>
    <xf numFmtId="2" fontId="0" fillId="2" borderId="0" xfId="0" applyNumberFormat="1" applyFill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5" fillId="0" borderId="1" xfId="1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 textRotation="90"/>
    </xf>
    <xf numFmtId="0" fontId="1" fillId="0" borderId="1" xfId="0" applyFont="1" applyBorder="1" applyAlignment="1">
      <alignment horizontal="center" vertical="center" textRotation="90" wrapText="1"/>
    </xf>
    <xf numFmtId="0" fontId="1" fillId="0" borderId="1" xfId="0" applyFont="1" applyBorder="1" applyAlignment="1">
      <alignment horizontal="center" vertical="center"/>
    </xf>
    <xf numFmtId="0" fontId="4" fillId="0" borderId="5" xfId="1" applyFont="1" applyBorder="1" applyAlignment="1">
      <alignment horizontal="center" vertical="center" wrapText="1"/>
    </xf>
    <xf numFmtId="0" fontId="5" fillId="0" borderId="6" xfId="1" applyFont="1" applyBorder="1" applyAlignment="1">
      <alignment horizontal="center" vertical="center" textRotation="90" wrapText="1"/>
    </xf>
    <xf numFmtId="0" fontId="5" fillId="0" borderId="7" xfId="1" applyFont="1" applyBorder="1" applyAlignment="1">
      <alignment horizontal="center" vertical="center" textRotation="90" wrapText="1"/>
    </xf>
    <xf numFmtId="0" fontId="5" fillId="0" borderId="8" xfId="1" applyFont="1" applyBorder="1" applyAlignment="1">
      <alignment horizontal="center" vertical="center" textRotation="90" wrapText="1"/>
    </xf>
    <xf numFmtId="0" fontId="5" fillId="0" borderId="6" xfId="1" applyFont="1" applyBorder="1" applyAlignment="1">
      <alignment horizontal="center" vertical="center" textRotation="90"/>
    </xf>
    <xf numFmtId="0" fontId="5" fillId="0" borderId="7" xfId="1" applyFont="1" applyBorder="1" applyAlignment="1">
      <alignment horizontal="center" vertical="center" textRotation="90"/>
    </xf>
    <xf numFmtId="0" fontId="5" fillId="0" borderId="8" xfId="1" applyFont="1" applyBorder="1" applyAlignment="1">
      <alignment horizontal="center" vertical="center" textRotation="90"/>
    </xf>
    <xf numFmtId="0" fontId="5" fillId="0" borderId="1" xfId="1" applyFont="1" applyBorder="1" applyAlignment="1">
      <alignment horizontal="center" vertical="center" wrapText="1"/>
    </xf>
    <xf numFmtId="0" fontId="5" fillId="0" borderId="6" xfId="1" applyFont="1" applyBorder="1" applyAlignment="1">
      <alignment horizontal="center" vertical="center" wrapText="1"/>
    </xf>
    <xf numFmtId="0" fontId="5" fillId="0" borderId="8" xfId="1" applyFont="1" applyBorder="1" applyAlignment="1">
      <alignment horizontal="center" vertical="center" wrapText="1"/>
    </xf>
    <xf numFmtId="0" fontId="2" fillId="0" borderId="1" xfId="1" applyFont="1" applyBorder="1" applyAlignment="1">
      <alignment horizontal="center" vertical="center"/>
    </xf>
    <xf numFmtId="0" fontId="1" fillId="0" borderId="1" xfId="1" applyFont="1" applyBorder="1" applyAlignment="1">
      <alignment horizontal="center" vertical="center"/>
    </xf>
    <xf numFmtId="0" fontId="3" fillId="0" borderId="1" xfId="1" applyBorder="1" applyAlignment="1">
      <alignment horizontal="center" vertical="center"/>
    </xf>
    <xf numFmtId="1" fontId="7" fillId="0" borderId="1" xfId="0" applyNumberFormat="1" applyFont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 wrapText="1"/>
    </xf>
    <xf numFmtId="0" fontId="7" fillId="0" borderId="3" xfId="0" applyFont="1" applyBorder="1" applyAlignment="1">
      <alignment horizontal="center" vertical="center" wrapText="1"/>
    </xf>
    <xf numFmtId="0" fontId="7" fillId="0" borderId="4" xfId="0" applyFont="1" applyBorder="1" applyAlignment="1">
      <alignment horizontal="center" vertical="center" wrapText="1"/>
    </xf>
    <xf numFmtId="0" fontId="7" fillId="0" borderId="1" xfId="0" applyFont="1" applyBorder="1" applyAlignment="1">
      <alignment horizontal="center" vertical="center" wrapText="1"/>
    </xf>
    <xf numFmtId="164" fontId="7" fillId="0" borderId="1" xfId="0" applyNumberFormat="1" applyFont="1" applyBorder="1" applyAlignment="1">
      <alignment horizontal="center" vertical="center" wrapText="1"/>
    </xf>
    <xf numFmtId="0" fontId="7" fillId="0" borderId="4" xfId="0" applyFont="1" applyBorder="1" applyAlignment="1">
      <alignment horizontal="center"/>
    </xf>
    <xf numFmtId="0" fontId="7" fillId="0" borderId="1" xfId="0" applyFont="1" applyBorder="1" applyAlignment="1">
      <alignment horizontal="center"/>
    </xf>
    <xf numFmtId="0" fontId="7" fillId="0" borderId="6" xfId="0" applyFont="1" applyBorder="1" applyAlignment="1">
      <alignment horizontal="center" vertical="center" wrapText="1"/>
    </xf>
    <xf numFmtId="0" fontId="7" fillId="0" borderId="7" xfId="0" applyFont="1" applyBorder="1" applyAlignment="1">
      <alignment horizontal="center" vertical="center" wrapText="1"/>
    </xf>
    <xf numFmtId="0" fontId="7" fillId="0" borderId="8" xfId="0" applyFont="1" applyBorder="1" applyAlignment="1">
      <alignment horizontal="center" vertical="center" wrapText="1"/>
    </xf>
    <xf numFmtId="0" fontId="7" fillId="0" borderId="6" xfId="0" applyFont="1" applyBorder="1" applyAlignment="1">
      <alignment horizontal="center" vertical="center"/>
    </xf>
    <xf numFmtId="0" fontId="7" fillId="0" borderId="7" xfId="0" applyFont="1" applyBorder="1" applyAlignment="1">
      <alignment horizontal="center" vertical="center"/>
    </xf>
    <xf numFmtId="0" fontId="7" fillId="0" borderId="8" xfId="0" applyFont="1" applyBorder="1" applyAlignment="1">
      <alignment horizontal="center" vertical="center"/>
    </xf>
    <xf numFmtId="0" fontId="2" fillId="0" borderId="1" xfId="0" applyFont="1" applyBorder="1" applyAlignment="1">
      <alignment horizontal="center"/>
    </xf>
    <xf numFmtId="0" fontId="2" fillId="0" borderId="1" xfId="0" applyFont="1" applyBorder="1" applyAlignment="1">
      <alignment horizontal="center" vertical="center"/>
    </xf>
  </cellXfs>
  <cellStyles count="2">
    <cellStyle name="Normal" xfId="0" builtinId="0"/>
    <cellStyle name="Normal 2" xfId="1" xr:uid="{13B726F5-1599-4C07-92E9-3289F274DDE0}"/>
  </cellStyles>
  <dxfs count="0"/>
  <tableStyles count="0" defaultTableStyle="TableStyleMedium2" defaultPivotStyle="PivotStyleLight16"/>
  <colors>
    <mruColors>
      <color rgb="FFF8F8F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GRAIN</a:t>
            </a:r>
            <a:r>
              <a:rPr lang="en-US" b="1" baseline="0"/>
              <a:t> SIZE DISTRIBUTION CURVE</a:t>
            </a:r>
            <a:endParaRPr lang="en-US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9766365411220156E-2"/>
          <c:y val="0.13532842234499692"/>
          <c:w val="0.86660686810700405"/>
          <c:h val="0.71917339752420451"/>
        </c:manualLayout>
      </c:layout>
      <c:scatterChart>
        <c:scatterStyle val="smoothMarker"/>
        <c:varyColors val="0"/>
        <c:ser>
          <c:idx val="18"/>
          <c:order val="0"/>
          <c:tx>
            <c:strRef>
              <c:f>GSD!$F$5</c:f>
              <c:strCache>
                <c:ptCount val="1"/>
                <c:pt idx="0">
                  <c:v>0.50</c:v>
                </c:pt>
              </c:strCache>
            </c:strRef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</a:schemeClr>
              </a:solidFill>
              <a:ln w="9525">
                <a:solidFill>
                  <a:schemeClr val="accent1">
                    <a:lumMod val="80000"/>
                  </a:schemeClr>
                </a:solidFill>
              </a:ln>
              <a:effectLst/>
            </c:spPr>
          </c:marker>
          <c:xVal>
            <c:numRef>
              <c:f>GSD!$Q$3:$V$3</c:f>
              <c:numCache>
                <c:formatCode>0.00</c:formatCode>
                <c:ptCount val="6"/>
                <c:pt idx="0" formatCode="General">
                  <c:v>4.75</c:v>
                </c:pt>
                <c:pt idx="1">
                  <c:v>2</c:v>
                </c:pt>
                <c:pt idx="2" formatCode="0.000">
                  <c:v>0.42499999999999999</c:v>
                </c:pt>
                <c:pt idx="3" formatCode="0.000">
                  <c:v>0.21199999999999999</c:v>
                </c:pt>
                <c:pt idx="4" formatCode="0.000">
                  <c:v>0.15</c:v>
                </c:pt>
                <c:pt idx="5" formatCode="0.000">
                  <c:v>7.4999999999999997E-2</c:v>
                </c:pt>
              </c:numCache>
            </c:numRef>
          </c:xVal>
          <c:yVal>
            <c:numRef>
              <c:f>GSD!$Q$5:$V$5</c:f>
              <c:numCache>
                <c:formatCode>0.00</c:formatCode>
                <c:ptCount val="6"/>
                <c:pt idx="0">
                  <c:v>100</c:v>
                </c:pt>
                <c:pt idx="1">
                  <c:v>99.88</c:v>
                </c:pt>
                <c:pt idx="2">
                  <c:v>62.400000000000013</c:v>
                </c:pt>
                <c:pt idx="3">
                  <c:v>40.77000000000001</c:v>
                </c:pt>
                <c:pt idx="4">
                  <c:v>34.170000000000016</c:v>
                </c:pt>
                <c:pt idx="5">
                  <c:v>16.680000000000021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F1B-4A58-AF1A-008074CF6D76}"/>
            </c:ext>
          </c:extLst>
        </c:ser>
        <c:ser>
          <c:idx val="0"/>
          <c:order val="1"/>
          <c:tx>
            <c:strRef>
              <c:f>GSD!$F$6</c:f>
              <c:strCache>
                <c:ptCount val="1"/>
                <c:pt idx="0">
                  <c:v>1.50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GSD!$Q$3:$V$3</c:f>
              <c:numCache>
                <c:formatCode>0.00</c:formatCode>
                <c:ptCount val="6"/>
                <c:pt idx="0" formatCode="General">
                  <c:v>4.75</c:v>
                </c:pt>
                <c:pt idx="1">
                  <c:v>2</c:v>
                </c:pt>
                <c:pt idx="2" formatCode="0.000">
                  <c:v>0.42499999999999999</c:v>
                </c:pt>
                <c:pt idx="3" formatCode="0.000">
                  <c:v>0.21199999999999999</c:v>
                </c:pt>
                <c:pt idx="4" formatCode="0.000">
                  <c:v>0.15</c:v>
                </c:pt>
                <c:pt idx="5" formatCode="0.000">
                  <c:v>7.4999999999999997E-2</c:v>
                </c:pt>
              </c:numCache>
            </c:numRef>
          </c:xVal>
          <c:yVal>
            <c:numRef>
              <c:f>GSD!$Q$6:$V$6</c:f>
              <c:numCache>
                <c:formatCode>0.00</c:formatCode>
                <c:ptCount val="6"/>
                <c:pt idx="0">
                  <c:v>99.185000000000002</c:v>
                </c:pt>
                <c:pt idx="1">
                  <c:v>96.45</c:v>
                </c:pt>
                <c:pt idx="2">
                  <c:v>53.495000000000005</c:v>
                </c:pt>
                <c:pt idx="3">
                  <c:v>34.28</c:v>
                </c:pt>
                <c:pt idx="4">
                  <c:v>31.275000000000009</c:v>
                </c:pt>
                <c:pt idx="5">
                  <c:v>26.225000000000009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F1B-4A58-AF1A-008074CF6D76}"/>
            </c:ext>
          </c:extLst>
        </c:ser>
        <c:ser>
          <c:idx val="1"/>
          <c:order val="2"/>
          <c:tx>
            <c:strRef>
              <c:f>GSD!$F$7</c:f>
              <c:strCache>
                <c:ptCount val="1"/>
                <c:pt idx="0">
                  <c:v>3.50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GSD!$Q$3:$V$3</c:f>
              <c:numCache>
                <c:formatCode>0.00</c:formatCode>
                <c:ptCount val="6"/>
                <c:pt idx="0" formatCode="General">
                  <c:v>4.75</c:v>
                </c:pt>
                <c:pt idx="1">
                  <c:v>2</c:v>
                </c:pt>
                <c:pt idx="2" formatCode="0.000">
                  <c:v>0.42499999999999999</c:v>
                </c:pt>
                <c:pt idx="3" formatCode="0.000">
                  <c:v>0.21199999999999999</c:v>
                </c:pt>
                <c:pt idx="4" formatCode="0.000">
                  <c:v>0.15</c:v>
                </c:pt>
                <c:pt idx="5" formatCode="0.000">
                  <c:v>7.4999999999999997E-2</c:v>
                </c:pt>
              </c:numCache>
            </c:numRef>
          </c:xVal>
          <c:yVal>
            <c:numRef>
              <c:f>GSD!$Q$7:$V$7</c:f>
              <c:numCache>
                <c:formatCode>0.00</c:formatCode>
                <c:ptCount val="6"/>
                <c:pt idx="0">
                  <c:v>100</c:v>
                </c:pt>
                <c:pt idx="1">
                  <c:v>99.52</c:v>
                </c:pt>
                <c:pt idx="2">
                  <c:v>61.360000000000007</c:v>
                </c:pt>
                <c:pt idx="3">
                  <c:v>40.990000000000009</c:v>
                </c:pt>
                <c:pt idx="4">
                  <c:v>36.620000000000012</c:v>
                </c:pt>
                <c:pt idx="5">
                  <c:v>20.590000000000003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F1B-4A58-AF1A-008074CF6D76}"/>
            </c:ext>
          </c:extLst>
        </c:ser>
        <c:ser>
          <c:idx val="2"/>
          <c:order val="3"/>
          <c:tx>
            <c:strRef>
              <c:f>GSD!$F$8</c:f>
              <c:strCache>
                <c:ptCount val="1"/>
                <c:pt idx="0">
                  <c:v>7.50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GSD!$Q$3:$V$3</c:f>
              <c:numCache>
                <c:formatCode>0.00</c:formatCode>
                <c:ptCount val="6"/>
                <c:pt idx="0" formatCode="General">
                  <c:v>4.75</c:v>
                </c:pt>
                <c:pt idx="1">
                  <c:v>2</c:v>
                </c:pt>
                <c:pt idx="2" formatCode="0.000">
                  <c:v>0.42499999999999999</c:v>
                </c:pt>
                <c:pt idx="3" formatCode="0.000">
                  <c:v>0.21199999999999999</c:v>
                </c:pt>
                <c:pt idx="4" formatCode="0.000">
                  <c:v>0.15</c:v>
                </c:pt>
                <c:pt idx="5" formatCode="0.000">
                  <c:v>7.4999999999999997E-2</c:v>
                </c:pt>
              </c:numCache>
            </c:numRef>
          </c:xVal>
          <c:yVal>
            <c:numRef>
              <c:f>GSD!$Q$8:$V$8</c:f>
              <c:numCache>
                <c:formatCode>0.00</c:formatCode>
                <c:ptCount val="6"/>
                <c:pt idx="0">
                  <c:v>94.58</c:v>
                </c:pt>
                <c:pt idx="1">
                  <c:v>91.33</c:v>
                </c:pt>
                <c:pt idx="2">
                  <c:v>77.490000000000009</c:v>
                </c:pt>
                <c:pt idx="3">
                  <c:v>53.870000000000005</c:v>
                </c:pt>
                <c:pt idx="4">
                  <c:v>51.320000000000007</c:v>
                </c:pt>
                <c:pt idx="5">
                  <c:v>46.980000000000004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1F1B-4A58-AF1A-008074CF6D76}"/>
            </c:ext>
          </c:extLst>
        </c:ser>
        <c:ser>
          <c:idx val="3"/>
          <c:order val="4"/>
          <c:tx>
            <c:strRef>
              <c:f>GSD!$F$9</c:f>
              <c:strCache>
                <c:ptCount val="1"/>
                <c:pt idx="0">
                  <c:v>9.50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GSD!$Q$3:$V$3</c:f>
              <c:numCache>
                <c:formatCode>0.00</c:formatCode>
                <c:ptCount val="6"/>
                <c:pt idx="0" formatCode="General">
                  <c:v>4.75</c:v>
                </c:pt>
                <c:pt idx="1">
                  <c:v>2</c:v>
                </c:pt>
                <c:pt idx="2" formatCode="0.000">
                  <c:v>0.42499999999999999</c:v>
                </c:pt>
                <c:pt idx="3" formatCode="0.000">
                  <c:v>0.21199999999999999</c:v>
                </c:pt>
                <c:pt idx="4" formatCode="0.000">
                  <c:v>0.15</c:v>
                </c:pt>
                <c:pt idx="5" formatCode="0.000">
                  <c:v>7.4999999999999997E-2</c:v>
                </c:pt>
              </c:numCache>
            </c:numRef>
          </c:xVal>
          <c:yVal>
            <c:numRef>
              <c:f>GSD!$Q$9:$V$9</c:f>
              <c:numCache>
                <c:formatCode>0.00</c:formatCode>
                <c:ptCount val="6"/>
                <c:pt idx="0">
                  <c:v>99.83</c:v>
                </c:pt>
                <c:pt idx="1">
                  <c:v>98.62</c:v>
                </c:pt>
                <c:pt idx="2">
                  <c:v>94.04</c:v>
                </c:pt>
                <c:pt idx="3">
                  <c:v>69.989999999999995</c:v>
                </c:pt>
                <c:pt idx="4">
                  <c:v>65.88</c:v>
                </c:pt>
                <c:pt idx="5">
                  <c:v>49.029999999999994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1F1B-4A58-AF1A-008074CF6D76}"/>
            </c:ext>
          </c:extLst>
        </c:ser>
        <c:ser>
          <c:idx val="4"/>
          <c:order val="5"/>
          <c:tx>
            <c:strRef>
              <c:f>GSD!$F$10</c:f>
              <c:strCache>
                <c:ptCount val="1"/>
                <c:pt idx="0">
                  <c:v>12.50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GSD!$Q$3:$V$3</c:f>
              <c:numCache>
                <c:formatCode>0.00</c:formatCode>
                <c:ptCount val="6"/>
                <c:pt idx="0" formatCode="General">
                  <c:v>4.75</c:v>
                </c:pt>
                <c:pt idx="1">
                  <c:v>2</c:v>
                </c:pt>
                <c:pt idx="2" formatCode="0.000">
                  <c:v>0.42499999999999999</c:v>
                </c:pt>
                <c:pt idx="3" formatCode="0.000">
                  <c:v>0.21199999999999999</c:v>
                </c:pt>
                <c:pt idx="4" formatCode="0.000">
                  <c:v>0.15</c:v>
                </c:pt>
                <c:pt idx="5" formatCode="0.000">
                  <c:v>7.4999999999999997E-2</c:v>
                </c:pt>
              </c:numCache>
            </c:numRef>
          </c:xVal>
          <c:yVal>
            <c:numRef>
              <c:f>GSD!$Q$10:$V$10</c:f>
              <c:numCache>
                <c:formatCode>0.00</c:formatCode>
                <c:ptCount val="6"/>
                <c:pt idx="0">
                  <c:v>99.81</c:v>
                </c:pt>
                <c:pt idx="1">
                  <c:v>99.45</c:v>
                </c:pt>
                <c:pt idx="2">
                  <c:v>98.29</c:v>
                </c:pt>
                <c:pt idx="3">
                  <c:v>71.739999999999995</c:v>
                </c:pt>
                <c:pt idx="4">
                  <c:v>58.56</c:v>
                </c:pt>
                <c:pt idx="5">
                  <c:v>33.03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1F1B-4A58-AF1A-008074CF6D76}"/>
            </c:ext>
          </c:extLst>
        </c:ser>
        <c:ser>
          <c:idx val="5"/>
          <c:order val="6"/>
          <c:tx>
            <c:strRef>
              <c:f>GSD!$F$11</c:f>
              <c:strCache>
                <c:ptCount val="1"/>
                <c:pt idx="0">
                  <c:v>13.50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GSD!$Q$3:$V$3</c:f>
              <c:numCache>
                <c:formatCode>0.00</c:formatCode>
                <c:ptCount val="6"/>
                <c:pt idx="0" formatCode="General">
                  <c:v>4.75</c:v>
                </c:pt>
                <c:pt idx="1">
                  <c:v>2</c:v>
                </c:pt>
                <c:pt idx="2" formatCode="0.000">
                  <c:v>0.42499999999999999</c:v>
                </c:pt>
                <c:pt idx="3" formatCode="0.000">
                  <c:v>0.21199999999999999</c:v>
                </c:pt>
                <c:pt idx="4" formatCode="0.000">
                  <c:v>0.15</c:v>
                </c:pt>
                <c:pt idx="5" formatCode="0.000">
                  <c:v>7.4999999999999997E-2</c:v>
                </c:pt>
              </c:numCache>
            </c:numRef>
          </c:xVal>
          <c:yVal>
            <c:numRef>
              <c:f>GSD!$Q$11:$V$11</c:f>
              <c:numCache>
                <c:formatCode>0.00</c:formatCode>
                <c:ptCount val="6"/>
                <c:pt idx="0">
                  <c:v>100</c:v>
                </c:pt>
                <c:pt idx="1">
                  <c:v>99.82</c:v>
                </c:pt>
                <c:pt idx="2">
                  <c:v>94.74</c:v>
                </c:pt>
                <c:pt idx="3">
                  <c:v>70.58</c:v>
                </c:pt>
                <c:pt idx="4">
                  <c:v>62.09</c:v>
                </c:pt>
                <c:pt idx="5">
                  <c:v>38.949999999999996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1F1B-4A58-AF1A-008074CF6D76}"/>
            </c:ext>
          </c:extLst>
        </c:ser>
        <c:ser>
          <c:idx val="6"/>
          <c:order val="7"/>
          <c:tx>
            <c:strRef>
              <c:f>GSD!$F$12</c:f>
              <c:strCache>
                <c:ptCount val="1"/>
                <c:pt idx="0">
                  <c:v>14.00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GSD!$Q$3:$V$3</c:f>
              <c:numCache>
                <c:formatCode>0.00</c:formatCode>
                <c:ptCount val="6"/>
                <c:pt idx="0" formatCode="General">
                  <c:v>4.75</c:v>
                </c:pt>
                <c:pt idx="1">
                  <c:v>2</c:v>
                </c:pt>
                <c:pt idx="2" formatCode="0.000">
                  <c:v>0.42499999999999999</c:v>
                </c:pt>
                <c:pt idx="3" formatCode="0.000">
                  <c:v>0.21199999999999999</c:v>
                </c:pt>
                <c:pt idx="4" formatCode="0.000">
                  <c:v>0.15</c:v>
                </c:pt>
                <c:pt idx="5" formatCode="0.000">
                  <c:v>7.4999999999999997E-2</c:v>
                </c:pt>
              </c:numCache>
            </c:numRef>
          </c:xVal>
          <c:yVal>
            <c:numRef>
              <c:f>GSD!$Q$12:$V$12</c:f>
              <c:numCache>
                <c:formatCode>0.00</c:formatCode>
                <c:ptCount val="6"/>
                <c:pt idx="0">
                  <c:v>99.43</c:v>
                </c:pt>
                <c:pt idx="1">
                  <c:v>99.06</c:v>
                </c:pt>
                <c:pt idx="2">
                  <c:v>93.78</c:v>
                </c:pt>
                <c:pt idx="3">
                  <c:v>65.3</c:v>
                </c:pt>
                <c:pt idx="4">
                  <c:v>60.22</c:v>
                </c:pt>
                <c:pt idx="5">
                  <c:v>42.78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1F1B-4A58-AF1A-008074CF6D76}"/>
            </c:ext>
          </c:extLst>
        </c:ser>
        <c:ser>
          <c:idx val="7"/>
          <c:order val="8"/>
          <c:tx>
            <c:strRef>
              <c:f>GSD!$F$13</c:f>
              <c:strCache>
                <c:ptCount val="1"/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GSD!$Q$3:$V$3</c:f>
              <c:numCache>
                <c:formatCode>0.00</c:formatCode>
                <c:ptCount val="6"/>
                <c:pt idx="0" formatCode="General">
                  <c:v>4.75</c:v>
                </c:pt>
                <c:pt idx="1">
                  <c:v>2</c:v>
                </c:pt>
                <c:pt idx="2" formatCode="0.000">
                  <c:v>0.42499999999999999</c:v>
                </c:pt>
                <c:pt idx="3" formatCode="0.000">
                  <c:v>0.21199999999999999</c:v>
                </c:pt>
                <c:pt idx="4" formatCode="0.000">
                  <c:v>0.15</c:v>
                </c:pt>
                <c:pt idx="5" formatCode="0.000">
                  <c:v>7.4999999999999997E-2</c:v>
                </c:pt>
              </c:numCache>
            </c:numRef>
          </c:xVal>
          <c:yVal>
            <c:numRef>
              <c:f>GSD!$Q$13:$V$13</c:f>
              <c:numCache>
                <c:formatCode>0.00</c:formatCode>
                <c:ptCount val="6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1F1B-4A58-AF1A-008074CF6D76}"/>
            </c:ext>
          </c:extLst>
        </c:ser>
        <c:ser>
          <c:idx val="8"/>
          <c:order val="9"/>
          <c:tx>
            <c:strRef>
              <c:f>GSD!#REF!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GSD!$Q$3:$V$3</c:f>
              <c:numCache>
                <c:formatCode>0.00</c:formatCode>
                <c:ptCount val="6"/>
                <c:pt idx="0" formatCode="General">
                  <c:v>4.75</c:v>
                </c:pt>
                <c:pt idx="1">
                  <c:v>2</c:v>
                </c:pt>
                <c:pt idx="2" formatCode="0.000">
                  <c:v>0.42499999999999999</c:v>
                </c:pt>
                <c:pt idx="3" formatCode="0.000">
                  <c:v>0.21199999999999999</c:v>
                </c:pt>
                <c:pt idx="4" formatCode="0.000">
                  <c:v>0.15</c:v>
                </c:pt>
                <c:pt idx="5" formatCode="0.000">
                  <c:v>7.4999999999999997E-2</c:v>
                </c:pt>
              </c:numCache>
            </c:numRef>
          </c:xVal>
          <c:yVal>
            <c:numRef>
              <c:f>GSD!#REF!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1F1B-4A58-AF1A-008074CF6D76}"/>
            </c:ext>
          </c:extLst>
        </c:ser>
        <c:ser>
          <c:idx val="9"/>
          <c:order val="10"/>
          <c:tx>
            <c:strRef>
              <c:f>GSD!#REF!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GSD!$Q$3:$V$3</c:f>
              <c:numCache>
                <c:formatCode>0.00</c:formatCode>
                <c:ptCount val="6"/>
                <c:pt idx="0" formatCode="General">
                  <c:v>4.75</c:v>
                </c:pt>
                <c:pt idx="1">
                  <c:v>2</c:v>
                </c:pt>
                <c:pt idx="2" formatCode="0.000">
                  <c:v>0.42499999999999999</c:v>
                </c:pt>
                <c:pt idx="3" formatCode="0.000">
                  <c:v>0.21199999999999999</c:v>
                </c:pt>
                <c:pt idx="4" formatCode="0.000">
                  <c:v>0.15</c:v>
                </c:pt>
                <c:pt idx="5" formatCode="0.000">
                  <c:v>7.4999999999999997E-2</c:v>
                </c:pt>
              </c:numCache>
            </c:numRef>
          </c:xVal>
          <c:yVal>
            <c:numRef>
              <c:f>GSD!#REF!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1F1B-4A58-AF1A-008074CF6D76}"/>
            </c:ext>
          </c:extLst>
        </c:ser>
        <c:ser>
          <c:idx val="10"/>
          <c:order val="11"/>
          <c:tx>
            <c:strRef>
              <c:f>GSD!#REF!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xVal>
            <c:numRef>
              <c:f>GSD!$Q$3:$V$3</c:f>
              <c:numCache>
                <c:formatCode>0.00</c:formatCode>
                <c:ptCount val="6"/>
                <c:pt idx="0" formatCode="General">
                  <c:v>4.75</c:v>
                </c:pt>
                <c:pt idx="1">
                  <c:v>2</c:v>
                </c:pt>
                <c:pt idx="2" formatCode="0.000">
                  <c:v>0.42499999999999999</c:v>
                </c:pt>
                <c:pt idx="3" formatCode="0.000">
                  <c:v>0.21199999999999999</c:v>
                </c:pt>
                <c:pt idx="4" formatCode="0.000">
                  <c:v>0.15</c:v>
                </c:pt>
                <c:pt idx="5" formatCode="0.000">
                  <c:v>7.4999999999999997E-2</c:v>
                </c:pt>
              </c:numCache>
            </c:numRef>
          </c:xVal>
          <c:yVal>
            <c:numRef>
              <c:f>GSD!#REF!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1F1B-4A58-AF1A-008074CF6D76}"/>
            </c:ext>
          </c:extLst>
        </c:ser>
        <c:ser>
          <c:idx val="11"/>
          <c:order val="12"/>
          <c:tx>
            <c:strRef>
              <c:f>GSD!#REF!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xVal>
            <c:numRef>
              <c:f>GSD!$Q$3:$V$3</c:f>
              <c:numCache>
                <c:formatCode>0.00</c:formatCode>
                <c:ptCount val="6"/>
                <c:pt idx="0" formatCode="General">
                  <c:v>4.75</c:v>
                </c:pt>
                <c:pt idx="1">
                  <c:v>2</c:v>
                </c:pt>
                <c:pt idx="2" formatCode="0.000">
                  <c:v>0.42499999999999999</c:v>
                </c:pt>
                <c:pt idx="3" formatCode="0.000">
                  <c:v>0.21199999999999999</c:v>
                </c:pt>
                <c:pt idx="4" formatCode="0.000">
                  <c:v>0.15</c:v>
                </c:pt>
                <c:pt idx="5" formatCode="0.000">
                  <c:v>7.4999999999999997E-2</c:v>
                </c:pt>
              </c:numCache>
            </c:numRef>
          </c:xVal>
          <c:yVal>
            <c:numRef>
              <c:f>GSD!#REF!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C60-46FD-BC40-76F751D302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27082448"/>
        <c:axId val="1587523856"/>
      </c:scatterChart>
      <c:valAx>
        <c:axId val="1427082448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Particle</a:t>
                </a:r>
                <a:r>
                  <a:rPr lang="en-IN" b="1" baseline="0"/>
                  <a:t> Size (mm)</a:t>
                </a:r>
                <a:endParaRPr lang="en-IN" b="1"/>
              </a:p>
            </c:rich>
          </c:tx>
          <c:layout>
            <c:manualLayout>
              <c:xMode val="edge"/>
              <c:yMode val="edge"/>
              <c:x val="0.44033671437622024"/>
              <c:y val="0.9257058337321095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IN"/>
            </a:p>
          </c:txPr>
        </c:title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87523856"/>
        <c:crosses val="autoZero"/>
        <c:crossBetween val="midCat"/>
      </c:valAx>
      <c:valAx>
        <c:axId val="158752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% Passing</a:t>
                </a:r>
              </a:p>
            </c:rich>
          </c:tx>
          <c:layout>
            <c:manualLayout>
              <c:xMode val="edge"/>
              <c:yMode val="edge"/>
              <c:x val="1.4367816091954023E-2"/>
              <c:y val="0.4221095981786807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27082448"/>
        <c:crossesAt val="1.0000000000000002E-2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0018472906403941"/>
          <c:y val="0.15502578752241605"/>
          <c:w val="7.0659604344900845E-2"/>
          <c:h val="0.6038662776836145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Sheet4!$C$1</c:f>
              <c:strCache>
                <c:ptCount val="1"/>
                <c:pt idx="0">
                  <c:v>Viscosity (P)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og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4"/>
            <c:dispRSqr val="1"/>
            <c:dispEq val="1"/>
            <c:trendlineLbl>
              <c:layout>
                <c:manualLayout>
                  <c:x val="5.9948179554478766E-2"/>
                  <c:y val="-0.33520972490648931"/>
                </c:manualLayout>
              </c:layout>
              <c:numFmt formatCode="#,##0.0000000000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Sheet4!$A$2:$A$41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xVal>
          <c:yVal>
            <c:numRef>
              <c:f>Sheet4!$C$2:$C$41</c:f>
              <c:numCache>
                <c:formatCode>General</c:formatCode>
                <c:ptCount val="40"/>
                <c:pt idx="0">
                  <c:v>1.7940000000000001E-2</c:v>
                </c:pt>
                <c:pt idx="1">
                  <c:v>1.7319999999999999E-2</c:v>
                </c:pt>
                <c:pt idx="2">
                  <c:v>1.6740000000000001E-2</c:v>
                </c:pt>
                <c:pt idx="3">
                  <c:v>1.619E-2</c:v>
                </c:pt>
                <c:pt idx="4">
                  <c:v>1.5679999999999999E-2</c:v>
                </c:pt>
                <c:pt idx="5">
                  <c:v>1.519E-2</c:v>
                </c:pt>
                <c:pt idx="6">
                  <c:v>1.473E-2</c:v>
                </c:pt>
                <c:pt idx="7">
                  <c:v>1.4290000000000001E-2</c:v>
                </c:pt>
                <c:pt idx="8">
                  <c:v>1.387E-2</c:v>
                </c:pt>
                <c:pt idx="9">
                  <c:v>1.3480000000000001E-2</c:v>
                </c:pt>
                <c:pt idx="10">
                  <c:v>1.3100000000000001E-2</c:v>
                </c:pt>
                <c:pt idx="11">
                  <c:v>1.274E-2</c:v>
                </c:pt>
                <c:pt idx="12">
                  <c:v>1.239E-2</c:v>
                </c:pt>
                <c:pt idx="13">
                  <c:v>1.206E-2</c:v>
                </c:pt>
                <c:pt idx="14">
                  <c:v>1.175E-2</c:v>
                </c:pt>
                <c:pt idx="15">
                  <c:v>1.145E-2</c:v>
                </c:pt>
                <c:pt idx="16">
                  <c:v>1.116E-2</c:v>
                </c:pt>
                <c:pt idx="17">
                  <c:v>1.0880000000000001E-2</c:v>
                </c:pt>
                <c:pt idx="18">
                  <c:v>1.06E-2</c:v>
                </c:pt>
                <c:pt idx="19">
                  <c:v>1.034E-2</c:v>
                </c:pt>
                <c:pt idx="20">
                  <c:v>1.009E-2</c:v>
                </c:pt>
                <c:pt idx="21">
                  <c:v>9.8399999999999998E-3</c:v>
                </c:pt>
                <c:pt idx="22">
                  <c:v>9.6100000000000005E-3</c:v>
                </c:pt>
                <c:pt idx="23">
                  <c:v>9.3799999999999994E-3</c:v>
                </c:pt>
                <c:pt idx="24">
                  <c:v>9.1599999999999997E-3</c:v>
                </c:pt>
                <c:pt idx="25">
                  <c:v>8.9499999999999996E-3</c:v>
                </c:pt>
                <c:pt idx="26">
                  <c:v>8.7500000000000008E-3</c:v>
                </c:pt>
                <c:pt idx="27">
                  <c:v>8.5500000000000003E-3</c:v>
                </c:pt>
                <c:pt idx="28">
                  <c:v>8.3599999999999994E-3</c:v>
                </c:pt>
                <c:pt idx="29">
                  <c:v>8.1799999999999998E-3</c:v>
                </c:pt>
                <c:pt idx="30">
                  <c:v>8.0000000000000002E-3</c:v>
                </c:pt>
                <c:pt idx="31">
                  <c:v>7.8300000000000002E-3</c:v>
                </c:pt>
                <c:pt idx="32">
                  <c:v>7.6699999999999997E-3</c:v>
                </c:pt>
                <c:pt idx="33">
                  <c:v>7.5100000000000002E-3</c:v>
                </c:pt>
                <c:pt idx="34">
                  <c:v>7.3600000000000002E-3</c:v>
                </c:pt>
                <c:pt idx="35">
                  <c:v>7.2100000000000003E-3</c:v>
                </c:pt>
                <c:pt idx="36">
                  <c:v>7.0600000000000003E-3</c:v>
                </c:pt>
                <c:pt idx="37">
                  <c:v>6.9199999999999999E-3</c:v>
                </c:pt>
                <c:pt idx="38">
                  <c:v>6.79E-3</c:v>
                </c:pt>
                <c:pt idx="39">
                  <c:v>6.6600000000000001E-3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D33-42F5-A11F-31019B276C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0991296"/>
        <c:axId val="190989632"/>
      </c:scatterChart>
      <c:valAx>
        <c:axId val="1909912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0989632"/>
        <c:crosses val="autoZero"/>
        <c:crossBetween val="midCat"/>
      </c:valAx>
      <c:valAx>
        <c:axId val="1909896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09912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GRAIN</a:t>
            </a:r>
            <a:r>
              <a:rPr lang="en-US" b="1" baseline="0"/>
              <a:t> SIZE DISTRIBUTION CURVE</a:t>
            </a:r>
            <a:endParaRPr lang="en-US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9766365411220156E-2"/>
          <c:y val="8.152827477428419E-2"/>
          <c:w val="0.86660686810700405"/>
          <c:h val="0.80542081080623618"/>
        </c:manualLayout>
      </c:layout>
      <c:scatterChart>
        <c:scatterStyle val="smoothMarker"/>
        <c:varyColors val="0"/>
        <c:ser>
          <c:idx val="0"/>
          <c:order val="0"/>
          <c:tx>
            <c:strRef>
              <c:f>PLOT!$C$3</c:f>
              <c:strCache>
                <c:ptCount val="1"/>
                <c:pt idx="0">
                  <c:v>0.50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PLOT!$D$3:$I$3</c:f>
              <c:numCache>
                <c:formatCode>0.000</c:formatCode>
                <c:ptCount val="6"/>
                <c:pt idx="0">
                  <c:v>4.75</c:v>
                </c:pt>
                <c:pt idx="1">
                  <c:v>2</c:v>
                </c:pt>
                <c:pt idx="2">
                  <c:v>0.42499999999999999</c:v>
                </c:pt>
                <c:pt idx="3">
                  <c:v>0.21199999999999999</c:v>
                </c:pt>
                <c:pt idx="4">
                  <c:v>0.15</c:v>
                </c:pt>
                <c:pt idx="5">
                  <c:v>7.4999999999999997E-2</c:v>
                </c:pt>
              </c:numCache>
            </c:numRef>
          </c:xVal>
          <c:yVal>
            <c:numRef>
              <c:f>PLOT!$W$3:$AB$3</c:f>
              <c:numCache>
                <c:formatCode>0.00</c:formatCode>
                <c:ptCount val="6"/>
                <c:pt idx="0">
                  <c:v>100</c:v>
                </c:pt>
                <c:pt idx="1">
                  <c:v>99.88</c:v>
                </c:pt>
                <c:pt idx="2">
                  <c:v>62.400000000000013</c:v>
                </c:pt>
                <c:pt idx="3">
                  <c:v>40.77000000000001</c:v>
                </c:pt>
                <c:pt idx="4">
                  <c:v>34.170000000000016</c:v>
                </c:pt>
                <c:pt idx="5">
                  <c:v>16.680000000000021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2-3879-4931-8728-0D7C2F66F5E2}"/>
            </c:ext>
          </c:extLst>
        </c:ser>
        <c:ser>
          <c:idx val="1"/>
          <c:order val="1"/>
          <c:tx>
            <c:strRef>
              <c:f>PLOT!$C$4</c:f>
              <c:strCache>
                <c:ptCount val="1"/>
                <c:pt idx="0">
                  <c:v>1.50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PLOT!$D$4:$V$4</c:f>
              <c:numCache>
                <c:formatCode>0.000</c:formatCode>
                <c:ptCount val="19"/>
                <c:pt idx="0">
                  <c:v>4.75</c:v>
                </c:pt>
                <c:pt idx="1">
                  <c:v>2</c:v>
                </c:pt>
                <c:pt idx="2">
                  <c:v>0.42499999999999999</c:v>
                </c:pt>
                <c:pt idx="3">
                  <c:v>0.21199999999999999</c:v>
                </c:pt>
                <c:pt idx="4">
                  <c:v>0.15</c:v>
                </c:pt>
                <c:pt idx="5">
                  <c:v>7.4999999999999997E-2</c:v>
                </c:pt>
                <c:pt idx="6" formatCode="0.00000">
                  <c:v>0</c:v>
                </c:pt>
                <c:pt idx="7" formatCode="0.00000">
                  <c:v>0</c:v>
                </c:pt>
                <c:pt idx="8" formatCode="0.00000">
                  <c:v>0</c:v>
                </c:pt>
                <c:pt idx="9" formatCode="0.00000">
                  <c:v>0</c:v>
                </c:pt>
                <c:pt idx="10" formatCode="0.00000">
                  <c:v>0</c:v>
                </c:pt>
                <c:pt idx="11" formatCode="0.00000">
                  <c:v>0</c:v>
                </c:pt>
                <c:pt idx="12" formatCode="0.00000">
                  <c:v>0</c:v>
                </c:pt>
                <c:pt idx="13" formatCode="0.00000">
                  <c:v>0</c:v>
                </c:pt>
                <c:pt idx="14" formatCode="0.00000">
                  <c:v>0</c:v>
                </c:pt>
                <c:pt idx="15" formatCode="0.00000">
                  <c:v>0</c:v>
                </c:pt>
                <c:pt idx="16" formatCode="0.00000">
                  <c:v>0</c:v>
                </c:pt>
                <c:pt idx="17" formatCode="0.00000">
                  <c:v>0</c:v>
                </c:pt>
                <c:pt idx="18" formatCode="0.00000">
                  <c:v>0</c:v>
                </c:pt>
              </c:numCache>
            </c:numRef>
          </c:xVal>
          <c:yVal>
            <c:numRef>
              <c:f>PLOT!$W$4:$AO$4</c:f>
              <c:numCache>
                <c:formatCode>0.00</c:formatCode>
                <c:ptCount val="19"/>
                <c:pt idx="0">
                  <c:v>99.185000000000002</c:v>
                </c:pt>
                <c:pt idx="1">
                  <c:v>96.45</c:v>
                </c:pt>
                <c:pt idx="2">
                  <c:v>53.495000000000005</c:v>
                </c:pt>
                <c:pt idx="3">
                  <c:v>34.28</c:v>
                </c:pt>
                <c:pt idx="4">
                  <c:v>31.275000000000009</c:v>
                </c:pt>
                <c:pt idx="5">
                  <c:v>26.225000000000009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879-4931-8728-0D7C2F66F5E2}"/>
            </c:ext>
          </c:extLst>
        </c:ser>
        <c:ser>
          <c:idx val="2"/>
          <c:order val="2"/>
          <c:tx>
            <c:strRef>
              <c:f>PLOT!$C$5</c:f>
              <c:strCache>
                <c:ptCount val="1"/>
                <c:pt idx="0">
                  <c:v>3.50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PLOT!$D$5:$V$5</c:f>
              <c:numCache>
                <c:formatCode>0.000</c:formatCode>
                <c:ptCount val="19"/>
                <c:pt idx="0">
                  <c:v>4.75</c:v>
                </c:pt>
                <c:pt idx="1">
                  <c:v>2</c:v>
                </c:pt>
                <c:pt idx="2">
                  <c:v>0.42499999999999999</c:v>
                </c:pt>
                <c:pt idx="3">
                  <c:v>0.21199999999999999</c:v>
                </c:pt>
                <c:pt idx="4">
                  <c:v>0.15</c:v>
                </c:pt>
                <c:pt idx="5">
                  <c:v>7.4999999999999997E-2</c:v>
                </c:pt>
                <c:pt idx="6" formatCode="0.00000">
                  <c:v>0</c:v>
                </c:pt>
                <c:pt idx="7" formatCode="0.00000">
                  <c:v>0</c:v>
                </c:pt>
                <c:pt idx="8" formatCode="0.00000">
                  <c:v>0</c:v>
                </c:pt>
                <c:pt idx="9" formatCode="0.00000">
                  <c:v>0</c:v>
                </c:pt>
                <c:pt idx="10" formatCode="0.00000">
                  <c:v>0</c:v>
                </c:pt>
                <c:pt idx="11" formatCode="0.00000">
                  <c:v>0</c:v>
                </c:pt>
                <c:pt idx="12" formatCode="0.00000">
                  <c:v>0</c:v>
                </c:pt>
                <c:pt idx="13" formatCode="0.00000">
                  <c:v>0</c:v>
                </c:pt>
                <c:pt idx="14" formatCode="0.00000">
                  <c:v>0</c:v>
                </c:pt>
                <c:pt idx="15" formatCode="0.00000">
                  <c:v>0</c:v>
                </c:pt>
                <c:pt idx="16" formatCode="0.00000">
                  <c:v>0</c:v>
                </c:pt>
                <c:pt idx="17" formatCode="0.00000">
                  <c:v>0</c:v>
                </c:pt>
                <c:pt idx="18" formatCode="0.00000">
                  <c:v>0</c:v>
                </c:pt>
              </c:numCache>
              <c:extLst xmlns:c15="http://schemas.microsoft.com/office/drawing/2012/chart"/>
            </c:numRef>
          </c:xVal>
          <c:yVal>
            <c:numRef>
              <c:f>PLOT!$W$5:$AO$5</c:f>
              <c:numCache>
                <c:formatCode>0.00</c:formatCode>
                <c:ptCount val="19"/>
                <c:pt idx="0">
                  <c:v>100</c:v>
                </c:pt>
                <c:pt idx="1">
                  <c:v>99.52</c:v>
                </c:pt>
                <c:pt idx="2">
                  <c:v>61.360000000000007</c:v>
                </c:pt>
                <c:pt idx="3">
                  <c:v>40.990000000000009</c:v>
                </c:pt>
                <c:pt idx="4">
                  <c:v>36.620000000000012</c:v>
                </c:pt>
                <c:pt idx="5">
                  <c:v>20.590000000000003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4-3879-4931-8728-0D7C2F66F5E2}"/>
            </c:ext>
          </c:extLst>
        </c:ser>
        <c:ser>
          <c:idx val="3"/>
          <c:order val="3"/>
          <c:tx>
            <c:strRef>
              <c:f>PLOT!$C$6</c:f>
              <c:strCache>
                <c:ptCount val="1"/>
                <c:pt idx="0">
                  <c:v>7.50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PLOT!$D$6:$V$6</c:f>
              <c:numCache>
                <c:formatCode>0.000</c:formatCode>
                <c:ptCount val="19"/>
                <c:pt idx="0">
                  <c:v>4.75</c:v>
                </c:pt>
                <c:pt idx="1">
                  <c:v>2</c:v>
                </c:pt>
                <c:pt idx="2">
                  <c:v>0.42499999999999999</c:v>
                </c:pt>
                <c:pt idx="3">
                  <c:v>0.21199999999999999</c:v>
                </c:pt>
                <c:pt idx="4">
                  <c:v>0.15</c:v>
                </c:pt>
                <c:pt idx="5">
                  <c:v>7.4999999999999997E-2</c:v>
                </c:pt>
                <c:pt idx="6" formatCode="0.00000">
                  <c:v>0</c:v>
                </c:pt>
                <c:pt idx="7" formatCode="0.00000">
                  <c:v>0</c:v>
                </c:pt>
                <c:pt idx="8" formatCode="0.00000">
                  <c:v>0</c:v>
                </c:pt>
                <c:pt idx="9" formatCode="0.00000">
                  <c:v>0</c:v>
                </c:pt>
                <c:pt idx="10" formatCode="0.00000">
                  <c:v>0</c:v>
                </c:pt>
                <c:pt idx="11" formatCode="0.00000">
                  <c:v>0</c:v>
                </c:pt>
                <c:pt idx="12" formatCode="0.00000">
                  <c:v>0</c:v>
                </c:pt>
                <c:pt idx="13" formatCode="0.00000">
                  <c:v>0</c:v>
                </c:pt>
                <c:pt idx="14" formatCode="0.00000">
                  <c:v>0</c:v>
                </c:pt>
                <c:pt idx="15" formatCode="0.00000">
                  <c:v>0</c:v>
                </c:pt>
                <c:pt idx="16" formatCode="0.00000">
                  <c:v>0</c:v>
                </c:pt>
                <c:pt idx="17" formatCode="0.00000">
                  <c:v>0</c:v>
                </c:pt>
                <c:pt idx="18" formatCode="0.00000">
                  <c:v>0</c:v>
                </c:pt>
              </c:numCache>
              <c:extLst xmlns:c15="http://schemas.microsoft.com/office/drawing/2012/chart"/>
            </c:numRef>
          </c:xVal>
          <c:yVal>
            <c:numRef>
              <c:f>PLOT!$W$6:$AO$6</c:f>
              <c:numCache>
                <c:formatCode>0.00</c:formatCode>
                <c:ptCount val="19"/>
                <c:pt idx="0">
                  <c:v>94.58</c:v>
                </c:pt>
                <c:pt idx="1">
                  <c:v>91.33</c:v>
                </c:pt>
                <c:pt idx="2">
                  <c:v>77.490000000000009</c:v>
                </c:pt>
                <c:pt idx="3">
                  <c:v>53.870000000000005</c:v>
                </c:pt>
                <c:pt idx="4">
                  <c:v>51.320000000000007</c:v>
                </c:pt>
                <c:pt idx="5">
                  <c:v>46.980000000000004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5-3879-4931-8728-0D7C2F66F5E2}"/>
            </c:ext>
          </c:extLst>
        </c:ser>
        <c:ser>
          <c:idx val="4"/>
          <c:order val="4"/>
          <c:tx>
            <c:strRef>
              <c:f>PLOT!$C$7</c:f>
              <c:strCache>
                <c:ptCount val="1"/>
                <c:pt idx="0">
                  <c:v>9.50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PLOT!$D$7:$V$7</c:f>
              <c:numCache>
                <c:formatCode>0.000</c:formatCode>
                <c:ptCount val="19"/>
                <c:pt idx="0">
                  <c:v>4.75</c:v>
                </c:pt>
                <c:pt idx="1">
                  <c:v>2</c:v>
                </c:pt>
                <c:pt idx="2">
                  <c:v>0.42499999999999999</c:v>
                </c:pt>
                <c:pt idx="3">
                  <c:v>0.21199999999999999</c:v>
                </c:pt>
                <c:pt idx="4">
                  <c:v>0.15</c:v>
                </c:pt>
                <c:pt idx="5">
                  <c:v>7.4999999999999997E-2</c:v>
                </c:pt>
                <c:pt idx="6" formatCode="0.00000">
                  <c:v>0</c:v>
                </c:pt>
                <c:pt idx="7" formatCode="0.00000">
                  <c:v>0</c:v>
                </c:pt>
                <c:pt idx="8" formatCode="0.00000">
                  <c:v>0</c:v>
                </c:pt>
                <c:pt idx="9" formatCode="0.00000">
                  <c:v>0</c:v>
                </c:pt>
                <c:pt idx="10" formatCode="0.00000">
                  <c:v>0</c:v>
                </c:pt>
                <c:pt idx="11" formatCode="0.00000">
                  <c:v>0</c:v>
                </c:pt>
                <c:pt idx="12" formatCode="0.00000">
                  <c:v>0</c:v>
                </c:pt>
                <c:pt idx="13" formatCode="0.00000">
                  <c:v>0</c:v>
                </c:pt>
                <c:pt idx="14" formatCode="0.00000">
                  <c:v>0</c:v>
                </c:pt>
                <c:pt idx="15" formatCode="0.00000">
                  <c:v>0</c:v>
                </c:pt>
                <c:pt idx="16" formatCode="0.00000">
                  <c:v>0</c:v>
                </c:pt>
                <c:pt idx="17" formatCode="0.00000">
                  <c:v>0</c:v>
                </c:pt>
                <c:pt idx="18" formatCode="0.00000">
                  <c:v>0</c:v>
                </c:pt>
              </c:numCache>
              <c:extLst xmlns:c15="http://schemas.microsoft.com/office/drawing/2012/chart"/>
            </c:numRef>
          </c:xVal>
          <c:yVal>
            <c:numRef>
              <c:f>PLOT!$W$7:$AO$7</c:f>
              <c:numCache>
                <c:formatCode>0.00</c:formatCode>
                <c:ptCount val="19"/>
                <c:pt idx="0">
                  <c:v>99.83</c:v>
                </c:pt>
                <c:pt idx="1">
                  <c:v>98.62</c:v>
                </c:pt>
                <c:pt idx="2">
                  <c:v>94.04</c:v>
                </c:pt>
                <c:pt idx="3">
                  <c:v>69.989999999999995</c:v>
                </c:pt>
                <c:pt idx="4">
                  <c:v>65.88</c:v>
                </c:pt>
                <c:pt idx="5">
                  <c:v>49.029999999999994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6-3879-4931-8728-0D7C2F66F5E2}"/>
            </c:ext>
          </c:extLst>
        </c:ser>
        <c:ser>
          <c:idx val="5"/>
          <c:order val="5"/>
          <c:tx>
            <c:strRef>
              <c:f>PLOT!$C$8</c:f>
              <c:strCache>
                <c:ptCount val="1"/>
                <c:pt idx="0">
                  <c:v>12.50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PLOT!$D$8:$V$8</c:f>
              <c:numCache>
                <c:formatCode>0.000</c:formatCode>
                <c:ptCount val="19"/>
                <c:pt idx="0">
                  <c:v>4.75</c:v>
                </c:pt>
                <c:pt idx="1">
                  <c:v>2</c:v>
                </c:pt>
                <c:pt idx="2">
                  <c:v>0.42499999999999999</c:v>
                </c:pt>
                <c:pt idx="3">
                  <c:v>0.21199999999999999</c:v>
                </c:pt>
                <c:pt idx="4">
                  <c:v>0.15</c:v>
                </c:pt>
                <c:pt idx="5">
                  <c:v>7.4999999999999997E-2</c:v>
                </c:pt>
                <c:pt idx="6" formatCode="0.00000">
                  <c:v>0</c:v>
                </c:pt>
                <c:pt idx="7" formatCode="0.00000">
                  <c:v>0</c:v>
                </c:pt>
                <c:pt idx="8" formatCode="0.00000">
                  <c:v>0</c:v>
                </c:pt>
                <c:pt idx="9" formatCode="0.00000">
                  <c:v>0</c:v>
                </c:pt>
                <c:pt idx="10" formatCode="0.00000">
                  <c:v>0</c:v>
                </c:pt>
                <c:pt idx="11" formatCode="0.00000">
                  <c:v>0</c:v>
                </c:pt>
                <c:pt idx="12" formatCode="0.00000">
                  <c:v>0</c:v>
                </c:pt>
                <c:pt idx="13" formatCode="0.00000">
                  <c:v>0</c:v>
                </c:pt>
                <c:pt idx="14" formatCode="0.00000">
                  <c:v>0</c:v>
                </c:pt>
                <c:pt idx="15" formatCode="0.00000">
                  <c:v>0</c:v>
                </c:pt>
                <c:pt idx="16" formatCode="0.00000">
                  <c:v>0</c:v>
                </c:pt>
                <c:pt idx="17" formatCode="0.00000">
                  <c:v>0</c:v>
                </c:pt>
                <c:pt idx="18" formatCode="0.00000">
                  <c:v>0</c:v>
                </c:pt>
              </c:numCache>
              <c:extLst xmlns:c15="http://schemas.microsoft.com/office/drawing/2012/chart"/>
            </c:numRef>
          </c:xVal>
          <c:yVal>
            <c:numRef>
              <c:f>PLOT!$W$8:$AO$8</c:f>
              <c:numCache>
                <c:formatCode>0.00</c:formatCode>
                <c:ptCount val="19"/>
                <c:pt idx="0">
                  <c:v>99.81</c:v>
                </c:pt>
                <c:pt idx="1">
                  <c:v>99.45</c:v>
                </c:pt>
                <c:pt idx="2">
                  <c:v>98.29</c:v>
                </c:pt>
                <c:pt idx="3">
                  <c:v>71.739999999999995</c:v>
                </c:pt>
                <c:pt idx="4">
                  <c:v>58.56</c:v>
                </c:pt>
                <c:pt idx="5">
                  <c:v>33.03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7-3879-4931-8728-0D7C2F66F5E2}"/>
            </c:ext>
          </c:extLst>
        </c:ser>
        <c:ser>
          <c:idx val="6"/>
          <c:order val="6"/>
          <c:tx>
            <c:strRef>
              <c:f>PLOT!$C$9</c:f>
              <c:strCache>
                <c:ptCount val="1"/>
                <c:pt idx="0">
                  <c:v>13.50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PLOT!$D$9:$V$9</c:f>
              <c:numCache>
                <c:formatCode>0.000</c:formatCode>
                <c:ptCount val="19"/>
                <c:pt idx="0">
                  <c:v>4.75</c:v>
                </c:pt>
                <c:pt idx="1">
                  <c:v>2</c:v>
                </c:pt>
                <c:pt idx="2">
                  <c:v>0.42499999999999999</c:v>
                </c:pt>
                <c:pt idx="3">
                  <c:v>0.21199999999999999</c:v>
                </c:pt>
                <c:pt idx="4">
                  <c:v>0.15</c:v>
                </c:pt>
                <c:pt idx="5">
                  <c:v>7.4999999999999997E-2</c:v>
                </c:pt>
                <c:pt idx="6" formatCode="0.00000">
                  <c:v>0</c:v>
                </c:pt>
                <c:pt idx="7" formatCode="0.00000">
                  <c:v>0</c:v>
                </c:pt>
                <c:pt idx="8" formatCode="0.00000">
                  <c:v>0</c:v>
                </c:pt>
                <c:pt idx="9" formatCode="0.00000">
                  <c:v>0</c:v>
                </c:pt>
                <c:pt idx="10" formatCode="0.00000">
                  <c:v>0</c:v>
                </c:pt>
                <c:pt idx="11" formatCode="0.00000">
                  <c:v>0</c:v>
                </c:pt>
                <c:pt idx="12" formatCode="0.00000">
                  <c:v>0</c:v>
                </c:pt>
                <c:pt idx="13" formatCode="0.00000">
                  <c:v>0</c:v>
                </c:pt>
                <c:pt idx="14" formatCode="0.00000">
                  <c:v>0</c:v>
                </c:pt>
                <c:pt idx="15" formatCode="0.00000">
                  <c:v>0</c:v>
                </c:pt>
                <c:pt idx="16" formatCode="0.00000">
                  <c:v>0</c:v>
                </c:pt>
                <c:pt idx="17" formatCode="0.00000">
                  <c:v>0</c:v>
                </c:pt>
                <c:pt idx="18" formatCode="0.00000">
                  <c:v>0</c:v>
                </c:pt>
              </c:numCache>
              <c:extLst xmlns:c15="http://schemas.microsoft.com/office/drawing/2012/chart"/>
            </c:numRef>
          </c:xVal>
          <c:yVal>
            <c:numRef>
              <c:f>PLOT!$W$9:$AO$9</c:f>
              <c:numCache>
                <c:formatCode>0.00</c:formatCode>
                <c:ptCount val="19"/>
                <c:pt idx="0">
                  <c:v>100</c:v>
                </c:pt>
                <c:pt idx="1">
                  <c:v>99.82</c:v>
                </c:pt>
                <c:pt idx="2">
                  <c:v>94.74</c:v>
                </c:pt>
                <c:pt idx="3">
                  <c:v>70.58</c:v>
                </c:pt>
                <c:pt idx="4">
                  <c:v>62.09</c:v>
                </c:pt>
                <c:pt idx="5">
                  <c:v>38.949999999999996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8-3879-4931-8728-0D7C2F66F5E2}"/>
            </c:ext>
          </c:extLst>
        </c:ser>
        <c:ser>
          <c:idx val="7"/>
          <c:order val="7"/>
          <c:tx>
            <c:strRef>
              <c:f>PLOT!$C$10</c:f>
              <c:strCache>
                <c:ptCount val="1"/>
                <c:pt idx="0">
                  <c:v>14.00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PLOT!$D$10:$V$10</c:f>
              <c:numCache>
                <c:formatCode>0.000</c:formatCode>
                <c:ptCount val="19"/>
                <c:pt idx="0">
                  <c:v>4.75</c:v>
                </c:pt>
                <c:pt idx="1">
                  <c:v>2</c:v>
                </c:pt>
                <c:pt idx="2">
                  <c:v>0.42499999999999999</c:v>
                </c:pt>
                <c:pt idx="3">
                  <c:v>0.21199999999999999</c:v>
                </c:pt>
                <c:pt idx="4">
                  <c:v>0.15</c:v>
                </c:pt>
                <c:pt idx="5">
                  <c:v>7.4999999999999997E-2</c:v>
                </c:pt>
                <c:pt idx="6" formatCode="0.00000">
                  <c:v>0</c:v>
                </c:pt>
                <c:pt idx="7" formatCode="0.00000">
                  <c:v>0</c:v>
                </c:pt>
                <c:pt idx="8" formatCode="0.00000">
                  <c:v>0</c:v>
                </c:pt>
                <c:pt idx="9" formatCode="0.00000">
                  <c:v>0</c:v>
                </c:pt>
                <c:pt idx="10" formatCode="0.00000">
                  <c:v>0</c:v>
                </c:pt>
                <c:pt idx="11" formatCode="0.00000">
                  <c:v>0</c:v>
                </c:pt>
                <c:pt idx="12" formatCode="0.00000">
                  <c:v>0</c:v>
                </c:pt>
                <c:pt idx="13" formatCode="0.00000">
                  <c:v>0</c:v>
                </c:pt>
                <c:pt idx="14" formatCode="0.00000">
                  <c:v>0</c:v>
                </c:pt>
                <c:pt idx="15" formatCode="0.00000">
                  <c:v>0</c:v>
                </c:pt>
                <c:pt idx="16" formatCode="0.00000">
                  <c:v>0</c:v>
                </c:pt>
                <c:pt idx="17" formatCode="0.00000">
                  <c:v>0</c:v>
                </c:pt>
                <c:pt idx="18" formatCode="0.00000">
                  <c:v>0</c:v>
                </c:pt>
              </c:numCache>
              <c:extLst xmlns:c15="http://schemas.microsoft.com/office/drawing/2012/chart"/>
            </c:numRef>
          </c:xVal>
          <c:yVal>
            <c:numRef>
              <c:f>PLOT!$W$10:$AO$10</c:f>
              <c:numCache>
                <c:formatCode>0.00</c:formatCode>
                <c:ptCount val="19"/>
                <c:pt idx="0">
                  <c:v>99.43</c:v>
                </c:pt>
                <c:pt idx="1">
                  <c:v>99.06</c:v>
                </c:pt>
                <c:pt idx="2">
                  <c:v>93.78</c:v>
                </c:pt>
                <c:pt idx="3">
                  <c:v>65.3</c:v>
                </c:pt>
                <c:pt idx="4">
                  <c:v>60.22</c:v>
                </c:pt>
                <c:pt idx="5">
                  <c:v>42.78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9-3879-4931-8728-0D7C2F66F5E2}"/>
            </c:ext>
          </c:extLst>
        </c:ser>
        <c:ser>
          <c:idx val="8"/>
          <c:order val="8"/>
          <c:tx>
            <c:strRef>
              <c:f>PLOT!$C$11</c:f>
              <c:strCache>
                <c:ptCount val="1"/>
                <c:pt idx="0">
                  <c:v>0.00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PLOT!$D$11:$V$11</c:f>
              <c:numCache>
                <c:formatCode>0.000</c:formatCode>
                <c:ptCount val="19"/>
                <c:pt idx="0">
                  <c:v>4.75</c:v>
                </c:pt>
                <c:pt idx="1">
                  <c:v>2</c:v>
                </c:pt>
                <c:pt idx="2">
                  <c:v>0.42499999999999999</c:v>
                </c:pt>
                <c:pt idx="3">
                  <c:v>0.21199999999999999</c:v>
                </c:pt>
                <c:pt idx="4">
                  <c:v>0.15</c:v>
                </c:pt>
                <c:pt idx="5">
                  <c:v>7.4999999999999997E-2</c:v>
                </c:pt>
                <c:pt idx="6" formatCode="0.00000">
                  <c:v>0</c:v>
                </c:pt>
                <c:pt idx="7" formatCode="0.00000">
                  <c:v>0</c:v>
                </c:pt>
                <c:pt idx="8" formatCode="0.00000">
                  <c:v>0</c:v>
                </c:pt>
                <c:pt idx="9" formatCode="0.00000">
                  <c:v>0</c:v>
                </c:pt>
                <c:pt idx="10" formatCode="0.00000">
                  <c:v>0</c:v>
                </c:pt>
                <c:pt idx="11" formatCode="0.00000">
                  <c:v>0</c:v>
                </c:pt>
                <c:pt idx="12" formatCode="0.00000">
                  <c:v>0</c:v>
                </c:pt>
                <c:pt idx="13" formatCode="0.00000">
                  <c:v>0</c:v>
                </c:pt>
                <c:pt idx="14" formatCode="0.00000">
                  <c:v>0</c:v>
                </c:pt>
                <c:pt idx="15" formatCode="0.00000">
                  <c:v>0</c:v>
                </c:pt>
                <c:pt idx="16" formatCode="0.00000">
                  <c:v>0</c:v>
                </c:pt>
                <c:pt idx="17" formatCode="0.00000">
                  <c:v>0</c:v>
                </c:pt>
                <c:pt idx="18" formatCode="0.00000">
                  <c:v>0</c:v>
                </c:pt>
              </c:numCache>
              <c:extLst xmlns:c15="http://schemas.microsoft.com/office/drawing/2012/chart"/>
            </c:numRef>
          </c:xVal>
          <c:yVal>
            <c:numRef>
              <c:f>PLOT!$W$11:$AO$11</c:f>
              <c:numCache>
                <c:formatCode>0.00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A-3879-4931-8728-0D7C2F66F5E2}"/>
            </c:ext>
          </c:extLst>
        </c:ser>
        <c:ser>
          <c:idx val="9"/>
          <c:order val="9"/>
          <c:tx>
            <c:strRef>
              <c:f>PLOT!$C$12</c:f>
              <c:strCache>
                <c:ptCount val="1"/>
                <c:pt idx="0">
                  <c:v>#REF!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PLOT!$D$12:$V$12</c:f>
              <c:numCache>
                <c:formatCode>0.000</c:formatCode>
                <c:ptCount val="19"/>
                <c:pt idx="0">
                  <c:v>4.75</c:v>
                </c:pt>
                <c:pt idx="1">
                  <c:v>2</c:v>
                </c:pt>
                <c:pt idx="2">
                  <c:v>0.42499999999999999</c:v>
                </c:pt>
                <c:pt idx="3">
                  <c:v>0.21199999999999999</c:v>
                </c:pt>
                <c:pt idx="4">
                  <c:v>0.15</c:v>
                </c:pt>
                <c:pt idx="5">
                  <c:v>7.4999999999999997E-2</c:v>
                </c:pt>
                <c:pt idx="6" formatCode="0.00000">
                  <c:v>0</c:v>
                </c:pt>
                <c:pt idx="7" formatCode="0.00000">
                  <c:v>0</c:v>
                </c:pt>
                <c:pt idx="8" formatCode="0.00000">
                  <c:v>0</c:v>
                </c:pt>
                <c:pt idx="9" formatCode="0.00000">
                  <c:v>0</c:v>
                </c:pt>
                <c:pt idx="10" formatCode="0.00000">
                  <c:v>0</c:v>
                </c:pt>
                <c:pt idx="11" formatCode="0.00000">
                  <c:v>0</c:v>
                </c:pt>
                <c:pt idx="12" formatCode="0.00000">
                  <c:v>0</c:v>
                </c:pt>
                <c:pt idx="13" formatCode="0.00000">
                  <c:v>0</c:v>
                </c:pt>
                <c:pt idx="14" formatCode="0.00000">
                  <c:v>0</c:v>
                </c:pt>
                <c:pt idx="15" formatCode="0.00000">
                  <c:v>0</c:v>
                </c:pt>
                <c:pt idx="16" formatCode="0.00000">
                  <c:v>0</c:v>
                </c:pt>
                <c:pt idx="17" formatCode="0.00000">
                  <c:v>0</c:v>
                </c:pt>
                <c:pt idx="18" formatCode="0.00000">
                  <c:v>0</c:v>
                </c:pt>
              </c:numCache>
              <c:extLst xmlns:c15="http://schemas.microsoft.com/office/drawing/2012/chart"/>
            </c:numRef>
          </c:xVal>
          <c:yVal>
            <c:numRef>
              <c:f>PLOT!$W$12:$AO$12</c:f>
              <c:numCache>
                <c:formatCode>0.00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B-3879-4931-8728-0D7C2F66F5E2}"/>
            </c:ext>
          </c:extLst>
        </c:ser>
        <c:ser>
          <c:idx val="10"/>
          <c:order val="10"/>
          <c:tx>
            <c:strRef>
              <c:f>PLOT!$C$13</c:f>
              <c:strCache>
                <c:ptCount val="1"/>
                <c:pt idx="0">
                  <c:v>#REF!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PLOT!$D$13:$V$13</c:f>
              <c:numCache>
                <c:formatCode>0.000</c:formatCode>
                <c:ptCount val="19"/>
                <c:pt idx="0">
                  <c:v>4.75</c:v>
                </c:pt>
                <c:pt idx="1">
                  <c:v>2</c:v>
                </c:pt>
                <c:pt idx="2">
                  <c:v>0.42499999999999999</c:v>
                </c:pt>
                <c:pt idx="3">
                  <c:v>0.21199999999999999</c:v>
                </c:pt>
                <c:pt idx="4">
                  <c:v>0.15</c:v>
                </c:pt>
                <c:pt idx="5">
                  <c:v>7.4999999999999997E-2</c:v>
                </c:pt>
                <c:pt idx="6" formatCode="0.00000">
                  <c:v>0</c:v>
                </c:pt>
                <c:pt idx="7" formatCode="0.00000">
                  <c:v>0</c:v>
                </c:pt>
                <c:pt idx="8" formatCode="0.00000">
                  <c:v>0</c:v>
                </c:pt>
                <c:pt idx="9" formatCode="0.00000">
                  <c:v>0</c:v>
                </c:pt>
                <c:pt idx="10" formatCode="0.00000">
                  <c:v>0</c:v>
                </c:pt>
                <c:pt idx="11" formatCode="0.00000">
                  <c:v>0</c:v>
                </c:pt>
                <c:pt idx="12" formatCode="0.00000">
                  <c:v>0</c:v>
                </c:pt>
                <c:pt idx="13" formatCode="0.00000">
                  <c:v>0</c:v>
                </c:pt>
                <c:pt idx="14" formatCode="0.00000">
                  <c:v>0</c:v>
                </c:pt>
                <c:pt idx="15" formatCode="0.00000">
                  <c:v>0</c:v>
                </c:pt>
                <c:pt idx="16" formatCode="0.00000">
                  <c:v>0</c:v>
                </c:pt>
                <c:pt idx="17" formatCode="0.00000">
                  <c:v>0</c:v>
                </c:pt>
                <c:pt idx="18" formatCode="0.00000">
                  <c:v>0</c:v>
                </c:pt>
              </c:numCache>
              <c:extLst xmlns:c15="http://schemas.microsoft.com/office/drawing/2012/chart"/>
            </c:numRef>
          </c:xVal>
          <c:yVal>
            <c:numRef>
              <c:f>PLOT!$W$13:$AO$13</c:f>
              <c:numCache>
                <c:formatCode>0.00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C-3879-4931-8728-0D7C2F66F5E2}"/>
            </c:ext>
          </c:extLst>
        </c:ser>
        <c:ser>
          <c:idx val="11"/>
          <c:order val="11"/>
          <c:tx>
            <c:strRef>
              <c:f>PLOT!$C$14</c:f>
              <c:strCache>
                <c:ptCount val="1"/>
                <c:pt idx="0">
                  <c:v>#REF!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PLOT!$D$14:$V$14</c:f>
              <c:numCache>
                <c:formatCode>0.000</c:formatCode>
                <c:ptCount val="19"/>
                <c:pt idx="0">
                  <c:v>4.75</c:v>
                </c:pt>
                <c:pt idx="1">
                  <c:v>2</c:v>
                </c:pt>
                <c:pt idx="2">
                  <c:v>0.42499999999999999</c:v>
                </c:pt>
                <c:pt idx="3">
                  <c:v>0.21199999999999999</c:v>
                </c:pt>
                <c:pt idx="4">
                  <c:v>0.15</c:v>
                </c:pt>
                <c:pt idx="5">
                  <c:v>7.4999999999999997E-2</c:v>
                </c:pt>
                <c:pt idx="6" formatCode="0.00000">
                  <c:v>0</c:v>
                </c:pt>
                <c:pt idx="7" formatCode="0.00000">
                  <c:v>0</c:v>
                </c:pt>
                <c:pt idx="8" formatCode="0.00000">
                  <c:v>0</c:v>
                </c:pt>
                <c:pt idx="9" formatCode="0.00000">
                  <c:v>0</c:v>
                </c:pt>
                <c:pt idx="10" formatCode="0.00000">
                  <c:v>0</c:v>
                </c:pt>
                <c:pt idx="11" formatCode="0.00000">
                  <c:v>0</c:v>
                </c:pt>
                <c:pt idx="12" formatCode="0.00000">
                  <c:v>0</c:v>
                </c:pt>
                <c:pt idx="13" formatCode="0.00000">
                  <c:v>0</c:v>
                </c:pt>
                <c:pt idx="14" formatCode="0.00000">
                  <c:v>0</c:v>
                </c:pt>
                <c:pt idx="15" formatCode="0.00000">
                  <c:v>0</c:v>
                </c:pt>
                <c:pt idx="16" formatCode="0.00000">
                  <c:v>0</c:v>
                </c:pt>
                <c:pt idx="17" formatCode="0.00000">
                  <c:v>0</c:v>
                </c:pt>
                <c:pt idx="18" formatCode="0.00000">
                  <c:v>0</c:v>
                </c:pt>
              </c:numCache>
              <c:extLst xmlns:c15="http://schemas.microsoft.com/office/drawing/2012/chart"/>
            </c:numRef>
          </c:xVal>
          <c:yVal>
            <c:numRef>
              <c:f>PLOT!$W$14:$AO$14</c:f>
              <c:numCache>
                <c:formatCode>0.00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D-3879-4931-8728-0D7C2F66F5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27082448"/>
        <c:axId val="1587523856"/>
        <c:extLst/>
      </c:scatterChart>
      <c:valAx>
        <c:axId val="1427082448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6350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Particle</a:t>
                </a:r>
                <a:r>
                  <a:rPr lang="en-IN" b="1" baseline="0"/>
                  <a:t> Size (mm)</a:t>
                </a:r>
                <a:endParaRPr lang="en-IN" b="1"/>
              </a:p>
            </c:rich>
          </c:tx>
          <c:layout>
            <c:manualLayout>
              <c:xMode val="edge"/>
              <c:yMode val="edge"/>
              <c:x val="0.44033671437622024"/>
              <c:y val="0.9257058337321095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IN"/>
            </a:p>
          </c:txPr>
        </c:title>
        <c:numFmt formatCode="#,##0.0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87523856"/>
        <c:crosses val="autoZero"/>
        <c:crossBetween val="midCat"/>
      </c:valAx>
      <c:valAx>
        <c:axId val="1587523856"/>
        <c:scaling>
          <c:orientation val="minMax"/>
          <c:max val="1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% Passing</a:t>
                </a:r>
              </a:p>
            </c:rich>
          </c:tx>
          <c:layout>
            <c:manualLayout>
              <c:xMode val="edge"/>
              <c:yMode val="edge"/>
              <c:x val="1.4367816091954023E-2"/>
              <c:y val="0.4221095981786807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27082448"/>
        <c:crossesAt val="1.0000000000000002E-3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9.5954803381559331E-2"/>
          <c:y val="8.4785380409508448E-2"/>
          <c:w val="0.210562553251287"/>
          <c:h val="0.3309798686299208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424253</xdr:colOff>
      <xdr:row>3</xdr:row>
      <xdr:rowOff>224960</xdr:rowOff>
    </xdr:from>
    <xdr:to>
      <xdr:col>40</xdr:col>
      <xdr:colOff>501540</xdr:colOff>
      <xdr:row>13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A7F6B18-97E9-4105-BC8D-14BCCAF3B86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533400</xdr:colOff>
      <xdr:row>9</xdr:row>
      <xdr:rowOff>128587</xdr:rowOff>
    </xdr:from>
    <xdr:to>
      <xdr:col>20</xdr:col>
      <xdr:colOff>381000</xdr:colOff>
      <xdr:row>30</xdr:row>
      <xdr:rowOff>66675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A9696D1-2E45-4696-98EC-4FFA8214FDD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45</xdr:col>
      <xdr:colOff>174253</xdr:colOff>
      <xdr:row>0</xdr:row>
      <xdr:rowOff>173129</xdr:rowOff>
    </xdr:from>
    <xdr:to>
      <xdr:col>56</xdr:col>
      <xdr:colOff>342900</xdr:colOff>
      <xdr:row>32</xdr:row>
      <xdr:rowOff>149087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1FAFB0D-6382-4263-B4FE-A1317291245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CDB927-E823-4E28-8217-F6BE74ECA4FC}">
  <sheetPr codeName="Sheet2"/>
  <dimension ref="A1:Y13"/>
  <sheetViews>
    <sheetView tabSelected="1" workbookViewId="0">
      <selection activeCell="O12" sqref="O12"/>
    </sheetView>
  </sheetViews>
  <sheetFormatPr defaultColWidth="9" defaultRowHeight="14.4" x14ac:dyDescent="0.3"/>
  <cols>
    <col min="1" max="1" width="6.5546875" style="2" customWidth="1"/>
    <col min="2" max="2" width="4.88671875" style="2" customWidth="1"/>
    <col min="3" max="4" width="5.5546875" style="2" customWidth="1"/>
    <col min="5" max="5" width="7.6640625" style="2" customWidth="1"/>
    <col min="6" max="6" width="7.6640625" style="12" customWidth="1"/>
    <col min="7" max="7" width="9.6640625" style="2" customWidth="1"/>
    <col min="8" max="8" width="11.33203125" style="2" customWidth="1"/>
    <col min="9" max="9" width="13" style="2" customWidth="1"/>
    <col min="10" max="16" width="7.6640625" style="2" customWidth="1"/>
    <col min="17" max="16384" width="9" style="2"/>
  </cols>
  <sheetData>
    <row r="1" spans="1:25" ht="25.2" customHeight="1" x14ac:dyDescent="0.3">
      <c r="A1" s="44" t="s">
        <v>3</v>
      </c>
      <c r="B1" s="44"/>
      <c r="C1" s="44"/>
      <c r="D1" s="44"/>
      <c r="E1" s="44"/>
      <c r="F1" s="44"/>
      <c r="G1" s="44"/>
      <c r="H1" s="44"/>
      <c r="I1" s="44"/>
      <c r="J1" s="44"/>
      <c r="K1" s="44"/>
      <c r="L1" s="44"/>
      <c r="M1" s="44"/>
      <c r="N1" s="44"/>
      <c r="O1" s="44"/>
      <c r="P1" s="44"/>
      <c r="Q1" s="44"/>
      <c r="R1" s="44"/>
      <c r="S1" s="44"/>
      <c r="T1" s="44"/>
      <c r="U1" s="44"/>
      <c r="V1" s="44"/>
      <c r="W1" s="44"/>
      <c r="X1" s="44"/>
      <c r="Y1" s="44"/>
    </row>
    <row r="2" spans="1:25" ht="24.6" customHeight="1" x14ac:dyDescent="0.3">
      <c r="A2" s="45" t="s">
        <v>4</v>
      </c>
      <c r="B2" s="48" t="s">
        <v>5</v>
      </c>
      <c r="C2" s="48" t="s">
        <v>6</v>
      </c>
      <c r="D2" s="48" t="s">
        <v>7</v>
      </c>
      <c r="E2" s="51" t="s">
        <v>8</v>
      </c>
      <c r="F2" s="51" t="s">
        <v>9</v>
      </c>
      <c r="G2" s="51" t="s">
        <v>10</v>
      </c>
      <c r="H2" s="51" t="s">
        <v>11</v>
      </c>
      <c r="I2" s="52" t="s">
        <v>12</v>
      </c>
      <c r="J2" s="40" t="s">
        <v>13</v>
      </c>
      <c r="K2" s="40"/>
      <c r="L2" s="40"/>
      <c r="M2" s="40"/>
      <c r="N2" s="40"/>
      <c r="O2" s="40"/>
      <c r="P2" s="40"/>
      <c r="Q2" s="40" t="s">
        <v>0</v>
      </c>
      <c r="R2" s="40"/>
      <c r="S2" s="40"/>
      <c r="T2" s="40"/>
      <c r="U2" s="40"/>
      <c r="V2" s="40"/>
      <c r="W2" s="54" t="s">
        <v>14</v>
      </c>
      <c r="X2" s="54" t="s">
        <v>15</v>
      </c>
      <c r="Y2" s="54" t="s">
        <v>16</v>
      </c>
    </row>
    <row r="3" spans="1:25" ht="40.5" customHeight="1" x14ac:dyDescent="0.3">
      <c r="A3" s="46"/>
      <c r="B3" s="49"/>
      <c r="C3" s="49"/>
      <c r="D3" s="49"/>
      <c r="E3" s="51"/>
      <c r="F3" s="51"/>
      <c r="G3" s="51"/>
      <c r="H3" s="51"/>
      <c r="I3" s="53"/>
      <c r="J3" s="3">
        <v>4.75</v>
      </c>
      <c r="K3" s="4">
        <v>2</v>
      </c>
      <c r="L3" s="5">
        <v>0.42499999999999999</v>
      </c>
      <c r="M3" s="5">
        <v>0.21199999999999999</v>
      </c>
      <c r="N3" s="5">
        <v>0.15</v>
      </c>
      <c r="O3" s="5">
        <v>7.4999999999999997E-2</v>
      </c>
      <c r="P3" s="3" t="s">
        <v>17</v>
      </c>
      <c r="Q3" s="6">
        <v>4.75</v>
      </c>
      <c r="R3" s="7">
        <v>2</v>
      </c>
      <c r="S3" s="8">
        <v>0.42499999999999999</v>
      </c>
      <c r="T3" s="8">
        <v>0.21199999999999999</v>
      </c>
      <c r="U3" s="8">
        <v>0.15</v>
      </c>
      <c r="V3" s="8">
        <v>7.4999999999999997E-2</v>
      </c>
      <c r="W3" s="54"/>
      <c r="X3" s="54"/>
      <c r="Y3" s="54"/>
    </row>
    <row r="4" spans="1:25" ht="21.6" customHeight="1" x14ac:dyDescent="0.3">
      <c r="A4" s="47"/>
      <c r="B4" s="50"/>
      <c r="C4" s="50"/>
      <c r="D4" s="50"/>
      <c r="E4" s="3" t="s">
        <v>18</v>
      </c>
      <c r="F4" s="9" t="s">
        <v>19</v>
      </c>
      <c r="G4" s="9" t="s">
        <v>18</v>
      </c>
      <c r="H4" s="9" t="s">
        <v>20</v>
      </c>
      <c r="I4" s="9" t="s">
        <v>20</v>
      </c>
      <c r="J4" s="40" t="s">
        <v>20</v>
      </c>
      <c r="K4" s="40"/>
      <c r="L4" s="40"/>
      <c r="M4" s="40"/>
      <c r="N4" s="40"/>
      <c r="O4" s="40"/>
      <c r="P4" s="40"/>
      <c r="Q4" s="40" t="s">
        <v>20</v>
      </c>
      <c r="R4" s="40"/>
      <c r="S4" s="40"/>
      <c r="T4" s="40"/>
      <c r="U4" s="40"/>
      <c r="V4" s="40"/>
      <c r="W4" s="55" t="s">
        <v>21</v>
      </c>
      <c r="X4" s="56"/>
      <c r="Y4" s="56"/>
    </row>
    <row r="5" spans="1:25" ht="30" customHeight="1" x14ac:dyDescent="0.3">
      <c r="A5" s="10">
        <v>1</v>
      </c>
      <c r="B5" s="41" t="s">
        <v>49</v>
      </c>
      <c r="C5" s="42"/>
      <c r="D5" s="43"/>
      <c r="E5" s="39" t="s">
        <v>47</v>
      </c>
      <c r="F5" s="25">
        <v>0.5</v>
      </c>
      <c r="G5" s="39"/>
      <c r="H5" s="39">
        <v>100</v>
      </c>
      <c r="I5" s="25">
        <f>SUM(J5:O5)</f>
        <v>83.319999999999979</v>
      </c>
      <c r="J5" s="25">
        <v>0</v>
      </c>
      <c r="K5" s="25">
        <v>0.12</v>
      </c>
      <c r="L5" s="25">
        <v>37.479999999999997</v>
      </c>
      <c r="M5" s="25">
        <v>21.63</v>
      </c>
      <c r="N5" s="25">
        <v>6.6</v>
      </c>
      <c r="O5" s="25">
        <v>17.489999999999998</v>
      </c>
      <c r="P5" s="25"/>
      <c r="Q5" s="11">
        <f t="shared" ref="Q5:Q13" si="0">((H5-(SUM(J5)))/H5)*100</f>
        <v>100</v>
      </c>
      <c r="R5" s="11">
        <f t="shared" ref="R5:R13" si="1">((H5-(SUM(J5:K5)))/H5)*100</f>
        <v>99.88</v>
      </c>
      <c r="S5" s="11">
        <f t="shared" ref="S5:S13" si="2">((H5-(SUM(J5:L5)))/H5)*100</f>
        <v>62.400000000000013</v>
      </c>
      <c r="T5" s="11">
        <f t="shared" ref="T5:T13" si="3">((H5-(SUM(J5:M5)))/H5)*100</f>
        <v>40.77000000000001</v>
      </c>
      <c r="U5" s="11">
        <f t="shared" ref="U5:U13" si="4">((H5-(SUM(J5:N5)))/H5)*100</f>
        <v>34.170000000000016</v>
      </c>
      <c r="V5" s="11">
        <f t="shared" ref="V5:V13" si="5">((H5-(SUM(J5:O5)))/H5)*100</f>
        <v>16.680000000000021</v>
      </c>
      <c r="W5" s="11">
        <f>100-Q5</f>
        <v>0</v>
      </c>
      <c r="X5" s="11">
        <f>Q5-V5</f>
        <v>83.319999999999979</v>
      </c>
      <c r="Y5" s="11">
        <f>V5</f>
        <v>16.680000000000021</v>
      </c>
    </row>
    <row r="6" spans="1:25" ht="30" customHeight="1" x14ac:dyDescent="0.3">
      <c r="A6" s="10">
        <v>2</v>
      </c>
      <c r="B6" s="41"/>
      <c r="C6" s="42"/>
      <c r="D6" s="43"/>
      <c r="E6" s="39" t="s">
        <v>48</v>
      </c>
      <c r="F6" s="25">
        <v>1.5</v>
      </c>
      <c r="G6" s="39"/>
      <c r="H6" s="39">
        <v>200</v>
      </c>
      <c r="I6" s="25">
        <f t="shared" ref="I6:I13" si="6">SUM(J6:O6)</f>
        <v>147.54999999999998</v>
      </c>
      <c r="J6" s="25">
        <v>1.63</v>
      </c>
      <c r="K6" s="25">
        <v>5.47</v>
      </c>
      <c r="L6" s="25">
        <v>85.91</v>
      </c>
      <c r="M6" s="25">
        <v>38.43</v>
      </c>
      <c r="N6" s="25">
        <v>6.01</v>
      </c>
      <c r="O6" s="25">
        <v>10.1</v>
      </c>
      <c r="P6" s="25"/>
      <c r="Q6" s="11">
        <f t="shared" si="0"/>
        <v>99.185000000000002</v>
      </c>
      <c r="R6" s="11">
        <f t="shared" si="1"/>
        <v>96.45</v>
      </c>
      <c r="S6" s="11">
        <f t="shared" si="2"/>
        <v>53.495000000000005</v>
      </c>
      <c r="T6" s="11">
        <f t="shared" si="3"/>
        <v>34.28</v>
      </c>
      <c r="U6" s="11">
        <f t="shared" si="4"/>
        <v>31.275000000000009</v>
      </c>
      <c r="V6" s="11">
        <f t="shared" si="5"/>
        <v>26.225000000000009</v>
      </c>
      <c r="W6" s="11">
        <f t="shared" ref="W6:W13" si="7">100-Q6</f>
        <v>0.81499999999999773</v>
      </c>
      <c r="X6" s="11">
        <f t="shared" ref="X6:X13" si="8">Q6-V6</f>
        <v>72.959999999999994</v>
      </c>
      <c r="Y6" s="11">
        <f t="shared" ref="Y6:Y13" si="9">V6</f>
        <v>26.225000000000009</v>
      </c>
    </row>
    <row r="7" spans="1:25" ht="30" customHeight="1" x14ac:dyDescent="0.3">
      <c r="A7" s="10">
        <v>3</v>
      </c>
      <c r="B7" s="41"/>
      <c r="C7" s="42"/>
      <c r="D7" s="43"/>
      <c r="E7" s="39" t="s">
        <v>47</v>
      </c>
      <c r="F7" s="25">
        <v>3.5</v>
      </c>
      <c r="G7" s="39"/>
      <c r="H7" s="39">
        <v>100</v>
      </c>
      <c r="I7" s="25">
        <f t="shared" si="6"/>
        <v>79.41</v>
      </c>
      <c r="J7" s="25">
        <v>0</v>
      </c>
      <c r="K7" s="25">
        <v>0.48</v>
      </c>
      <c r="L7" s="25">
        <v>38.159999999999997</v>
      </c>
      <c r="M7" s="25">
        <v>20.37</v>
      </c>
      <c r="N7" s="25">
        <v>4.37</v>
      </c>
      <c r="O7" s="25">
        <v>16.03</v>
      </c>
      <c r="P7" s="25"/>
      <c r="Q7" s="11">
        <f t="shared" si="0"/>
        <v>100</v>
      </c>
      <c r="R7" s="11">
        <f t="shared" si="1"/>
        <v>99.52</v>
      </c>
      <c r="S7" s="11">
        <f t="shared" si="2"/>
        <v>61.360000000000007</v>
      </c>
      <c r="T7" s="11">
        <f t="shared" si="3"/>
        <v>40.990000000000009</v>
      </c>
      <c r="U7" s="11">
        <f t="shared" si="4"/>
        <v>36.620000000000012</v>
      </c>
      <c r="V7" s="11">
        <f t="shared" si="5"/>
        <v>20.590000000000003</v>
      </c>
      <c r="W7" s="11">
        <f t="shared" si="7"/>
        <v>0</v>
      </c>
      <c r="X7" s="11">
        <f t="shared" si="8"/>
        <v>79.41</v>
      </c>
      <c r="Y7" s="11">
        <f t="shared" si="9"/>
        <v>20.590000000000003</v>
      </c>
    </row>
    <row r="8" spans="1:25" ht="30" customHeight="1" x14ac:dyDescent="0.3">
      <c r="A8" s="10">
        <v>4</v>
      </c>
      <c r="B8" s="41"/>
      <c r="C8" s="42"/>
      <c r="D8" s="43"/>
      <c r="E8" s="39" t="s">
        <v>47</v>
      </c>
      <c r="F8" s="25">
        <v>7.5</v>
      </c>
      <c r="G8" s="39"/>
      <c r="H8" s="39">
        <v>100</v>
      </c>
      <c r="I8" s="25">
        <f t="shared" si="6"/>
        <v>53.019999999999996</v>
      </c>
      <c r="J8" s="25">
        <v>5.42</v>
      </c>
      <c r="K8" s="25">
        <v>3.25</v>
      </c>
      <c r="L8" s="25">
        <v>13.84</v>
      </c>
      <c r="M8" s="25">
        <v>23.62</v>
      </c>
      <c r="N8" s="25">
        <v>2.5499999999999998</v>
      </c>
      <c r="O8" s="25">
        <v>4.34</v>
      </c>
      <c r="P8" s="25"/>
      <c r="Q8" s="11">
        <f t="shared" si="0"/>
        <v>94.58</v>
      </c>
      <c r="R8" s="11">
        <f t="shared" si="1"/>
        <v>91.33</v>
      </c>
      <c r="S8" s="11">
        <f t="shared" si="2"/>
        <v>77.490000000000009</v>
      </c>
      <c r="T8" s="11">
        <f t="shared" si="3"/>
        <v>53.870000000000005</v>
      </c>
      <c r="U8" s="11">
        <f t="shared" si="4"/>
        <v>51.320000000000007</v>
      </c>
      <c r="V8" s="11">
        <f t="shared" si="5"/>
        <v>46.980000000000004</v>
      </c>
      <c r="W8" s="11">
        <f t="shared" si="7"/>
        <v>5.4200000000000017</v>
      </c>
      <c r="X8" s="11">
        <f t="shared" si="8"/>
        <v>47.599999999999994</v>
      </c>
      <c r="Y8" s="11">
        <f t="shared" si="9"/>
        <v>46.980000000000004</v>
      </c>
    </row>
    <row r="9" spans="1:25" ht="30" customHeight="1" x14ac:dyDescent="0.3">
      <c r="A9" s="10">
        <v>5</v>
      </c>
      <c r="B9" s="41"/>
      <c r="C9" s="42"/>
      <c r="D9" s="43"/>
      <c r="E9" s="39" t="s">
        <v>47</v>
      </c>
      <c r="F9" s="25">
        <v>9.5</v>
      </c>
      <c r="G9" s="39"/>
      <c r="H9" s="39">
        <v>100</v>
      </c>
      <c r="I9" s="25">
        <f t="shared" si="6"/>
        <v>50.970000000000006</v>
      </c>
      <c r="J9" s="25">
        <v>0.17</v>
      </c>
      <c r="K9" s="25">
        <v>1.21</v>
      </c>
      <c r="L9" s="25">
        <v>4.58</v>
      </c>
      <c r="M9" s="25">
        <v>24.05</v>
      </c>
      <c r="N9" s="25">
        <v>4.1100000000000003</v>
      </c>
      <c r="O9" s="25">
        <v>16.850000000000001</v>
      </c>
      <c r="P9" s="25"/>
      <c r="Q9" s="11">
        <f t="shared" si="0"/>
        <v>99.83</v>
      </c>
      <c r="R9" s="11">
        <f t="shared" si="1"/>
        <v>98.62</v>
      </c>
      <c r="S9" s="11">
        <f t="shared" si="2"/>
        <v>94.04</v>
      </c>
      <c r="T9" s="11">
        <f t="shared" si="3"/>
        <v>69.989999999999995</v>
      </c>
      <c r="U9" s="11">
        <f t="shared" si="4"/>
        <v>65.88</v>
      </c>
      <c r="V9" s="11">
        <f t="shared" si="5"/>
        <v>49.029999999999994</v>
      </c>
      <c r="W9" s="11">
        <f t="shared" si="7"/>
        <v>0.17000000000000171</v>
      </c>
      <c r="X9" s="11">
        <f t="shared" si="8"/>
        <v>50.800000000000004</v>
      </c>
      <c r="Y9" s="11">
        <f t="shared" si="9"/>
        <v>49.029999999999994</v>
      </c>
    </row>
    <row r="10" spans="1:25" ht="30" customHeight="1" x14ac:dyDescent="0.3">
      <c r="A10" s="10">
        <v>6</v>
      </c>
      <c r="B10" s="41"/>
      <c r="C10" s="42"/>
      <c r="D10" s="43"/>
      <c r="E10" s="39" t="s">
        <v>47</v>
      </c>
      <c r="F10" s="25">
        <v>12.5</v>
      </c>
      <c r="G10" s="39"/>
      <c r="H10" s="39">
        <v>100</v>
      </c>
      <c r="I10" s="25">
        <f t="shared" si="6"/>
        <v>66.97</v>
      </c>
      <c r="J10" s="25">
        <v>0.19</v>
      </c>
      <c r="K10" s="25">
        <v>0.36</v>
      </c>
      <c r="L10" s="25">
        <v>1.1599999999999999</v>
      </c>
      <c r="M10" s="25">
        <v>26.55</v>
      </c>
      <c r="N10" s="25">
        <v>13.18</v>
      </c>
      <c r="O10" s="25">
        <v>25.53</v>
      </c>
      <c r="P10" s="25"/>
      <c r="Q10" s="11">
        <f t="shared" si="0"/>
        <v>99.81</v>
      </c>
      <c r="R10" s="11">
        <f t="shared" si="1"/>
        <v>99.45</v>
      </c>
      <c r="S10" s="11">
        <f t="shared" si="2"/>
        <v>98.29</v>
      </c>
      <c r="T10" s="11">
        <f t="shared" si="3"/>
        <v>71.739999999999995</v>
      </c>
      <c r="U10" s="11">
        <f t="shared" si="4"/>
        <v>58.56</v>
      </c>
      <c r="V10" s="11">
        <f t="shared" si="5"/>
        <v>33.03</v>
      </c>
      <c r="W10" s="11">
        <f t="shared" si="7"/>
        <v>0.18999999999999773</v>
      </c>
      <c r="X10" s="11">
        <f t="shared" si="8"/>
        <v>66.78</v>
      </c>
      <c r="Y10" s="11">
        <f t="shared" si="9"/>
        <v>33.03</v>
      </c>
    </row>
    <row r="11" spans="1:25" ht="30" customHeight="1" x14ac:dyDescent="0.3">
      <c r="A11" s="10">
        <v>7</v>
      </c>
      <c r="B11" s="41"/>
      <c r="C11" s="42"/>
      <c r="D11" s="43"/>
      <c r="E11" s="39" t="s">
        <v>47</v>
      </c>
      <c r="F11" s="25">
        <v>13.5</v>
      </c>
      <c r="G11" s="39"/>
      <c r="H11" s="39">
        <v>100</v>
      </c>
      <c r="I11" s="25">
        <f t="shared" si="6"/>
        <v>61.050000000000004</v>
      </c>
      <c r="J11" s="25">
        <v>0</v>
      </c>
      <c r="K11" s="25">
        <v>0.18</v>
      </c>
      <c r="L11" s="25">
        <v>5.08</v>
      </c>
      <c r="M11" s="25">
        <v>24.16</v>
      </c>
      <c r="N11" s="25">
        <v>8.49</v>
      </c>
      <c r="O11" s="25">
        <v>23.14</v>
      </c>
      <c r="P11" s="25"/>
      <c r="Q11" s="11">
        <f t="shared" si="0"/>
        <v>100</v>
      </c>
      <c r="R11" s="11">
        <f t="shared" si="1"/>
        <v>99.82</v>
      </c>
      <c r="S11" s="11">
        <f t="shared" si="2"/>
        <v>94.74</v>
      </c>
      <c r="T11" s="11">
        <f t="shared" si="3"/>
        <v>70.58</v>
      </c>
      <c r="U11" s="11">
        <f t="shared" si="4"/>
        <v>62.09</v>
      </c>
      <c r="V11" s="11">
        <f t="shared" si="5"/>
        <v>38.949999999999996</v>
      </c>
      <c r="W11" s="11">
        <f t="shared" si="7"/>
        <v>0</v>
      </c>
      <c r="X11" s="11">
        <f t="shared" si="8"/>
        <v>61.050000000000004</v>
      </c>
      <c r="Y11" s="11">
        <f t="shared" si="9"/>
        <v>38.949999999999996</v>
      </c>
    </row>
    <row r="12" spans="1:25" ht="30" customHeight="1" x14ac:dyDescent="0.3">
      <c r="A12" s="10">
        <v>8</v>
      </c>
      <c r="B12" s="41"/>
      <c r="C12" s="42"/>
      <c r="D12" s="43"/>
      <c r="E12" s="39" t="s">
        <v>47</v>
      </c>
      <c r="F12" s="25">
        <v>14</v>
      </c>
      <c r="G12" s="39"/>
      <c r="H12" s="39">
        <v>100</v>
      </c>
      <c r="I12" s="25">
        <f t="shared" si="6"/>
        <v>57.22</v>
      </c>
      <c r="J12" s="25">
        <v>0.56999999999999995</v>
      </c>
      <c r="K12" s="25">
        <v>0.37</v>
      </c>
      <c r="L12" s="25">
        <v>5.28</v>
      </c>
      <c r="M12" s="25">
        <v>28.48</v>
      </c>
      <c r="N12" s="25">
        <v>5.08</v>
      </c>
      <c r="O12" s="25">
        <v>17.440000000000001</v>
      </c>
      <c r="P12" s="25"/>
      <c r="Q12" s="11">
        <f t="shared" si="0"/>
        <v>99.43</v>
      </c>
      <c r="R12" s="11">
        <f t="shared" si="1"/>
        <v>99.06</v>
      </c>
      <c r="S12" s="11">
        <f t="shared" si="2"/>
        <v>93.78</v>
      </c>
      <c r="T12" s="11">
        <f t="shared" si="3"/>
        <v>65.3</v>
      </c>
      <c r="U12" s="11">
        <f t="shared" si="4"/>
        <v>60.22</v>
      </c>
      <c r="V12" s="11">
        <f t="shared" si="5"/>
        <v>42.78</v>
      </c>
      <c r="W12" s="11">
        <f t="shared" si="7"/>
        <v>0.56999999999999318</v>
      </c>
      <c r="X12" s="11">
        <f t="shared" si="8"/>
        <v>56.650000000000006</v>
      </c>
      <c r="Y12" s="11">
        <f t="shared" si="9"/>
        <v>42.78</v>
      </c>
    </row>
    <row r="13" spans="1:25" ht="30" customHeight="1" x14ac:dyDescent="0.3">
      <c r="A13" s="10">
        <v>9</v>
      </c>
      <c r="B13" s="41"/>
      <c r="C13" s="42"/>
      <c r="D13" s="43"/>
      <c r="E13" s="39"/>
      <c r="F13" s="39"/>
      <c r="G13" s="39"/>
      <c r="H13" s="39"/>
      <c r="I13" s="25"/>
      <c r="J13" s="25"/>
      <c r="K13" s="25"/>
      <c r="L13" s="25"/>
      <c r="M13" s="25"/>
      <c r="N13" s="25"/>
      <c r="O13" s="25"/>
      <c r="P13" s="25"/>
      <c r="Q13" s="11"/>
      <c r="R13" s="11"/>
      <c r="S13" s="11"/>
      <c r="T13" s="11"/>
      <c r="U13" s="11"/>
      <c r="V13" s="11"/>
      <c r="W13" s="11"/>
      <c r="X13" s="11"/>
      <c r="Y13" s="11"/>
    </row>
  </sheetData>
  <mergeCells count="21">
    <mergeCell ref="A1:Y1"/>
    <mergeCell ref="A2:A4"/>
    <mergeCell ref="B2:B4"/>
    <mergeCell ref="C2:C4"/>
    <mergeCell ref="D2:D4"/>
    <mergeCell ref="E2:E3"/>
    <mergeCell ref="F2:F3"/>
    <mergeCell ref="G2:G3"/>
    <mergeCell ref="H2:H3"/>
    <mergeCell ref="I2:I3"/>
    <mergeCell ref="W2:W3"/>
    <mergeCell ref="X2:X3"/>
    <mergeCell ref="Y2:Y3"/>
    <mergeCell ref="J4:P4"/>
    <mergeCell ref="Q4:V4"/>
    <mergeCell ref="W4:Y4"/>
    <mergeCell ref="J2:P2"/>
    <mergeCell ref="Q2:V2"/>
    <mergeCell ref="B5:B13"/>
    <mergeCell ref="C5:C13"/>
    <mergeCell ref="D5:D13"/>
  </mergeCells>
  <printOptions horizontalCentered="1"/>
  <pageMargins left="0" right="0" top="3.937007874015748E-2" bottom="0" header="0.19685039370078741" footer="0.19685039370078741"/>
  <pageSetup paperSize="9" scale="41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8B8E62-7015-4F8E-81BC-81BF82BEC584}">
  <sheetPr codeName="Sheet8"/>
  <dimension ref="A1:BA25"/>
  <sheetViews>
    <sheetView zoomScaleNormal="100" workbookViewId="0">
      <selection activeCell="F32" sqref="F32"/>
    </sheetView>
  </sheetViews>
  <sheetFormatPr defaultRowHeight="14.4" x14ac:dyDescent="0.3"/>
  <cols>
    <col min="5" max="12" width="9.6640625" customWidth="1"/>
    <col min="13" max="36" width="9.6640625" bestFit="1" customWidth="1"/>
    <col min="39" max="49" width="9.6640625" bestFit="1" customWidth="1"/>
    <col min="50" max="50" width="10.5546875" bestFit="1" customWidth="1"/>
  </cols>
  <sheetData>
    <row r="1" spans="1:53" x14ac:dyDescent="0.3">
      <c r="A1" s="65" t="s">
        <v>4</v>
      </c>
      <c r="B1" s="68" t="s">
        <v>5</v>
      </c>
      <c r="C1" s="68" t="s">
        <v>9</v>
      </c>
      <c r="D1" s="65" t="s">
        <v>8</v>
      </c>
      <c r="E1" s="65" t="s">
        <v>22</v>
      </c>
      <c r="F1" s="65" t="s">
        <v>39</v>
      </c>
      <c r="G1" s="65" t="s">
        <v>23</v>
      </c>
      <c r="H1" s="65" t="s">
        <v>24</v>
      </c>
      <c r="I1" s="61" t="s">
        <v>33</v>
      </c>
      <c r="J1" s="65" t="s">
        <v>34</v>
      </c>
      <c r="K1" s="65" t="s">
        <v>25</v>
      </c>
      <c r="L1" s="65" t="s">
        <v>26</v>
      </c>
      <c r="M1" s="63" t="s">
        <v>27</v>
      </c>
      <c r="N1" s="64"/>
      <c r="O1" s="64"/>
      <c r="P1" s="64"/>
      <c r="Q1" s="64"/>
      <c r="R1" s="64"/>
      <c r="S1" s="64"/>
      <c r="T1" s="64"/>
      <c r="U1" s="64"/>
      <c r="V1" s="64"/>
      <c r="W1" s="64"/>
      <c r="X1" s="64"/>
      <c r="Y1" s="64"/>
      <c r="Z1" s="63" t="s">
        <v>28</v>
      </c>
      <c r="AA1" s="64"/>
      <c r="AB1" s="64"/>
      <c r="AC1" s="64"/>
      <c r="AD1" s="64"/>
      <c r="AE1" s="64"/>
      <c r="AF1" s="64"/>
      <c r="AG1" s="64"/>
      <c r="AH1" s="64"/>
      <c r="AI1" s="64"/>
      <c r="AJ1" s="64"/>
      <c r="AK1" s="64"/>
      <c r="AL1" s="64"/>
      <c r="AM1" s="64" t="s">
        <v>29</v>
      </c>
      <c r="AN1" s="64"/>
      <c r="AO1" s="64"/>
      <c r="AP1" s="64"/>
      <c r="AQ1" s="64"/>
      <c r="AR1" s="64"/>
      <c r="AS1" s="64"/>
      <c r="AT1" s="64"/>
      <c r="AU1" s="64"/>
      <c r="AV1" s="64"/>
      <c r="AW1" s="64"/>
      <c r="AX1" s="64"/>
      <c r="AY1" s="64"/>
      <c r="AZ1" s="21"/>
      <c r="BA1" s="21"/>
    </row>
    <row r="2" spans="1:53" x14ac:dyDescent="0.3">
      <c r="A2" s="66"/>
      <c r="B2" s="69"/>
      <c r="C2" s="69"/>
      <c r="D2" s="66"/>
      <c r="E2" s="66"/>
      <c r="F2" s="66"/>
      <c r="G2" s="66"/>
      <c r="H2" s="66"/>
      <c r="I2" s="61"/>
      <c r="J2" s="66"/>
      <c r="K2" s="66"/>
      <c r="L2" s="66"/>
      <c r="M2" s="62">
        <v>0.5</v>
      </c>
      <c r="N2" s="57">
        <v>1</v>
      </c>
      <c r="O2" s="57">
        <v>2</v>
      </c>
      <c r="P2" s="57">
        <v>4</v>
      </c>
      <c r="Q2" s="57">
        <v>8</v>
      </c>
      <c r="R2" s="57">
        <v>15</v>
      </c>
      <c r="S2" s="57">
        <v>30</v>
      </c>
      <c r="T2" s="57">
        <v>60</v>
      </c>
      <c r="U2" s="57">
        <v>120</v>
      </c>
      <c r="V2" s="57">
        <v>240</v>
      </c>
      <c r="W2" s="57">
        <v>480</v>
      </c>
      <c r="X2" s="57">
        <v>960</v>
      </c>
      <c r="Y2" s="57">
        <v>1440</v>
      </c>
      <c r="Z2" s="62">
        <v>0.5</v>
      </c>
      <c r="AA2" s="57">
        <v>1</v>
      </c>
      <c r="AB2" s="57">
        <v>2</v>
      </c>
      <c r="AC2" s="57">
        <v>4</v>
      </c>
      <c r="AD2" s="57">
        <v>8</v>
      </c>
      <c r="AE2" s="57">
        <v>15</v>
      </c>
      <c r="AF2" s="57">
        <v>30</v>
      </c>
      <c r="AG2" s="57">
        <v>60</v>
      </c>
      <c r="AH2" s="57">
        <v>120</v>
      </c>
      <c r="AI2" s="57">
        <v>240</v>
      </c>
      <c r="AJ2" s="57">
        <v>480</v>
      </c>
      <c r="AK2" s="57">
        <v>960</v>
      </c>
      <c r="AL2" s="57">
        <v>1440</v>
      </c>
      <c r="AM2" s="62">
        <v>0.5</v>
      </c>
      <c r="AN2" s="57">
        <v>1</v>
      </c>
      <c r="AO2" s="57">
        <v>2</v>
      </c>
      <c r="AP2" s="57">
        <v>4</v>
      </c>
      <c r="AQ2" s="57">
        <v>8</v>
      </c>
      <c r="AR2" s="57">
        <v>15</v>
      </c>
      <c r="AS2" s="57">
        <v>30</v>
      </c>
      <c r="AT2" s="57">
        <v>60</v>
      </c>
      <c r="AU2" s="57">
        <v>120</v>
      </c>
      <c r="AV2" s="57">
        <v>240</v>
      </c>
      <c r="AW2" s="57">
        <v>480</v>
      </c>
      <c r="AX2" s="57">
        <v>960</v>
      </c>
      <c r="AY2" s="57">
        <v>1440</v>
      </c>
      <c r="AZ2" s="21"/>
      <c r="BA2" s="21"/>
    </row>
    <row r="3" spans="1:53" x14ac:dyDescent="0.3">
      <c r="A3" s="66"/>
      <c r="B3" s="69"/>
      <c r="C3" s="69"/>
      <c r="D3" s="67"/>
      <c r="E3" s="67"/>
      <c r="F3" s="67"/>
      <c r="G3" s="67"/>
      <c r="H3" s="67"/>
      <c r="I3" s="61"/>
      <c r="J3" s="67"/>
      <c r="K3" s="67"/>
      <c r="L3" s="67"/>
      <c r="M3" s="62"/>
      <c r="N3" s="57"/>
      <c r="O3" s="57"/>
      <c r="P3" s="57"/>
      <c r="Q3" s="57"/>
      <c r="R3" s="57"/>
      <c r="S3" s="57"/>
      <c r="T3" s="57"/>
      <c r="U3" s="57"/>
      <c r="V3" s="57"/>
      <c r="W3" s="57"/>
      <c r="X3" s="57"/>
      <c r="Y3" s="57"/>
      <c r="Z3" s="62"/>
      <c r="AA3" s="57"/>
      <c r="AB3" s="57"/>
      <c r="AC3" s="57"/>
      <c r="AD3" s="57"/>
      <c r="AE3" s="57"/>
      <c r="AF3" s="57"/>
      <c r="AG3" s="57"/>
      <c r="AH3" s="57"/>
      <c r="AI3" s="57"/>
      <c r="AJ3" s="57"/>
      <c r="AK3" s="57"/>
      <c r="AL3" s="57"/>
      <c r="AM3" s="62"/>
      <c r="AN3" s="57"/>
      <c r="AO3" s="57"/>
      <c r="AP3" s="57"/>
      <c r="AQ3" s="57"/>
      <c r="AR3" s="57"/>
      <c r="AS3" s="57"/>
      <c r="AT3" s="57"/>
      <c r="AU3" s="57"/>
      <c r="AV3" s="57"/>
      <c r="AW3" s="57"/>
      <c r="AX3" s="57"/>
      <c r="AY3" s="57"/>
      <c r="AZ3" s="21"/>
      <c r="BA3" s="21"/>
    </row>
    <row r="4" spans="1:53" x14ac:dyDescent="0.3">
      <c r="A4" s="67"/>
      <c r="B4" s="70"/>
      <c r="C4" s="70"/>
      <c r="D4" s="13" t="s">
        <v>18</v>
      </c>
      <c r="E4" s="13" t="s">
        <v>30</v>
      </c>
      <c r="F4" s="13" t="s">
        <v>38</v>
      </c>
      <c r="G4" s="13" t="s">
        <v>18</v>
      </c>
      <c r="H4" s="13" t="s">
        <v>18</v>
      </c>
      <c r="I4" s="14" t="s">
        <v>18</v>
      </c>
      <c r="J4" s="15"/>
      <c r="K4" s="15" t="s">
        <v>18</v>
      </c>
      <c r="L4" s="15" t="s">
        <v>18</v>
      </c>
      <c r="M4" s="58"/>
      <c r="N4" s="59"/>
      <c r="O4" s="59"/>
      <c r="P4" s="59"/>
      <c r="Q4" s="59"/>
      <c r="R4" s="59"/>
      <c r="S4" s="59"/>
      <c r="T4" s="59"/>
      <c r="U4" s="59"/>
      <c r="V4" s="59"/>
      <c r="W4" s="59"/>
      <c r="X4" s="59"/>
      <c r="Y4" s="60"/>
      <c r="Z4" s="58" t="s">
        <v>31</v>
      </c>
      <c r="AA4" s="59"/>
      <c r="AB4" s="59"/>
      <c r="AC4" s="59"/>
      <c r="AD4" s="59"/>
      <c r="AE4" s="59"/>
      <c r="AF4" s="59"/>
      <c r="AG4" s="59"/>
      <c r="AH4" s="59"/>
      <c r="AI4" s="59"/>
      <c r="AJ4" s="59"/>
      <c r="AK4" s="59"/>
      <c r="AL4" s="60"/>
      <c r="AM4" s="61" t="s">
        <v>32</v>
      </c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20"/>
      <c r="BA4" s="20"/>
    </row>
    <row r="5" spans="1:53" x14ac:dyDescent="0.3">
      <c r="A5" s="31">
        <v>1</v>
      </c>
      <c r="B5" s="31" t="str">
        <f>GSD!B5</f>
        <v>CBH-05</v>
      </c>
      <c r="C5" s="32">
        <f>GSD!F5</f>
        <v>0.5</v>
      </c>
      <c r="D5" s="31" t="str">
        <f>GSD!E5</f>
        <v>SPT</v>
      </c>
      <c r="E5" s="32">
        <v>27</v>
      </c>
      <c r="F5" s="33">
        <f>(0.000000002615*E5^4) - (0.00000030607*E5^3) + (0.000016427499*E5^2) - (0.000618546309*E5) + 0.017919182437</f>
        <v>8.5594212700000009E-3</v>
      </c>
      <c r="G5" s="34"/>
      <c r="H5" s="31">
        <v>5.0000000000000001E-4</v>
      </c>
      <c r="I5" s="31"/>
      <c r="J5" s="31"/>
      <c r="K5" s="32">
        <f>(E5-27)*0.25</f>
        <v>0</v>
      </c>
      <c r="L5" s="31">
        <v>0.3</v>
      </c>
      <c r="M5" s="34"/>
      <c r="N5" s="34"/>
      <c r="O5" s="34"/>
      <c r="P5" s="34"/>
      <c r="Q5" s="34"/>
      <c r="R5" s="34"/>
      <c r="S5" s="34"/>
      <c r="T5" s="34"/>
      <c r="U5" s="34"/>
      <c r="V5" s="34"/>
      <c r="W5" s="34"/>
      <c r="X5" s="34"/>
      <c r="Y5" s="34"/>
      <c r="Z5" s="35"/>
      <c r="AA5" s="35"/>
      <c r="AB5" s="35"/>
      <c r="AC5" s="35"/>
      <c r="AD5" s="35"/>
      <c r="AE5" s="35"/>
      <c r="AF5" s="35"/>
      <c r="AG5" s="35"/>
      <c r="AH5" s="35"/>
      <c r="AI5" s="35"/>
      <c r="AJ5" s="35"/>
      <c r="AK5" s="35"/>
      <c r="AL5" s="35"/>
      <c r="AM5" s="32"/>
      <c r="AN5" s="32"/>
      <c r="AO5" s="32"/>
      <c r="AP5" s="32"/>
      <c r="AQ5" s="32"/>
      <c r="AR5" s="32"/>
      <c r="AS5" s="32"/>
      <c r="AT5" s="32"/>
      <c r="AU5" s="32"/>
      <c r="AV5" s="32"/>
      <c r="AW5" s="32"/>
      <c r="AX5" s="32"/>
      <c r="AY5" s="32"/>
      <c r="AZ5" s="36"/>
      <c r="BA5" s="36"/>
    </row>
    <row r="6" spans="1:53" x14ac:dyDescent="0.3">
      <c r="A6" s="31">
        <v>2</v>
      </c>
      <c r="B6" s="31" t="str">
        <f>B5</f>
        <v>CBH-05</v>
      </c>
      <c r="C6" s="32">
        <f>GSD!F6</f>
        <v>1.5</v>
      </c>
      <c r="D6" s="31" t="str">
        <f>GSD!E6</f>
        <v>UDS</v>
      </c>
      <c r="E6" s="32">
        <v>27</v>
      </c>
      <c r="F6" s="33">
        <f t="shared" ref="F6:F16" si="0">(0.000000002615*E6^4) - (0.00000030607*E6^3) + (0.000016427499*E6^2) - (0.000618546309*E6) + 0.017919182437</f>
        <v>8.5594212700000009E-3</v>
      </c>
      <c r="G6" s="34"/>
      <c r="H6" s="31">
        <v>5.0000000000000001E-4</v>
      </c>
      <c r="I6" s="31"/>
      <c r="J6" s="31"/>
      <c r="K6" s="32">
        <f t="shared" ref="K6:K16" si="1">(E6-27)*0.25</f>
        <v>0</v>
      </c>
      <c r="L6" s="31">
        <v>0.3</v>
      </c>
      <c r="M6" s="34"/>
      <c r="N6" s="34"/>
      <c r="O6" s="34"/>
      <c r="P6" s="34"/>
      <c r="Q6" s="34"/>
      <c r="R6" s="34"/>
      <c r="S6" s="34"/>
      <c r="T6" s="34"/>
      <c r="U6" s="34"/>
      <c r="V6" s="34"/>
      <c r="W6" s="34"/>
      <c r="X6" s="34"/>
      <c r="Y6" s="34"/>
      <c r="Z6" s="35"/>
      <c r="AA6" s="35"/>
      <c r="AB6" s="35"/>
      <c r="AC6" s="35"/>
      <c r="AD6" s="35"/>
      <c r="AE6" s="35"/>
      <c r="AF6" s="35"/>
      <c r="AG6" s="35"/>
      <c r="AH6" s="35"/>
      <c r="AI6" s="35"/>
      <c r="AJ6" s="35"/>
      <c r="AK6" s="35"/>
      <c r="AL6" s="35"/>
      <c r="AM6" s="32"/>
      <c r="AN6" s="32"/>
      <c r="AO6" s="32"/>
      <c r="AP6" s="32"/>
      <c r="AQ6" s="32"/>
      <c r="AR6" s="32"/>
      <c r="AS6" s="32"/>
      <c r="AT6" s="32"/>
      <c r="AU6" s="32"/>
      <c r="AV6" s="32"/>
      <c r="AW6" s="32"/>
      <c r="AX6" s="32"/>
      <c r="AY6" s="32"/>
      <c r="AZ6" s="36"/>
      <c r="BA6" s="36"/>
    </row>
    <row r="7" spans="1:53" x14ac:dyDescent="0.3">
      <c r="A7" s="31">
        <v>3</v>
      </c>
      <c r="B7" s="31" t="str">
        <f t="shared" ref="B7:B25" si="2">B6</f>
        <v>CBH-05</v>
      </c>
      <c r="C7" s="32">
        <f>GSD!F7</f>
        <v>3.5</v>
      </c>
      <c r="D7" s="31" t="str">
        <f>GSD!E7</f>
        <v>SPT</v>
      </c>
      <c r="E7" s="32">
        <v>27</v>
      </c>
      <c r="F7" s="33">
        <f t="shared" si="0"/>
        <v>8.5594212700000009E-3</v>
      </c>
      <c r="G7" s="34"/>
      <c r="H7" s="31">
        <v>5.0000000000000001E-4</v>
      </c>
      <c r="I7" s="31"/>
      <c r="J7" s="31"/>
      <c r="K7" s="32">
        <f t="shared" si="1"/>
        <v>0</v>
      </c>
      <c r="L7" s="31">
        <v>0.3</v>
      </c>
      <c r="M7" s="34"/>
      <c r="N7" s="34"/>
      <c r="O7" s="34"/>
      <c r="P7" s="34"/>
      <c r="Q7" s="34"/>
      <c r="R7" s="34"/>
      <c r="S7" s="34"/>
      <c r="T7" s="34"/>
      <c r="U7" s="34"/>
      <c r="V7" s="34"/>
      <c r="W7" s="34"/>
      <c r="X7" s="34"/>
      <c r="Y7" s="34"/>
      <c r="Z7" s="35"/>
      <c r="AA7" s="35"/>
      <c r="AB7" s="35"/>
      <c r="AC7" s="35"/>
      <c r="AD7" s="35"/>
      <c r="AE7" s="35"/>
      <c r="AF7" s="35"/>
      <c r="AG7" s="35"/>
      <c r="AH7" s="35"/>
      <c r="AI7" s="35"/>
      <c r="AJ7" s="35"/>
      <c r="AK7" s="35"/>
      <c r="AL7" s="35"/>
      <c r="AM7" s="32"/>
      <c r="AN7" s="32"/>
      <c r="AO7" s="32"/>
      <c r="AP7" s="32"/>
      <c r="AQ7" s="32"/>
      <c r="AR7" s="32"/>
      <c r="AS7" s="32"/>
      <c r="AT7" s="32"/>
      <c r="AU7" s="32"/>
      <c r="AV7" s="32"/>
      <c r="AW7" s="32"/>
      <c r="AX7" s="32"/>
      <c r="AY7" s="32"/>
      <c r="AZ7" s="36"/>
      <c r="BA7" s="36"/>
    </row>
    <row r="8" spans="1:53" x14ac:dyDescent="0.3">
      <c r="A8" s="31">
        <v>4</v>
      </c>
      <c r="B8" s="31" t="str">
        <f t="shared" si="2"/>
        <v>CBH-05</v>
      </c>
      <c r="C8" s="32">
        <f>GSD!F8</f>
        <v>7.5</v>
      </c>
      <c r="D8" s="31" t="str">
        <f>GSD!E8</f>
        <v>SPT</v>
      </c>
      <c r="E8" s="32">
        <v>27</v>
      </c>
      <c r="F8" s="33">
        <f t="shared" si="0"/>
        <v>8.5594212700000009E-3</v>
      </c>
      <c r="G8" s="34"/>
      <c r="H8" s="31">
        <v>5.0000000000000001E-4</v>
      </c>
      <c r="I8" s="31"/>
      <c r="J8" s="31"/>
      <c r="K8" s="32">
        <f t="shared" si="1"/>
        <v>0</v>
      </c>
      <c r="L8" s="31">
        <v>0.3</v>
      </c>
      <c r="M8" s="34"/>
      <c r="N8" s="34"/>
      <c r="O8" s="34"/>
      <c r="P8" s="34"/>
      <c r="Q8" s="34"/>
      <c r="R8" s="34"/>
      <c r="S8" s="34"/>
      <c r="T8" s="34"/>
      <c r="U8" s="34"/>
      <c r="V8" s="34"/>
      <c r="W8" s="34"/>
      <c r="X8" s="34"/>
      <c r="Y8" s="34"/>
      <c r="Z8" s="35"/>
      <c r="AA8" s="35"/>
      <c r="AB8" s="35"/>
      <c r="AC8" s="35"/>
      <c r="AD8" s="35"/>
      <c r="AE8" s="35"/>
      <c r="AF8" s="35"/>
      <c r="AG8" s="35"/>
      <c r="AH8" s="35"/>
      <c r="AI8" s="35"/>
      <c r="AJ8" s="35"/>
      <c r="AK8" s="35"/>
      <c r="AL8" s="35"/>
      <c r="AM8" s="32"/>
      <c r="AN8" s="32"/>
      <c r="AO8" s="32"/>
      <c r="AP8" s="32"/>
      <c r="AQ8" s="32"/>
      <c r="AR8" s="32"/>
      <c r="AS8" s="32"/>
      <c r="AT8" s="32"/>
      <c r="AU8" s="32"/>
      <c r="AV8" s="32"/>
      <c r="AW8" s="32"/>
      <c r="AX8" s="32"/>
      <c r="AY8" s="32"/>
      <c r="AZ8" s="36"/>
      <c r="BA8" s="36"/>
    </row>
    <row r="9" spans="1:53" x14ac:dyDescent="0.3">
      <c r="A9" s="31">
        <v>5</v>
      </c>
      <c r="B9" s="31" t="str">
        <f t="shared" si="2"/>
        <v>CBH-05</v>
      </c>
      <c r="C9" s="32">
        <f>GSD!F9</f>
        <v>9.5</v>
      </c>
      <c r="D9" s="31" t="str">
        <f>GSD!E9</f>
        <v>SPT</v>
      </c>
      <c r="E9" s="32">
        <v>27</v>
      </c>
      <c r="F9" s="33">
        <f t="shared" si="0"/>
        <v>8.5594212700000009E-3</v>
      </c>
      <c r="G9" s="34"/>
      <c r="H9" s="31">
        <v>5.0000000000000001E-4</v>
      </c>
      <c r="I9" s="31"/>
      <c r="J9" s="31"/>
      <c r="K9" s="32">
        <f t="shared" si="1"/>
        <v>0</v>
      </c>
      <c r="L9" s="31">
        <v>0.3</v>
      </c>
      <c r="M9" s="34"/>
      <c r="N9" s="34"/>
      <c r="O9" s="34"/>
      <c r="P9" s="34"/>
      <c r="Q9" s="34"/>
      <c r="R9" s="34"/>
      <c r="S9" s="34"/>
      <c r="T9" s="34"/>
      <c r="U9" s="34"/>
      <c r="V9" s="34"/>
      <c r="W9" s="34"/>
      <c r="X9" s="34"/>
      <c r="Y9" s="34"/>
      <c r="Z9" s="35"/>
      <c r="AA9" s="35"/>
      <c r="AB9" s="35"/>
      <c r="AC9" s="35"/>
      <c r="AD9" s="35"/>
      <c r="AE9" s="35"/>
      <c r="AF9" s="35"/>
      <c r="AG9" s="35"/>
      <c r="AH9" s="35"/>
      <c r="AI9" s="35"/>
      <c r="AJ9" s="35"/>
      <c r="AK9" s="35"/>
      <c r="AL9" s="35"/>
      <c r="AM9" s="32"/>
      <c r="AN9" s="32"/>
      <c r="AO9" s="32"/>
      <c r="AP9" s="32"/>
      <c r="AQ9" s="32"/>
      <c r="AR9" s="32"/>
      <c r="AS9" s="32"/>
      <c r="AT9" s="32"/>
      <c r="AU9" s="32"/>
      <c r="AV9" s="32"/>
      <c r="AW9" s="32"/>
      <c r="AX9" s="32"/>
      <c r="AY9" s="32"/>
      <c r="AZ9" s="36"/>
      <c r="BA9" s="36"/>
    </row>
    <row r="10" spans="1:53" x14ac:dyDescent="0.3">
      <c r="A10" s="31">
        <v>6</v>
      </c>
      <c r="B10" s="31" t="str">
        <f t="shared" si="2"/>
        <v>CBH-05</v>
      </c>
      <c r="C10" s="32">
        <f>GSD!F10</f>
        <v>12.5</v>
      </c>
      <c r="D10" s="31" t="str">
        <f>GSD!E10</f>
        <v>SPT</v>
      </c>
      <c r="E10" s="32">
        <v>27</v>
      </c>
      <c r="F10" s="33">
        <f t="shared" si="0"/>
        <v>8.5594212700000009E-3</v>
      </c>
      <c r="G10" s="34"/>
      <c r="H10" s="31">
        <v>5.0000000000000001E-4</v>
      </c>
      <c r="I10" s="31"/>
      <c r="J10" s="31"/>
      <c r="K10" s="32">
        <f t="shared" si="1"/>
        <v>0</v>
      </c>
      <c r="L10" s="31">
        <v>0.3</v>
      </c>
      <c r="M10" s="34"/>
      <c r="N10" s="34"/>
      <c r="O10" s="34"/>
      <c r="P10" s="34"/>
      <c r="Q10" s="34"/>
      <c r="R10" s="34"/>
      <c r="S10" s="34"/>
      <c r="T10" s="34"/>
      <c r="U10" s="34"/>
      <c r="V10" s="34"/>
      <c r="W10" s="34"/>
      <c r="X10" s="34"/>
      <c r="Y10" s="34"/>
      <c r="Z10" s="35"/>
      <c r="AA10" s="35"/>
      <c r="AB10" s="35"/>
      <c r="AC10" s="35"/>
      <c r="AD10" s="35"/>
      <c r="AE10" s="35"/>
      <c r="AF10" s="35"/>
      <c r="AG10" s="35"/>
      <c r="AH10" s="35"/>
      <c r="AI10" s="35"/>
      <c r="AJ10" s="35"/>
      <c r="AK10" s="35"/>
      <c r="AL10" s="35"/>
      <c r="AM10" s="32"/>
      <c r="AN10" s="32"/>
      <c r="AO10" s="32"/>
      <c r="AP10" s="32"/>
      <c r="AQ10" s="32"/>
      <c r="AR10" s="32"/>
      <c r="AS10" s="32"/>
      <c r="AT10" s="32"/>
      <c r="AU10" s="32"/>
      <c r="AV10" s="32"/>
      <c r="AW10" s="32"/>
      <c r="AX10" s="32"/>
      <c r="AY10" s="32"/>
      <c r="AZ10" s="36"/>
      <c r="BA10" s="36"/>
    </row>
    <row r="11" spans="1:53" x14ac:dyDescent="0.3">
      <c r="A11" s="31">
        <v>7</v>
      </c>
      <c r="B11" s="31" t="str">
        <f t="shared" si="2"/>
        <v>CBH-05</v>
      </c>
      <c r="C11" s="32">
        <f>GSD!F11</f>
        <v>13.5</v>
      </c>
      <c r="D11" s="31" t="str">
        <f>GSD!E11</f>
        <v>SPT</v>
      </c>
      <c r="E11" s="32">
        <v>27</v>
      </c>
      <c r="F11" s="33">
        <f t="shared" si="0"/>
        <v>8.5594212700000009E-3</v>
      </c>
      <c r="G11" s="34"/>
      <c r="H11" s="31">
        <v>5.0000000000000001E-4</v>
      </c>
      <c r="I11" s="31"/>
      <c r="J11" s="31"/>
      <c r="K11" s="32">
        <f t="shared" si="1"/>
        <v>0</v>
      </c>
      <c r="L11" s="31">
        <v>0.3</v>
      </c>
      <c r="M11" s="34"/>
      <c r="N11" s="34"/>
      <c r="O11" s="34"/>
      <c r="P11" s="34"/>
      <c r="Q11" s="34"/>
      <c r="R11" s="34"/>
      <c r="S11" s="34"/>
      <c r="T11" s="34"/>
      <c r="U11" s="34"/>
      <c r="V11" s="34"/>
      <c r="W11" s="34"/>
      <c r="X11" s="34"/>
      <c r="Y11" s="34"/>
      <c r="Z11" s="35"/>
      <c r="AA11" s="35"/>
      <c r="AB11" s="35"/>
      <c r="AC11" s="35"/>
      <c r="AD11" s="35"/>
      <c r="AE11" s="35"/>
      <c r="AF11" s="35"/>
      <c r="AG11" s="35"/>
      <c r="AH11" s="35"/>
      <c r="AI11" s="35"/>
      <c r="AJ11" s="35"/>
      <c r="AK11" s="35"/>
      <c r="AL11" s="35"/>
      <c r="AM11" s="32"/>
      <c r="AN11" s="32"/>
      <c r="AO11" s="32"/>
      <c r="AP11" s="32"/>
      <c r="AQ11" s="32"/>
      <c r="AR11" s="32"/>
      <c r="AS11" s="32"/>
      <c r="AT11" s="32"/>
      <c r="AU11" s="32"/>
      <c r="AV11" s="32"/>
      <c r="AW11" s="32"/>
      <c r="AX11" s="32"/>
      <c r="AY11" s="32"/>
      <c r="AZ11" s="36"/>
      <c r="BA11" s="36"/>
    </row>
    <row r="12" spans="1:53" x14ac:dyDescent="0.3">
      <c r="A12" s="31">
        <v>8</v>
      </c>
      <c r="B12" s="31" t="str">
        <f t="shared" si="2"/>
        <v>CBH-05</v>
      </c>
      <c r="C12" s="32">
        <f>GSD!F12</f>
        <v>14</v>
      </c>
      <c r="D12" s="31" t="str">
        <f>GSD!E12</f>
        <v>SPT</v>
      </c>
      <c r="E12" s="32">
        <v>27</v>
      </c>
      <c r="F12" s="33">
        <f t="shared" si="0"/>
        <v>8.5594212700000009E-3</v>
      </c>
      <c r="G12" s="34"/>
      <c r="H12" s="31">
        <v>5.0000000000000001E-4</v>
      </c>
      <c r="I12" s="31"/>
      <c r="J12" s="31"/>
      <c r="K12" s="32">
        <f t="shared" si="1"/>
        <v>0</v>
      </c>
      <c r="L12" s="31">
        <v>0.3</v>
      </c>
      <c r="M12" s="34"/>
      <c r="N12" s="34"/>
      <c r="O12" s="34"/>
      <c r="P12" s="34"/>
      <c r="Q12" s="34"/>
      <c r="R12" s="34"/>
      <c r="S12" s="34"/>
      <c r="T12" s="34"/>
      <c r="U12" s="34"/>
      <c r="V12" s="34"/>
      <c r="W12" s="34"/>
      <c r="X12" s="34"/>
      <c r="Y12" s="34"/>
      <c r="Z12" s="35"/>
      <c r="AA12" s="35"/>
      <c r="AB12" s="35"/>
      <c r="AC12" s="35"/>
      <c r="AD12" s="35"/>
      <c r="AE12" s="35"/>
      <c r="AF12" s="35"/>
      <c r="AG12" s="35"/>
      <c r="AH12" s="35"/>
      <c r="AI12" s="35"/>
      <c r="AJ12" s="35"/>
      <c r="AK12" s="35"/>
      <c r="AL12" s="35"/>
      <c r="AM12" s="32"/>
      <c r="AN12" s="32"/>
      <c r="AO12" s="32"/>
      <c r="AP12" s="32"/>
      <c r="AQ12" s="32"/>
      <c r="AR12" s="32"/>
      <c r="AS12" s="32"/>
      <c r="AT12" s="32"/>
      <c r="AU12" s="32"/>
      <c r="AV12" s="32"/>
      <c r="AW12" s="32"/>
      <c r="AX12" s="32"/>
      <c r="AY12" s="32"/>
      <c r="AZ12" s="36"/>
      <c r="BA12" s="36"/>
    </row>
    <row r="13" spans="1:53" x14ac:dyDescent="0.3">
      <c r="A13" s="31">
        <v>9</v>
      </c>
      <c r="B13" s="31" t="str">
        <f t="shared" si="2"/>
        <v>CBH-05</v>
      </c>
      <c r="C13" s="32">
        <f>GSD!F13</f>
        <v>0</v>
      </c>
      <c r="D13" s="31">
        <f>GSD!E13</f>
        <v>0</v>
      </c>
      <c r="E13" s="32">
        <v>27</v>
      </c>
      <c r="F13" s="33">
        <f t="shared" si="0"/>
        <v>8.5594212700000009E-3</v>
      </c>
      <c r="G13" s="34"/>
      <c r="H13" s="31">
        <v>5.0000000000000001E-4</v>
      </c>
      <c r="I13" s="31"/>
      <c r="J13" s="31"/>
      <c r="K13" s="32">
        <f t="shared" si="1"/>
        <v>0</v>
      </c>
      <c r="L13" s="31">
        <v>0.3</v>
      </c>
      <c r="M13" s="34"/>
      <c r="N13" s="34"/>
      <c r="O13" s="34"/>
      <c r="P13" s="34"/>
      <c r="Q13" s="34"/>
      <c r="R13" s="34"/>
      <c r="S13" s="34"/>
      <c r="T13" s="34"/>
      <c r="U13" s="34"/>
      <c r="V13" s="34"/>
      <c r="W13" s="34"/>
      <c r="X13" s="34"/>
      <c r="Y13" s="34"/>
      <c r="Z13" s="35"/>
      <c r="AA13" s="35"/>
      <c r="AB13" s="35"/>
      <c r="AC13" s="35"/>
      <c r="AD13" s="35"/>
      <c r="AE13" s="35"/>
      <c r="AF13" s="35"/>
      <c r="AG13" s="35"/>
      <c r="AH13" s="35"/>
      <c r="AI13" s="35"/>
      <c r="AJ13" s="35"/>
      <c r="AK13" s="35"/>
      <c r="AL13" s="35"/>
      <c r="AM13" s="32"/>
      <c r="AN13" s="32"/>
      <c r="AO13" s="32"/>
      <c r="AP13" s="32"/>
      <c r="AQ13" s="32"/>
      <c r="AR13" s="32"/>
      <c r="AS13" s="32"/>
      <c r="AT13" s="32"/>
      <c r="AU13" s="32"/>
      <c r="AV13" s="32"/>
      <c r="AW13" s="32"/>
      <c r="AX13" s="32"/>
      <c r="AY13" s="32"/>
      <c r="AZ13" s="36"/>
      <c r="BA13" s="36"/>
    </row>
    <row r="14" spans="1:53" x14ac:dyDescent="0.3">
      <c r="A14" s="31">
        <v>10</v>
      </c>
      <c r="B14" s="31" t="str">
        <f t="shared" si="2"/>
        <v>CBH-05</v>
      </c>
      <c r="C14" s="32" t="e">
        <f>GSD!#REF!</f>
        <v>#REF!</v>
      </c>
      <c r="D14" s="31" t="e">
        <f>GSD!#REF!</f>
        <v>#REF!</v>
      </c>
      <c r="E14" s="32">
        <v>27</v>
      </c>
      <c r="F14" s="33">
        <f t="shared" si="0"/>
        <v>8.5594212700000009E-3</v>
      </c>
      <c r="G14" s="34"/>
      <c r="H14" s="31">
        <v>5.0000000000000001E-4</v>
      </c>
      <c r="I14" s="31"/>
      <c r="J14" s="31"/>
      <c r="K14" s="32">
        <f t="shared" si="1"/>
        <v>0</v>
      </c>
      <c r="L14" s="31">
        <v>0.3</v>
      </c>
      <c r="M14" s="34"/>
      <c r="N14" s="34"/>
      <c r="O14" s="34"/>
      <c r="P14" s="34"/>
      <c r="Q14" s="34"/>
      <c r="R14" s="34"/>
      <c r="S14" s="34"/>
      <c r="T14" s="34"/>
      <c r="U14" s="34"/>
      <c r="V14" s="34"/>
      <c r="W14" s="34"/>
      <c r="X14" s="34"/>
      <c r="Y14" s="34"/>
      <c r="Z14" s="35"/>
      <c r="AA14" s="35"/>
      <c r="AB14" s="35"/>
      <c r="AC14" s="35"/>
      <c r="AD14" s="35"/>
      <c r="AE14" s="35"/>
      <c r="AF14" s="35"/>
      <c r="AG14" s="35"/>
      <c r="AH14" s="35"/>
      <c r="AI14" s="35"/>
      <c r="AJ14" s="35"/>
      <c r="AK14" s="35"/>
      <c r="AL14" s="35"/>
      <c r="AM14" s="32"/>
      <c r="AN14" s="32"/>
      <c r="AO14" s="32"/>
      <c r="AP14" s="32"/>
      <c r="AQ14" s="32"/>
      <c r="AR14" s="32"/>
      <c r="AS14" s="32"/>
      <c r="AT14" s="32"/>
      <c r="AU14" s="32"/>
      <c r="AV14" s="32"/>
      <c r="AW14" s="32"/>
      <c r="AX14" s="32"/>
      <c r="AY14" s="32"/>
      <c r="AZ14" s="36"/>
      <c r="BA14" s="36"/>
    </row>
    <row r="15" spans="1:53" x14ac:dyDescent="0.3">
      <c r="A15" s="31">
        <v>11</v>
      </c>
      <c r="B15" s="31" t="str">
        <f t="shared" si="2"/>
        <v>CBH-05</v>
      </c>
      <c r="C15" s="32" t="e">
        <f>GSD!#REF!</f>
        <v>#REF!</v>
      </c>
      <c r="D15" s="31" t="e">
        <f>GSD!#REF!</f>
        <v>#REF!</v>
      </c>
      <c r="E15" s="32">
        <v>27</v>
      </c>
      <c r="F15" s="33">
        <f t="shared" si="0"/>
        <v>8.5594212700000009E-3</v>
      </c>
      <c r="G15" s="34"/>
      <c r="H15" s="31">
        <v>5.0000000000000001E-4</v>
      </c>
      <c r="I15" s="31"/>
      <c r="J15" s="31"/>
      <c r="K15" s="32">
        <f t="shared" si="1"/>
        <v>0</v>
      </c>
      <c r="L15" s="31">
        <v>0.3</v>
      </c>
      <c r="M15" s="34"/>
      <c r="N15" s="34"/>
      <c r="O15" s="34"/>
      <c r="P15" s="34"/>
      <c r="Q15" s="34"/>
      <c r="R15" s="34"/>
      <c r="S15" s="34"/>
      <c r="T15" s="34"/>
      <c r="U15" s="34"/>
      <c r="V15" s="34"/>
      <c r="W15" s="34"/>
      <c r="X15" s="34"/>
      <c r="Y15" s="34"/>
      <c r="Z15" s="35"/>
      <c r="AA15" s="35"/>
      <c r="AB15" s="35"/>
      <c r="AC15" s="35"/>
      <c r="AD15" s="35"/>
      <c r="AE15" s="35"/>
      <c r="AF15" s="35"/>
      <c r="AG15" s="35"/>
      <c r="AH15" s="35"/>
      <c r="AI15" s="35"/>
      <c r="AJ15" s="35"/>
      <c r="AK15" s="35"/>
      <c r="AL15" s="35"/>
      <c r="AM15" s="32"/>
      <c r="AN15" s="32"/>
      <c r="AO15" s="32"/>
      <c r="AP15" s="32"/>
      <c r="AQ15" s="32"/>
      <c r="AR15" s="32"/>
      <c r="AS15" s="32"/>
      <c r="AT15" s="32"/>
      <c r="AU15" s="32"/>
      <c r="AV15" s="32"/>
      <c r="AW15" s="32"/>
      <c r="AX15" s="32"/>
      <c r="AY15" s="32"/>
      <c r="AZ15" s="36"/>
      <c r="BA15" s="36"/>
    </row>
    <row r="16" spans="1:53" x14ac:dyDescent="0.3">
      <c r="A16" s="31">
        <v>12</v>
      </c>
      <c r="B16" s="31" t="str">
        <f t="shared" si="2"/>
        <v>CBH-05</v>
      </c>
      <c r="C16" s="32" t="e">
        <f>GSD!#REF!</f>
        <v>#REF!</v>
      </c>
      <c r="D16" s="31" t="e">
        <f>GSD!#REF!</f>
        <v>#REF!</v>
      </c>
      <c r="E16" s="32">
        <v>27</v>
      </c>
      <c r="F16" s="33">
        <f t="shared" si="0"/>
        <v>8.5594212700000009E-3</v>
      </c>
      <c r="G16" s="34"/>
      <c r="H16" s="31">
        <v>5.0000000000000001E-4</v>
      </c>
      <c r="I16" s="31"/>
      <c r="J16" s="31"/>
      <c r="K16" s="32">
        <f t="shared" si="1"/>
        <v>0</v>
      </c>
      <c r="L16" s="31">
        <v>0.3</v>
      </c>
      <c r="M16" s="34"/>
      <c r="N16" s="34"/>
      <c r="O16" s="34"/>
      <c r="P16" s="34"/>
      <c r="Q16" s="34"/>
      <c r="R16" s="34"/>
      <c r="S16" s="34"/>
      <c r="T16" s="34"/>
      <c r="U16" s="34"/>
      <c r="V16" s="34"/>
      <c r="W16" s="34"/>
      <c r="X16" s="34"/>
      <c r="Y16" s="34"/>
      <c r="Z16" s="35"/>
      <c r="AA16" s="35"/>
      <c r="AB16" s="35"/>
      <c r="AC16" s="35"/>
      <c r="AD16" s="35"/>
      <c r="AE16" s="35"/>
      <c r="AF16" s="35"/>
      <c r="AG16" s="35"/>
      <c r="AH16" s="35"/>
      <c r="AI16" s="35"/>
      <c r="AJ16" s="35"/>
      <c r="AK16" s="35"/>
      <c r="AL16" s="35"/>
      <c r="AM16" s="32"/>
      <c r="AN16" s="32"/>
      <c r="AO16" s="32"/>
      <c r="AP16" s="32"/>
      <c r="AQ16" s="32"/>
      <c r="AR16" s="32"/>
      <c r="AS16" s="32"/>
      <c r="AT16" s="32"/>
      <c r="AU16" s="32"/>
      <c r="AV16" s="32"/>
      <c r="AW16" s="32"/>
      <c r="AX16" s="32"/>
      <c r="AY16" s="32"/>
      <c r="AZ16" s="36"/>
      <c r="BA16" s="36"/>
    </row>
    <row r="17" spans="1:53" x14ac:dyDescent="0.3">
      <c r="A17" s="31">
        <v>13</v>
      </c>
      <c r="B17" s="31" t="str">
        <f t="shared" si="2"/>
        <v>CBH-05</v>
      </c>
      <c r="C17" s="32" t="e">
        <f>GSD!#REF!</f>
        <v>#REF!</v>
      </c>
      <c r="D17" s="31" t="e">
        <f>GSD!#REF!</f>
        <v>#REF!</v>
      </c>
      <c r="E17" s="32">
        <v>27</v>
      </c>
      <c r="F17" s="33">
        <f t="shared" ref="F17:F22" si="3">(0.000000002615*E17^4) - (0.00000030607*E17^3) + (0.000016427499*E17^2) - (0.000618546309*E17) + 0.017919182437</f>
        <v>8.5594212700000009E-3</v>
      </c>
      <c r="G17" s="34"/>
      <c r="H17" s="31">
        <v>5.0000000000000001E-4</v>
      </c>
      <c r="I17" s="31"/>
      <c r="J17" s="31"/>
      <c r="K17" s="32">
        <f t="shared" ref="K17:K22" si="4">(E17-27)*0.25</f>
        <v>0</v>
      </c>
      <c r="L17" s="31">
        <v>0.3</v>
      </c>
      <c r="M17" s="34"/>
      <c r="N17" s="34"/>
      <c r="O17" s="34"/>
      <c r="P17" s="34"/>
      <c r="Q17" s="34"/>
      <c r="R17" s="34"/>
      <c r="S17" s="34"/>
      <c r="T17" s="34"/>
      <c r="U17" s="34"/>
      <c r="V17" s="34"/>
      <c r="W17" s="34"/>
      <c r="X17" s="34"/>
      <c r="Y17" s="34"/>
      <c r="Z17" s="35"/>
      <c r="AA17" s="35"/>
      <c r="AB17" s="35"/>
      <c r="AC17" s="35"/>
      <c r="AD17" s="35"/>
      <c r="AE17" s="35"/>
      <c r="AF17" s="35"/>
      <c r="AG17" s="35"/>
      <c r="AH17" s="35"/>
      <c r="AI17" s="35"/>
      <c r="AJ17" s="35"/>
      <c r="AK17" s="35"/>
      <c r="AL17" s="35"/>
      <c r="AM17" s="32"/>
      <c r="AN17" s="32"/>
      <c r="AO17" s="32"/>
      <c r="AP17" s="32"/>
      <c r="AQ17" s="32"/>
      <c r="AR17" s="32"/>
      <c r="AS17" s="32"/>
      <c r="AT17" s="32"/>
      <c r="AU17" s="32"/>
      <c r="AV17" s="32"/>
      <c r="AW17" s="32"/>
      <c r="AX17" s="32"/>
      <c r="AY17" s="32"/>
      <c r="AZ17" s="36"/>
      <c r="BA17" s="36"/>
    </row>
    <row r="18" spans="1:53" x14ac:dyDescent="0.3">
      <c r="A18" s="31">
        <v>14</v>
      </c>
      <c r="B18" s="31" t="str">
        <f t="shared" si="2"/>
        <v>CBH-05</v>
      </c>
      <c r="C18" s="32" t="e">
        <f>GSD!#REF!</f>
        <v>#REF!</v>
      </c>
      <c r="D18" s="31" t="e">
        <f>GSD!#REF!</f>
        <v>#REF!</v>
      </c>
      <c r="E18" s="32">
        <v>27</v>
      </c>
      <c r="F18" s="33">
        <f t="shared" si="3"/>
        <v>8.5594212700000009E-3</v>
      </c>
      <c r="G18" s="34"/>
      <c r="H18" s="31">
        <v>5.0000000000000001E-4</v>
      </c>
      <c r="I18" s="31"/>
      <c r="J18" s="31"/>
      <c r="K18" s="32">
        <f t="shared" si="4"/>
        <v>0</v>
      </c>
      <c r="L18" s="31">
        <v>0.3</v>
      </c>
      <c r="M18" s="34"/>
      <c r="N18" s="34"/>
      <c r="O18" s="34"/>
      <c r="P18" s="34"/>
      <c r="Q18" s="34"/>
      <c r="R18" s="34"/>
      <c r="S18" s="34"/>
      <c r="T18" s="34"/>
      <c r="U18" s="34"/>
      <c r="V18" s="34"/>
      <c r="W18" s="34"/>
      <c r="X18" s="34"/>
      <c r="Y18" s="34"/>
      <c r="Z18" s="35"/>
      <c r="AA18" s="35"/>
      <c r="AB18" s="35"/>
      <c r="AC18" s="35"/>
      <c r="AD18" s="35"/>
      <c r="AE18" s="35"/>
      <c r="AF18" s="35"/>
      <c r="AG18" s="35"/>
      <c r="AH18" s="35"/>
      <c r="AI18" s="35"/>
      <c r="AJ18" s="35"/>
      <c r="AK18" s="35"/>
      <c r="AL18" s="35"/>
      <c r="AM18" s="32"/>
      <c r="AN18" s="32"/>
      <c r="AO18" s="32"/>
      <c r="AP18" s="32"/>
      <c r="AQ18" s="32"/>
      <c r="AR18" s="32"/>
      <c r="AS18" s="32"/>
      <c r="AT18" s="32"/>
      <c r="AU18" s="32"/>
      <c r="AV18" s="32"/>
      <c r="AW18" s="32"/>
      <c r="AX18" s="32"/>
      <c r="AY18" s="32"/>
      <c r="AZ18" s="36"/>
      <c r="BA18" s="36"/>
    </row>
    <row r="19" spans="1:53" x14ac:dyDescent="0.3">
      <c r="A19" s="31">
        <v>15</v>
      </c>
      <c r="B19" s="31" t="str">
        <f t="shared" si="2"/>
        <v>CBH-05</v>
      </c>
      <c r="C19" s="32" t="e">
        <f>GSD!#REF!</f>
        <v>#REF!</v>
      </c>
      <c r="D19" s="31" t="e">
        <f>GSD!#REF!</f>
        <v>#REF!</v>
      </c>
      <c r="E19" s="32">
        <v>27</v>
      </c>
      <c r="F19" s="33">
        <f t="shared" si="3"/>
        <v>8.5594212700000009E-3</v>
      </c>
      <c r="G19" s="34"/>
      <c r="H19" s="31">
        <v>5.0000000000000001E-4</v>
      </c>
      <c r="I19" s="31"/>
      <c r="J19" s="31"/>
      <c r="K19" s="32">
        <f t="shared" si="4"/>
        <v>0</v>
      </c>
      <c r="L19" s="31">
        <v>0.3</v>
      </c>
      <c r="M19" s="34"/>
      <c r="N19" s="34"/>
      <c r="O19" s="34"/>
      <c r="P19" s="34"/>
      <c r="Q19" s="34"/>
      <c r="R19" s="34"/>
      <c r="S19" s="34"/>
      <c r="T19" s="34"/>
      <c r="U19" s="34"/>
      <c r="V19" s="34"/>
      <c r="W19" s="34"/>
      <c r="X19" s="34"/>
      <c r="Y19" s="34"/>
      <c r="Z19" s="35"/>
      <c r="AA19" s="35"/>
      <c r="AB19" s="35"/>
      <c r="AC19" s="35"/>
      <c r="AD19" s="35"/>
      <c r="AE19" s="35"/>
      <c r="AF19" s="35"/>
      <c r="AG19" s="35"/>
      <c r="AH19" s="35"/>
      <c r="AI19" s="35"/>
      <c r="AJ19" s="35"/>
      <c r="AK19" s="35"/>
      <c r="AL19" s="35"/>
      <c r="AM19" s="32"/>
      <c r="AN19" s="32"/>
      <c r="AO19" s="32"/>
      <c r="AP19" s="32"/>
      <c r="AQ19" s="32"/>
      <c r="AR19" s="32"/>
      <c r="AS19" s="32"/>
      <c r="AT19" s="32"/>
      <c r="AU19" s="32"/>
      <c r="AV19" s="32"/>
      <c r="AW19" s="32"/>
      <c r="AX19" s="32"/>
      <c r="AY19" s="32"/>
      <c r="AZ19" s="36"/>
      <c r="BA19" s="36"/>
    </row>
    <row r="20" spans="1:53" x14ac:dyDescent="0.3">
      <c r="A20" s="31">
        <v>16</v>
      </c>
      <c r="B20" s="31" t="str">
        <f t="shared" si="2"/>
        <v>CBH-05</v>
      </c>
      <c r="C20" s="32" t="e">
        <f>GSD!#REF!</f>
        <v>#REF!</v>
      </c>
      <c r="D20" s="31" t="e">
        <f>GSD!#REF!</f>
        <v>#REF!</v>
      </c>
      <c r="E20" s="32">
        <v>27</v>
      </c>
      <c r="F20" s="33">
        <f t="shared" si="3"/>
        <v>8.5594212700000009E-3</v>
      </c>
      <c r="G20" s="34"/>
      <c r="H20" s="31">
        <v>5.0000000000000001E-4</v>
      </c>
      <c r="I20" s="31"/>
      <c r="J20" s="31"/>
      <c r="K20" s="32">
        <f t="shared" si="4"/>
        <v>0</v>
      </c>
      <c r="L20" s="31">
        <v>0.3</v>
      </c>
      <c r="M20" s="34"/>
      <c r="N20" s="34"/>
      <c r="O20" s="34"/>
      <c r="P20" s="34"/>
      <c r="Q20" s="34"/>
      <c r="R20" s="34"/>
      <c r="S20" s="34"/>
      <c r="T20" s="34"/>
      <c r="U20" s="34"/>
      <c r="V20" s="34"/>
      <c r="W20" s="34"/>
      <c r="X20" s="34"/>
      <c r="Y20" s="34"/>
      <c r="Z20" s="35"/>
      <c r="AA20" s="35"/>
      <c r="AB20" s="35"/>
      <c r="AC20" s="35"/>
      <c r="AD20" s="35"/>
      <c r="AE20" s="35"/>
      <c r="AF20" s="35"/>
      <c r="AG20" s="35"/>
      <c r="AH20" s="35"/>
      <c r="AI20" s="35"/>
      <c r="AJ20" s="35"/>
      <c r="AK20" s="35"/>
      <c r="AL20" s="35"/>
      <c r="AM20" s="32"/>
      <c r="AN20" s="32"/>
      <c r="AO20" s="32"/>
      <c r="AP20" s="32"/>
      <c r="AQ20" s="32"/>
      <c r="AR20" s="32"/>
      <c r="AS20" s="32"/>
      <c r="AT20" s="32"/>
      <c r="AU20" s="32"/>
      <c r="AV20" s="32"/>
      <c r="AW20" s="32"/>
      <c r="AX20" s="32"/>
      <c r="AY20" s="32"/>
      <c r="AZ20" s="36"/>
      <c r="BA20" s="36"/>
    </row>
    <row r="21" spans="1:53" x14ac:dyDescent="0.3">
      <c r="A21" s="31">
        <v>17</v>
      </c>
      <c r="B21" s="31" t="str">
        <f t="shared" si="2"/>
        <v>CBH-05</v>
      </c>
      <c r="C21" s="32" t="e">
        <f>GSD!#REF!</f>
        <v>#REF!</v>
      </c>
      <c r="D21" s="31" t="e">
        <f>GSD!#REF!</f>
        <v>#REF!</v>
      </c>
      <c r="E21" s="32">
        <v>27</v>
      </c>
      <c r="F21" s="33">
        <f t="shared" si="3"/>
        <v>8.5594212700000009E-3</v>
      </c>
      <c r="G21" s="34"/>
      <c r="H21" s="31">
        <v>5.0000000000000001E-4</v>
      </c>
      <c r="I21" s="31"/>
      <c r="J21" s="31"/>
      <c r="K21" s="32">
        <f t="shared" si="4"/>
        <v>0</v>
      </c>
      <c r="L21" s="31">
        <v>0.3</v>
      </c>
      <c r="M21" s="34"/>
      <c r="N21" s="34"/>
      <c r="O21" s="34"/>
      <c r="P21" s="34"/>
      <c r="Q21" s="34"/>
      <c r="R21" s="34"/>
      <c r="S21" s="34"/>
      <c r="T21" s="34"/>
      <c r="U21" s="34"/>
      <c r="V21" s="34"/>
      <c r="W21" s="34"/>
      <c r="X21" s="34"/>
      <c r="Y21" s="34"/>
      <c r="Z21" s="35"/>
      <c r="AA21" s="35"/>
      <c r="AB21" s="35"/>
      <c r="AC21" s="35"/>
      <c r="AD21" s="35"/>
      <c r="AE21" s="35"/>
      <c r="AF21" s="35"/>
      <c r="AG21" s="35"/>
      <c r="AH21" s="35"/>
      <c r="AI21" s="35"/>
      <c r="AJ21" s="35"/>
      <c r="AK21" s="35"/>
      <c r="AL21" s="35"/>
      <c r="AM21" s="32"/>
      <c r="AN21" s="32"/>
      <c r="AO21" s="32"/>
      <c r="AP21" s="32"/>
      <c r="AQ21" s="32"/>
      <c r="AR21" s="32"/>
      <c r="AS21" s="32"/>
      <c r="AT21" s="32"/>
      <c r="AU21" s="32"/>
      <c r="AV21" s="32"/>
      <c r="AW21" s="32"/>
      <c r="AX21" s="32"/>
      <c r="AY21" s="32"/>
      <c r="AZ21" s="36"/>
      <c r="BA21" s="36"/>
    </row>
    <row r="22" spans="1:53" x14ac:dyDescent="0.3">
      <c r="A22" s="31">
        <v>18</v>
      </c>
      <c r="B22" s="31" t="str">
        <f t="shared" si="2"/>
        <v>CBH-05</v>
      </c>
      <c r="C22" s="32" t="e">
        <f>GSD!#REF!</f>
        <v>#REF!</v>
      </c>
      <c r="D22" s="31" t="e">
        <f>GSD!#REF!</f>
        <v>#REF!</v>
      </c>
      <c r="E22" s="32">
        <v>27</v>
      </c>
      <c r="F22" s="33">
        <f t="shared" si="3"/>
        <v>8.5594212700000009E-3</v>
      </c>
      <c r="G22" s="34"/>
      <c r="H22" s="31">
        <v>5.0000000000000001E-4</v>
      </c>
      <c r="I22" s="31"/>
      <c r="J22" s="31"/>
      <c r="K22" s="32">
        <f t="shared" si="4"/>
        <v>0</v>
      </c>
      <c r="L22" s="31">
        <v>0.3</v>
      </c>
      <c r="M22" s="34"/>
      <c r="N22" s="34"/>
      <c r="O22" s="34"/>
      <c r="P22" s="34"/>
      <c r="Q22" s="34"/>
      <c r="R22" s="34"/>
      <c r="S22" s="34"/>
      <c r="T22" s="34"/>
      <c r="U22" s="34"/>
      <c r="V22" s="34"/>
      <c r="W22" s="34"/>
      <c r="X22" s="34"/>
      <c r="Y22" s="34"/>
      <c r="Z22" s="35"/>
      <c r="AA22" s="35"/>
      <c r="AB22" s="35"/>
      <c r="AC22" s="35"/>
      <c r="AD22" s="35"/>
      <c r="AE22" s="35"/>
      <c r="AF22" s="35"/>
      <c r="AG22" s="35"/>
      <c r="AH22" s="35"/>
      <c r="AI22" s="35"/>
      <c r="AJ22" s="35"/>
      <c r="AK22" s="35"/>
      <c r="AL22" s="35"/>
      <c r="AM22" s="32"/>
      <c r="AN22" s="32"/>
      <c r="AO22" s="32"/>
      <c r="AP22" s="32"/>
      <c r="AQ22" s="32"/>
      <c r="AR22" s="32"/>
      <c r="AS22" s="32"/>
      <c r="AT22" s="32"/>
      <c r="AU22" s="32"/>
      <c r="AV22" s="32"/>
      <c r="AW22" s="32"/>
      <c r="AX22" s="32"/>
      <c r="AY22" s="32"/>
      <c r="AZ22" s="36"/>
      <c r="BA22" s="36"/>
    </row>
    <row r="23" spans="1:53" x14ac:dyDescent="0.3">
      <c r="A23" s="31">
        <v>19</v>
      </c>
      <c r="B23" s="31" t="str">
        <f t="shared" si="2"/>
        <v>CBH-05</v>
      </c>
      <c r="C23" s="32" t="e">
        <f>GSD!#REF!</f>
        <v>#REF!</v>
      </c>
      <c r="D23" s="31" t="e">
        <f>GSD!#REF!</f>
        <v>#REF!</v>
      </c>
      <c r="E23" s="32">
        <v>27</v>
      </c>
      <c r="F23" s="33">
        <f t="shared" ref="F23" si="5">(0.000000002615*E23^4) - (0.00000030607*E23^3) + (0.000016427499*E23^2) - (0.000618546309*E23) + 0.017919182437</f>
        <v>8.5594212700000009E-3</v>
      </c>
      <c r="G23" s="34"/>
      <c r="H23" s="31">
        <v>5.0000000000000001E-4</v>
      </c>
      <c r="I23" s="31"/>
      <c r="J23" s="31"/>
      <c r="K23" s="32">
        <f t="shared" ref="K23" si="6">(E23-27)*0.25</f>
        <v>0</v>
      </c>
      <c r="L23" s="31">
        <v>0.3</v>
      </c>
      <c r="M23" s="34"/>
      <c r="N23" s="34"/>
      <c r="O23" s="34"/>
      <c r="P23" s="34"/>
      <c r="Q23" s="34"/>
      <c r="R23" s="34"/>
      <c r="S23" s="34"/>
      <c r="T23" s="34"/>
      <c r="U23" s="34"/>
      <c r="V23" s="34"/>
      <c r="W23" s="34"/>
      <c r="X23" s="34"/>
      <c r="Y23" s="34"/>
      <c r="Z23" s="35"/>
      <c r="AA23" s="35"/>
      <c r="AB23" s="35"/>
      <c r="AC23" s="35"/>
      <c r="AD23" s="35"/>
      <c r="AE23" s="35"/>
      <c r="AF23" s="35"/>
      <c r="AG23" s="35"/>
      <c r="AH23" s="35"/>
      <c r="AI23" s="35"/>
      <c r="AJ23" s="35"/>
      <c r="AK23" s="35"/>
      <c r="AL23" s="35"/>
      <c r="AM23" s="32"/>
      <c r="AN23" s="32"/>
      <c r="AO23" s="32"/>
      <c r="AP23" s="32"/>
      <c r="AQ23" s="32"/>
      <c r="AR23" s="32"/>
      <c r="AS23" s="32"/>
      <c r="AT23" s="32"/>
      <c r="AU23" s="32"/>
      <c r="AV23" s="32"/>
      <c r="AW23" s="32"/>
      <c r="AX23" s="32"/>
      <c r="AY23" s="32"/>
      <c r="AZ23" s="36"/>
      <c r="BA23" s="36"/>
    </row>
    <row r="24" spans="1:53" x14ac:dyDescent="0.3">
      <c r="A24" s="31">
        <v>20</v>
      </c>
      <c r="B24" s="31" t="str">
        <f t="shared" si="2"/>
        <v>CBH-05</v>
      </c>
      <c r="C24" s="32" t="e">
        <f>GSD!#REF!</f>
        <v>#REF!</v>
      </c>
      <c r="D24" s="31" t="e">
        <f>GSD!#REF!</f>
        <v>#REF!</v>
      </c>
      <c r="E24" s="32">
        <v>28</v>
      </c>
      <c r="F24" s="33">
        <f t="shared" ref="F24:F25" si="7">(0.000000002615*E24^4) - (0.00000030607*E24^3) + (0.000016427499*E24^2) - (0.000618546309*E24) + 0.017919182437</f>
        <v>8.367521801E-3</v>
      </c>
      <c r="G24" s="34"/>
      <c r="H24" s="31">
        <v>5.0000000000000001E-4</v>
      </c>
      <c r="I24" s="31"/>
      <c r="J24" s="31"/>
      <c r="K24" s="32">
        <f t="shared" ref="K24:K25" si="8">(E24-27)*0.25</f>
        <v>0.25</v>
      </c>
      <c r="L24" s="31">
        <v>0.3</v>
      </c>
      <c r="M24" s="34"/>
      <c r="N24" s="34"/>
      <c r="O24" s="34"/>
      <c r="P24" s="34"/>
      <c r="Q24" s="34"/>
      <c r="R24" s="34"/>
      <c r="S24" s="34"/>
      <c r="T24" s="34"/>
      <c r="U24" s="34"/>
      <c r="V24" s="34"/>
      <c r="W24" s="34"/>
      <c r="X24" s="34"/>
      <c r="Y24" s="34"/>
      <c r="Z24" s="35"/>
      <c r="AA24" s="35"/>
      <c r="AB24" s="35"/>
      <c r="AC24" s="35"/>
      <c r="AD24" s="35"/>
      <c r="AE24" s="35"/>
      <c r="AF24" s="35"/>
      <c r="AG24" s="35"/>
      <c r="AH24" s="35"/>
      <c r="AI24" s="35"/>
      <c r="AJ24" s="35"/>
      <c r="AK24" s="35"/>
      <c r="AL24" s="35"/>
      <c r="AM24" s="32"/>
      <c r="AN24" s="32"/>
      <c r="AO24" s="32"/>
      <c r="AP24" s="32"/>
      <c r="AQ24" s="32"/>
      <c r="AR24" s="32"/>
      <c r="AS24" s="32"/>
      <c r="AT24" s="32"/>
      <c r="AU24" s="32"/>
      <c r="AV24" s="32"/>
      <c r="AW24" s="32"/>
      <c r="AX24" s="32"/>
      <c r="AY24" s="32"/>
    </row>
    <row r="25" spans="1:53" x14ac:dyDescent="0.3">
      <c r="A25" s="31">
        <v>21</v>
      </c>
      <c r="B25" s="31" t="str">
        <f t="shared" si="2"/>
        <v>CBH-05</v>
      </c>
      <c r="C25" s="32" t="e">
        <f>GSD!#REF!</f>
        <v>#REF!</v>
      </c>
      <c r="D25" s="31" t="e">
        <f>GSD!#REF!</f>
        <v>#REF!</v>
      </c>
      <c r="E25" s="32">
        <v>29</v>
      </c>
      <c r="F25" s="33">
        <f t="shared" si="7"/>
        <v>8.1816647199999988E-3</v>
      </c>
      <c r="G25" s="34"/>
      <c r="H25" s="31">
        <v>5.0000000000000001E-4</v>
      </c>
      <c r="I25" s="31"/>
      <c r="J25" s="31"/>
      <c r="K25" s="32">
        <f t="shared" si="8"/>
        <v>0.5</v>
      </c>
      <c r="L25" s="31">
        <v>0.3</v>
      </c>
      <c r="M25" s="34"/>
      <c r="N25" s="34"/>
      <c r="O25" s="34"/>
      <c r="P25" s="34"/>
      <c r="Q25" s="34"/>
      <c r="R25" s="34"/>
      <c r="S25" s="34"/>
      <c r="T25" s="34"/>
      <c r="U25" s="34"/>
      <c r="V25" s="34"/>
      <c r="W25" s="34"/>
      <c r="X25" s="34"/>
      <c r="Y25" s="34"/>
      <c r="Z25" s="35"/>
      <c r="AA25" s="35"/>
      <c r="AB25" s="35"/>
      <c r="AC25" s="35"/>
      <c r="AD25" s="35"/>
      <c r="AE25" s="35"/>
      <c r="AF25" s="35"/>
      <c r="AG25" s="35"/>
      <c r="AH25" s="35"/>
      <c r="AI25" s="35"/>
      <c r="AJ25" s="35"/>
      <c r="AK25" s="35"/>
      <c r="AL25" s="35"/>
      <c r="AM25" s="32"/>
      <c r="AN25" s="32"/>
      <c r="AO25" s="32"/>
      <c r="AP25" s="32"/>
      <c r="AQ25" s="32"/>
      <c r="AR25" s="32"/>
      <c r="AS25" s="32"/>
      <c r="AT25" s="32"/>
      <c r="AU25" s="32"/>
      <c r="AV25" s="32"/>
      <c r="AW25" s="32"/>
      <c r="AX25" s="32"/>
      <c r="AY25" s="32"/>
    </row>
  </sheetData>
  <mergeCells count="57">
    <mergeCell ref="G1:G3"/>
    <mergeCell ref="F1:F3"/>
    <mergeCell ref="A1:A4"/>
    <mergeCell ref="B1:B4"/>
    <mergeCell ref="C1:C4"/>
    <mergeCell ref="D1:D3"/>
    <mergeCell ref="E1:E3"/>
    <mergeCell ref="R2:R3"/>
    <mergeCell ref="M1:Y1"/>
    <mergeCell ref="Z1:AL1"/>
    <mergeCell ref="AM1:AY1"/>
    <mergeCell ref="H1:H3"/>
    <mergeCell ref="I1:I3"/>
    <mergeCell ref="J1:J3"/>
    <mergeCell ref="K1:K3"/>
    <mergeCell ref="L1:L3"/>
    <mergeCell ref="M2:M3"/>
    <mergeCell ref="N2:N3"/>
    <mergeCell ref="O2:O3"/>
    <mergeCell ref="P2:P3"/>
    <mergeCell ref="Q2:Q3"/>
    <mergeCell ref="AD2:AD3"/>
    <mergeCell ref="S2:S3"/>
    <mergeCell ref="T2:T3"/>
    <mergeCell ref="U2:U3"/>
    <mergeCell ref="V2:V3"/>
    <mergeCell ref="W2:W3"/>
    <mergeCell ref="X2:X3"/>
    <mergeCell ref="Y2:Y3"/>
    <mergeCell ref="Z2:Z3"/>
    <mergeCell ref="AA2:AA3"/>
    <mergeCell ref="AB2:AB3"/>
    <mergeCell ref="AC2:AC3"/>
    <mergeCell ref="AO2:AO3"/>
    <mergeCell ref="AP2:AP3"/>
    <mergeCell ref="AE2:AE3"/>
    <mergeCell ref="AF2:AF3"/>
    <mergeCell ref="AG2:AG3"/>
    <mergeCell ref="AH2:AH3"/>
    <mergeCell ref="AI2:AI3"/>
    <mergeCell ref="AJ2:AJ3"/>
    <mergeCell ref="AW2:AW3"/>
    <mergeCell ref="AX2:AX3"/>
    <mergeCell ref="AY2:AY3"/>
    <mergeCell ref="M4:Y4"/>
    <mergeCell ref="Z4:AL4"/>
    <mergeCell ref="AM4:AY4"/>
    <mergeCell ref="AQ2:AQ3"/>
    <mergeCell ref="AR2:AR3"/>
    <mergeCell ref="AS2:AS3"/>
    <mergeCell ref="AT2:AT3"/>
    <mergeCell ref="AU2:AU3"/>
    <mergeCell ref="AV2:AV3"/>
    <mergeCell ref="AK2:AK3"/>
    <mergeCell ref="AL2:AL3"/>
    <mergeCell ref="AM2:AM3"/>
    <mergeCell ref="AN2:AN3"/>
  </mergeCells>
  <phoneticPr fontId="10" type="noConversion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71841E-BCF8-4344-B2A8-353238E3DF02}">
  <sheetPr codeName="Sheet1"/>
  <dimension ref="A1:F41"/>
  <sheetViews>
    <sheetView workbookViewId="0"/>
  </sheetViews>
  <sheetFormatPr defaultRowHeight="14.4" x14ac:dyDescent="0.3"/>
  <sheetData>
    <row r="1" spans="1:6" ht="28.8" x14ac:dyDescent="0.3">
      <c r="A1" s="17" t="s">
        <v>35</v>
      </c>
      <c r="B1" s="17" t="s">
        <v>36</v>
      </c>
      <c r="C1" s="17" t="s">
        <v>37</v>
      </c>
    </row>
    <row r="2" spans="1:6" x14ac:dyDescent="0.3">
      <c r="A2" s="16">
        <v>0</v>
      </c>
      <c r="B2" s="16">
        <v>17.940000000000001</v>
      </c>
      <c r="C2" s="16">
        <v>1.7940000000000001E-2</v>
      </c>
      <c r="D2" s="18">
        <f>-((10^-7)*(A2^3))+((10^-5)*(A2^2))-(0.0006*A2)+0.0178</f>
        <v>1.78E-2</v>
      </c>
      <c r="E2">
        <f>C2-D2</f>
        <v>1.4000000000000123E-4</v>
      </c>
      <c r="F2" s="19">
        <f>E2/D2</f>
        <v>7.8651685393259126E-3</v>
      </c>
    </row>
    <row r="3" spans="1:6" x14ac:dyDescent="0.3">
      <c r="A3" s="16">
        <v>1</v>
      </c>
      <c r="B3" s="16">
        <v>17.32</v>
      </c>
      <c r="C3" s="16">
        <v>1.7319999999999999E-2</v>
      </c>
      <c r="D3" s="18">
        <f t="shared" ref="D3:D41" si="0">-((10^-7)*(A3^3))+((10^-5)*(A3^2))-(0.0006*A3)+0.0178</f>
        <v>1.72099E-2</v>
      </c>
      <c r="E3">
        <f t="shared" ref="E3:E41" si="1">C3-D3</f>
        <v>1.1009999999999839E-4</v>
      </c>
      <c r="F3" s="19">
        <f t="shared" ref="F3:F41" si="2">E3/D3</f>
        <v>6.3974805199332012E-3</v>
      </c>
    </row>
    <row r="4" spans="1:6" x14ac:dyDescent="0.3">
      <c r="A4" s="16">
        <v>2</v>
      </c>
      <c r="B4" s="16">
        <v>16.739999999999998</v>
      </c>
      <c r="C4" s="16">
        <v>1.6740000000000001E-2</v>
      </c>
      <c r="D4" s="18">
        <f t="shared" si="0"/>
        <v>1.66392E-2</v>
      </c>
      <c r="E4">
        <f t="shared" si="1"/>
        <v>1.0080000000000158E-4</v>
      </c>
      <c r="F4" s="19">
        <f t="shared" si="2"/>
        <v>6.0579835569018695E-3</v>
      </c>
    </row>
    <row r="5" spans="1:6" x14ac:dyDescent="0.3">
      <c r="A5" s="16">
        <v>3</v>
      </c>
      <c r="B5" s="16">
        <v>16.190000000000001</v>
      </c>
      <c r="C5" s="16">
        <v>1.619E-2</v>
      </c>
      <c r="D5" s="18">
        <f t="shared" si="0"/>
        <v>1.6087299999999999E-2</v>
      </c>
      <c r="E5">
        <f t="shared" si="1"/>
        <v>1.0270000000000071E-4</v>
      </c>
      <c r="F5" s="19">
        <f t="shared" si="2"/>
        <v>6.3839177487832457E-3</v>
      </c>
    </row>
    <row r="6" spans="1:6" x14ac:dyDescent="0.3">
      <c r="A6" s="16">
        <v>4</v>
      </c>
      <c r="B6" s="16">
        <v>15.68</v>
      </c>
      <c r="C6" s="16">
        <v>1.5679999999999999E-2</v>
      </c>
      <c r="D6" s="18">
        <f t="shared" si="0"/>
        <v>1.5553600000000001E-2</v>
      </c>
      <c r="E6">
        <f t="shared" si="1"/>
        <v>1.2639999999999874E-4</v>
      </c>
      <c r="F6" s="19">
        <f t="shared" si="2"/>
        <v>8.1267359325171498E-3</v>
      </c>
    </row>
    <row r="7" spans="1:6" x14ac:dyDescent="0.3">
      <c r="A7" s="16">
        <v>5</v>
      </c>
      <c r="B7" s="16">
        <v>15.19</v>
      </c>
      <c r="C7" s="16">
        <v>1.519E-2</v>
      </c>
      <c r="D7" s="18">
        <f t="shared" si="0"/>
        <v>1.5037500000000001E-2</v>
      </c>
      <c r="E7">
        <f t="shared" si="1"/>
        <v>1.5249999999999986E-4</v>
      </c>
      <c r="F7" s="19">
        <f t="shared" si="2"/>
        <v>1.0141313383208636E-2</v>
      </c>
    </row>
    <row r="8" spans="1:6" x14ac:dyDescent="0.3">
      <c r="A8" s="16">
        <v>6</v>
      </c>
      <c r="B8" s="16">
        <v>14.73</v>
      </c>
      <c r="C8" s="16">
        <v>1.473E-2</v>
      </c>
      <c r="D8" s="18">
        <f t="shared" si="0"/>
        <v>1.45384E-2</v>
      </c>
      <c r="E8">
        <f t="shared" si="1"/>
        <v>1.916000000000001E-4</v>
      </c>
      <c r="F8" s="19">
        <f t="shared" si="2"/>
        <v>1.3178891762504821E-2</v>
      </c>
    </row>
    <row r="9" spans="1:6" x14ac:dyDescent="0.3">
      <c r="A9" s="16">
        <v>7</v>
      </c>
      <c r="B9" s="16">
        <v>14.29</v>
      </c>
      <c r="C9" s="16">
        <v>1.4290000000000001E-2</v>
      </c>
      <c r="D9" s="18">
        <f t="shared" si="0"/>
        <v>1.4055700000000001E-2</v>
      </c>
      <c r="E9">
        <f t="shared" si="1"/>
        <v>2.3429999999999979E-4</v>
      </c>
      <c r="F9" s="19">
        <f t="shared" si="2"/>
        <v>1.6669393911366903E-2</v>
      </c>
    </row>
    <row r="10" spans="1:6" x14ac:dyDescent="0.3">
      <c r="A10" s="16">
        <v>8</v>
      </c>
      <c r="B10" s="16">
        <v>13.87</v>
      </c>
      <c r="C10" s="16">
        <v>1.387E-2</v>
      </c>
      <c r="D10" s="18">
        <f t="shared" si="0"/>
        <v>1.35888E-2</v>
      </c>
      <c r="E10">
        <f t="shared" si="1"/>
        <v>2.8120000000000055E-4</v>
      </c>
      <c r="F10" s="19">
        <f t="shared" si="2"/>
        <v>2.0693512304250601E-2</v>
      </c>
    </row>
    <row r="11" spans="1:6" x14ac:dyDescent="0.3">
      <c r="A11" s="16">
        <v>9</v>
      </c>
      <c r="B11" s="16">
        <v>13.48</v>
      </c>
      <c r="C11" s="16">
        <v>1.3480000000000001E-2</v>
      </c>
      <c r="D11" s="18">
        <f t="shared" si="0"/>
        <v>1.3137100000000001E-2</v>
      </c>
      <c r="E11">
        <f t="shared" si="1"/>
        <v>3.4290000000000015E-4</v>
      </c>
      <c r="F11" s="19">
        <f t="shared" si="2"/>
        <v>2.6101651049318352E-2</v>
      </c>
    </row>
    <row r="12" spans="1:6" x14ac:dyDescent="0.3">
      <c r="A12" s="16">
        <v>10</v>
      </c>
      <c r="B12" s="16">
        <v>13.1</v>
      </c>
      <c r="C12" s="16">
        <v>1.3100000000000001E-2</v>
      </c>
      <c r="D12" s="18">
        <f t="shared" si="0"/>
        <v>1.2699999999999999E-2</v>
      </c>
      <c r="E12">
        <f t="shared" si="1"/>
        <v>4.0000000000000105E-4</v>
      </c>
      <c r="F12" s="19">
        <f t="shared" si="2"/>
        <v>3.1496062992126067E-2</v>
      </c>
    </row>
    <row r="13" spans="1:6" x14ac:dyDescent="0.3">
      <c r="A13" s="16">
        <v>11</v>
      </c>
      <c r="B13" s="16">
        <v>12.74</v>
      </c>
      <c r="C13" s="16">
        <v>1.274E-2</v>
      </c>
      <c r="D13" s="18">
        <f t="shared" si="0"/>
        <v>1.22769E-2</v>
      </c>
      <c r="E13">
        <f t="shared" si="1"/>
        <v>4.6309999999999928E-4</v>
      </c>
      <c r="F13" s="19">
        <f t="shared" si="2"/>
        <v>3.7721248849465198E-2</v>
      </c>
    </row>
    <row r="14" spans="1:6" x14ac:dyDescent="0.3">
      <c r="A14" s="16">
        <v>12</v>
      </c>
      <c r="B14" s="16">
        <v>12.39</v>
      </c>
      <c r="C14" s="16">
        <v>1.239E-2</v>
      </c>
      <c r="D14" s="18">
        <f t="shared" si="0"/>
        <v>1.18672E-2</v>
      </c>
      <c r="E14">
        <f t="shared" si="1"/>
        <v>5.2280000000000035E-4</v>
      </c>
      <c r="F14" s="19">
        <f t="shared" si="2"/>
        <v>4.405419981124447E-2</v>
      </c>
    </row>
    <row r="15" spans="1:6" x14ac:dyDescent="0.3">
      <c r="A15" s="16">
        <v>13</v>
      </c>
      <c r="B15" s="16">
        <v>12.06</v>
      </c>
      <c r="C15" s="16">
        <v>1.206E-2</v>
      </c>
      <c r="D15" s="18">
        <f t="shared" si="0"/>
        <v>1.1470299999999999E-2</v>
      </c>
      <c r="E15">
        <f t="shared" si="1"/>
        <v>5.8970000000000029E-4</v>
      </c>
      <c r="F15" s="19">
        <f t="shared" si="2"/>
        <v>5.1411035456788427E-2</v>
      </c>
    </row>
    <row r="16" spans="1:6" x14ac:dyDescent="0.3">
      <c r="A16" s="16">
        <v>14</v>
      </c>
      <c r="B16" s="16">
        <v>11.75</v>
      </c>
      <c r="C16" s="16">
        <v>1.175E-2</v>
      </c>
      <c r="D16" s="18">
        <f t="shared" si="0"/>
        <v>1.1085600000000001E-2</v>
      </c>
      <c r="E16">
        <f t="shared" si="1"/>
        <v>6.6439999999999902E-4</v>
      </c>
      <c r="F16" s="19">
        <f t="shared" si="2"/>
        <v>5.9933607562964474E-2</v>
      </c>
    </row>
    <row r="17" spans="1:6" x14ac:dyDescent="0.3">
      <c r="A17" s="16">
        <v>15</v>
      </c>
      <c r="B17" s="16">
        <v>11.45</v>
      </c>
      <c r="C17" s="16">
        <v>1.145E-2</v>
      </c>
      <c r="D17" s="18">
        <f t="shared" si="0"/>
        <v>1.07125E-2</v>
      </c>
      <c r="E17">
        <f t="shared" si="1"/>
        <v>7.3750000000000031E-4</v>
      </c>
      <c r="F17" s="19">
        <f t="shared" si="2"/>
        <v>6.8844807467911343E-2</v>
      </c>
    </row>
    <row r="18" spans="1:6" x14ac:dyDescent="0.3">
      <c r="A18" s="16">
        <v>16</v>
      </c>
      <c r="B18" s="16">
        <v>11.16</v>
      </c>
      <c r="C18" s="16">
        <v>1.116E-2</v>
      </c>
      <c r="D18" s="18">
        <f t="shared" si="0"/>
        <v>1.0350400000000001E-2</v>
      </c>
      <c r="E18">
        <f t="shared" si="1"/>
        <v>8.0959999999999886E-4</v>
      </c>
      <c r="F18" s="19">
        <f t="shared" si="2"/>
        <v>7.8219199257999569E-2</v>
      </c>
    </row>
    <row r="19" spans="1:6" x14ac:dyDescent="0.3">
      <c r="A19" s="16">
        <v>17</v>
      </c>
      <c r="B19" s="16">
        <v>10.88</v>
      </c>
      <c r="C19" s="16">
        <v>1.0880000000000001E-2</v>
      </c>
      <c r="D19" s="18">
        <f t="shared" si="0"/>
        <v>9.998700000000001E-3</v>
      </c>
      <c r="E19">
        <f t="shared" si="1"/>
        <v>8.8129999999999979E-4</v>
      </c>
      <c r="F19" s="19">
        <f t="shared" si="2"/>
        <v>8.8141458389590616E-2</v>
      </c>
    </row>
    <row r="20" spans="1:6" x14ac:dyDescent="0.3">
      <c r="A20" s="16">
        <v>18</v>
      </c>
      <c r="B20" s="16">
        <v>10.6</v>
      </c>
      <c r="C20" s="16">
        <v>1.06E-2</v>
      </c>
      <c r="D20" s="18">
        <f t="shared" si="0"/>
        <v>9.6568000000000018E-3</v>
      </c>
      <c r="E20">
        <f t="shared" si="1"/>
        <v>9.4319999999999821E-4</v>
      </c>
      <c r="F20" s="19">
        <f t="shared" si="2"/>
        <v>9.7672106702012887E-2</v>
      </c>
    </row>
    <row r="21" spans="1:6" x14ac:dyDescent="0.3">
      <c r="A21" s="16">
        <v>19</v>
      </c>
      <c r="B21" s="16">
        <v>10.34</v>
      </c>
      <c r="C21" s="16">
        <v>1.034E-2</v>
      </c>
      <c r="D21" s="18">
        <f t="shared" si="0"/>
        <v>9.3241000000000018E-3</v>
      </c>
      <c r="E21">
        <f t="shared" si="1"/>
        <v>1.0158999999999984E-3</v>
      </c>
      <c r="F21" s="19">
        <f t="shared" si="2"/>
        <v>0.10895421542025485</v>
      </c>
    </row>
    <row r="22" spans="1:6" x14ac:dyDescent="0.3">
      <c r="A22" s="16">
        <v>20</v>
      </c>
      <c r="B22" s="16">
        <v>10.09</v>
      </c>
      <c r="C22" s="16">
        <v>1.009E-2</v>
      </c>
      <c r="D22" s="18">
        <f t="shared" si="0"/>
        <v>9.0000000000000011E-3</v>
      </c>
      <c r="E22">
        <f t="shared" si="1"/>
        <v>1.089999999999999E-3</v>
      </c>
      <c r="F22" s="19">
        <f t="shared" si="2"/>
        <v>0.12111111111111098</v>
      </c>
    </row>
    <row r="23" spans="1:6" x14ac:dyDescent="0.3">
      <c r="A23" s="16">
        <v>21</v>
      </c>
      <c r="B23" s="16">
        <v>9.84</v>
      </c>
      <c r="C23" s="16">
        <v>9.8399999999999998E-3</v>
      </c>
      <c r="D23" s="18">
        <f t="shared" si="0"/>
        <v>8.6839000000000013E-3</v>
      </c>
      <c r="E23">
        <f t="shared" si="1"/>
        <v>1.1560999999999984E-3</v>
      </c>
      <c r="F23" s="19">
        <f t="shared" si="2"/>
        <v>0.13313142712375756</v>
      </c>
    </row>
    <row r="24" spans="1:6" x14ac:dyDescent="0.3">
      <c r="A24" s="16">
        <v>22</v>
      </c>
      <c r="B24" s="16">
        <v>9.61</v>
      </c>
      <c r="C24" s="16">
        <v>9.6100000000000005E-3</v>
      </c>
      <c r="D24" s="18">
        <f t="shared" si="0"/>
        <v>8.3752000000000028E-3</v>
      </c>
      <c r="E24">
        <f t="shared" si="1"/>
        <v>1.2347999999999977E-3</v>
      </c>
      <c r="F24" s="19">
        <f t="shared" si="2"/>
        <v>0.14743528512751902</v>
      </c>
    </row>
    <row r="25" spans="1:6" x14ac:dyDescent="0.3">
      <c r="A25" s="16">
        <v>23</v>
      </c>
      <c r="B25" s="16">
        <v>9.3800000000000008</v>
      </c>
      <c r="C25" s="16">
        <v>9.3799999999999994E-3</v>
      </c>
      <c r="D25" s="18">
        <f t="shared" si="0"/>
        <v>8.073300000000002E-3</v>
      </c>
      <c r="E25">
        <f t="shared" si="1"/>
        <v>1.3066999999999974E-3</v>
      </c>
      <c r="F25" s="19">
        <f t="shared" si="2"/>
        <v>0.16185450806981</v>
      </c>
    </row>
    <row r="26" spans="1:6" x14ac:dyDescent="0.3">
      <c r="A26" s="16">
        <v>24</v>
      </c>
      <c r="B26" s="16">
        <v>9.16</v>
      </c>
      <c r="C26" s="16">
        <v>9.1599999999999997E-3</v>
      </c>
      <c r="D26" s="18">
        <f t="shared" si="0"/>
        <v>7.7776000000000008E-3</v>
      </c>
      <c r="E26">
        <f t="shared" si="1"/>
        <v>1.3823999999999989E-3</v>
      </c>
      <c r="F26" s="19">
        <f t="shared" si="2"/>
        <v>0.17774120551326872</v>
      </c>
    </row>
    <row r="27" spans="1:6" x14ac:dyDescent="0.3">
      <c r="A27" s="16">
        <v>25</v>
      </c>
      <c r="B27" s="16">
        <v>8.9499999999999993</v>
      </c>
      <c r="C27" s="16">
        <v>8.9499999999999996E-3</v>
      </c>
      <c r="D27" s="18">
        <f t="shared" si="0"/>
        <v>7.4875000000000011E-3</v>
      </c>
      <c r="E27">
        <f t="shared" si="1"/>
        <v>1.4624999999999985E-3</v>
      </c>
      <c r="F27" s="19">
        <f t="shared" si="2"/>
        <v>0.19532554257095136</v>
      </c>
    </row>
    <row r="28" spans="1:6" x14ac:dyDescent="0.3">
      <c r="A28" s="16">
        <v>26</v>
      </c>
      <c r="B28" s="16">
        <v>8.75</v>
      </c>
      <c r="C28" s="16">
        <v>8.7500000000000008E-3</v>
      </c>
      <c r="D28" s="18">
        <f t="shared" si="0"/>
        <v>7.2024000000000012E-3</v>
      </c>
      <c r="E28">
        <f t="shared" si="1"/>
        <v>1.5475999999999997E-3</v>
      </c>
      <c r="F28" s="19">
        <f t="shared" si="2"/>
        <v>0.21487282017105402</v>
      </c>
    </row>
    <row r="29" spans="1:6" x14ac:dyDescent="0.3">
      <c r="A29" s="16">
        <v>27</v>
      </c>
      <c r="B29" s="16">
        <v>8.5500000000000007</v>
      </c>
      <c r="C29" s="16">
        <v>8.5500000000000003E-3</v>
      </c>
      <c r="D29" s="18">
        <f t="shared" si="0"/>
        <v>6.9217000000000011E-3</v>
      </c>
      <c r="E29">
        <f t="shared" si="1"/>
        <v>1.6282999999999992E-3</v>
      </c>
      <c r="F29" s="19">
        <f t="shared" si="2"/>
        <v>0.2352456766401316</v>
      </c>
    </row>
    <row r="30" spans="1:6" x14ac:dyDescent="0.3">
      <c r="A30" s="16">
        <v>28</v>
      </c>
      <c r="B30" s="16">
        <v>8.36</v>
      </c>
      <c r="C30" s="16">
        <v>8.3599999999999994E-3</v>
      </c>
      <c r="D30" s="18">
        <f t="shared" si="0"/>
        <v>6.6448000000000028E-3</v>
      </c>
      <c r="E30">
        <f t="shared" si="1"/>
        <v>1.7151999999999966E-3</v>
      </c>
      <c r="F30" s="19">
        <f t="shared" si="2"/>
        <v>0.25812665542980917</v>
      </c>
    </row>
    <row r="31" spans="1:6" x14ac:dyDescent="0.3">
      <c r="A31" s="16">
        <v>29</v>
      </c>
      <c r="B31" s="16">
        <v>8.18</v>
      </c>
      <c r="C31" s="16">
        <v>8.1799999999999998E-3</v>
      </c>
      <c r="D31" s="18">
        <f t="shared" si="0"/>
        <v>6.3711000000000011E-3</v>
      </c>
      <c r="E31">
        <f t="shared" si="1"/>
        <v>1.8088999999999987E-3</v>
      </c>
      <c r="F31" s="19">
        <f t="shared" si="2"/>
        <v>0.28392271350316245</v>
      </c>
    </row>
    <row r="32" spans="1:6" x14ac:dyDescent="0.3">
      <c r="A32" s="16">
        <v>30</v>
      </c>
      <c r="B32" s="16">
        <v>8</v>
      </c>
      <c r="C32" s="16">
        <v>8.0000000000000002E-3</v>
      </c>
      <c r="D32" s="18">
        <f t="shared" si="0"/>
        <v>6.100000000000003E-3</v>
      </c>
      <c r="E32">
        <f t="shared" si="1"/>
        <v>1.8999999999999972E-3</v>
      </c>
      <c r="F32" s="19">
        <f t="shared" si="2"/>
        <v>0.31147540983606498</v>
      </c>
    </row>
    <row r="33" spans="1:6" x14ac:dyDescent="0.3">
      <c r="A33" s="16">
        <v>31</v>
      </c>
      <c r="B33" s="16">
        <v>7.83</v>
      </c>
      <c r="C33" s="16">
        <v>7.8300000000000002E-3</v>
      </c>
      <c r="D33" s="18">
        <f t="shared" si="0"/>
        <v>5.8309000000000017E-3</v>
      </c>
      <c r="E33">
        <f t="shared" si="1"/>
        <v>1.9990999999999984E-3</v>
      </c>
      <c r="F33" s="19">
        <f t="shared" si="2"/>
        <v>0.34284587284981699</v>
      </c>
    </row>
    <row r="34" spans="1:6" x14ac:dyDescent="0.3">
      <c r="A34" s="16">
        <v>32</v>
      </c>
      <c r="B34" s="16">
        <v>7.67</v>
      </c>
      <c r="C34" s="16">
        <v>7.6699999999999997E-3</v>
      </c>
      <c r="D34" s="18">
        <f t="shared" si="0"/>
        <v>5.5632000000000025E-3</v>
      </c>
      <c r="E34">
        <f t="shared" si="1"/>
        <v>2.1067999999999972E-3</v>
      </c>
      <c r="F34" s="19">
        <f t="shared" si="2"/>
        <v>0.3787029048029904</v>
      </c>
    </row>
    <row r="35" spans="1:6" x14ac:dyDescent="0.3">
      <c r="A35" s="16">
        <v>33</v>
      </c>
      <c r="B35" s="16">
        <v>7.51</v>
      </c>
      <c r="C35" s="16">
        <v>7.5100000000000002E-3</v>
      </c>
      <c r="D35" s="18">
        <f t="shared" si="0"/>
        <v>5.296300000000002E-3</v>
      </c>
      <c r="E35">
        <f t="shared" si="1"/>
        <v>2.2136999999999981E-3</v>
      </c>
      <c r="F35" s="19">
        <f t="shared" si="2"/>
        <v>0.4179710363838901</v>
      </c>
    </row>
    <row r="36" spans="1:6" x14ac:dyDescent="0.3">
      <c r="A36" s="16">
        <v>34</v>
      </c>
      <c r="B36" s="16">
        <v>7.36</v>
      </c>
      <c r="C36" s="16">
        <v>7.3600000000000002E-3</v>
      </c>
      <c r="D36" s="18">
        <f t="shared" si="0"/>
        <v>5.0296000000000021E-3</v>
      </c>
      <c r="E36">
        <f t="shared" si="1"/>
        <v>2.3303999999999981E-3</v>
      </c>
      <c r="F36" s="19">
        <f t="shared" si="2"/>
        <v>0.46333704469540266</v>
      </c>
    </row>
    <row r="37" spans="1:6" x14ac:dyDescent="0.3">
      <c r="A37" s="16">
        <v>35</v>
      </c>
      <c r="B37" s="16">
        <v>7.21</v>
      </c>
      <c r="C37" s="16">
        <v>7.2100000000000003E-3</v>
      </c>
      <c r="D37" s="18">
        <f t="shared" si="0"/>
        <v>4.7625000000000028E-3</v>
      </c>
      <c r="E37">
        <f t="shared" si="1"/>
        <v>2.4474999999999974E-3</v>
      </c>
      <c r="F37" s="19">
        <f t="shared" si="2"/>
        <v>0.51391076115485479</v>
      </c>
    </row>
    <row r="38" spans="1:6" x14ac:dyDescent="0.3">
      <c r="A38" s="16">
        <v>36</v>
      </c>
      <c r="B38" s="16">
        <v>7.06</v>
      </c>
      <c r="C38" s="16">
        <v>7.0600000000000003E-3</v>
      </c>
      <c r="D38" s="18">
        <f t="shared" si="0"/>
        <v>4.4944000000000026E-3</v>
      </c>
      <c r="E38">
        <f t="shared" si="1"/>
        <v>2.5655999999999977E-3</v>
      </c>
      <c r="F38" s="19">
        <f t="shared" si="2"/>
        <v>0.57084371662513267</v>
      </c>
    </row>
    <row r="39" spans="1:6" x14ac:dyDescent="0.3">
      <c r="A39" s="16">
        <v>37</v>
      </c>
      <c r="B39" s="16">
        <v>6.92</v>
      </c>
      <c r="C39" s="16">
        <v>6.9199999999999999E-3</v>
      </c>
      <c r="D39" s="18">
        <f t="shared" si="0"/>
        <v>4.2247000000000031E-3</v>
      </c>
      <c r="E39">
        <f t="shared" si="1"/>
        <v>2.6952999999999968E-3</v>
      </c>
      <c r="F39" s="19">
        <f t="shared" si="2"/>
        <v>0.63798612919260422</v>
      </c>
    </row>
    <row r="40" spans="1:6" x14ac:dyDescent="0.3">
      <c r="A40" s="16">
        <v>38</v>
      </c>
      <c r="B40" s="16">
        <v>6.79</v>
      </c>
      <c r="C40" s="16">
        <v>6.79E-3</v>
      </c>
      <c r="D40" s="18">
        <f t="shared" si="0"/>
        <v>3.9528000000000046E-3</v>
      </c>
      <c r="E40">
        <f t="shared" si="1"/>
        <v>2.8371999999999955E-3</v>
      </c>
      <c r="F40" s="19">
        <f t="shared" si="2"/>
        <v>0.7177696822505546</v>
      </c>
    </row>
    <row r="41" spans="1:6" x14ac:dyDescent="0.3">
      <c r="A41" s="16">
        <v>39</v>
      </c>
      <c r="B41" s="16">
        <v>6.66</v>
      </c>
      <c r="C41" s="16">
        <v>6.6600000000000001E-3</v>
      </c>
      <c r="D41" s="18">
        <f t="shared" si="0"/>
        <v>3.6781000000000036E-3</v>
      </c>
      <c r="E41">
        <f t="shared" si="1"/>
        <v>2.9818999999999965E-3</v>
      </c>
      <c r="F41" s="19">
        <f t="shared" si="2"/>
        <v>0.81071749000842652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769A32-E250-4BEF-A69D-2EE16F5477B3}">
  <sheetPr codeName="Sheet5"/>
  <dimension ref="A1:AS35"/>
  <sheetViews>
    <sheetView zoomScaleNormal="100" workbookViewId="0">
      <selection activeCell="F20" sqref="F20"/>
    </sheetView>
  </sheetViews>
  <sheetFormatPr defaultRowHeight="14.4" x14ac:dyDescent="0.3"/>
  <cols>
    <col min="4" max="27" width="9.109375" customWidth="1"/>
    <col min="28" max="28" width="9.109375" style="30"/>
  </cols>
  <sheetData>
    <row r="1" spans="1:45" x14ac:dyDescent="0.3">
      <c r="J1" s="24">
        <v>0.5</v>
      </c>
      <c r="K1" s="24">
        <v>1</v>
      </c>
      <c r="L1" s="24">
        <v>2</v>
      </c>
      <c r="M1" s="24">
        <v>4</v>
      </c>
      <c r="N1" s="24">
        <v>8</v>
      </c>
      <c r="O1" s="24">
        <v>15</v>
      </c>
      <c r="P1" s="24">
        <v>30</v>
      </c>
      <c r="Q1" s="24">
        <v>60</v>
      </c>
      <c r="R1" s="24">
        <v>120</v>
      </c>
      <c r="S1" s="24">
        <v>240</v>
      </c>
      <c r="T1" s="24">
        <v>480</v>
      </c>
      <c r="U1" s="24">
        <v>960</v>
      </c>
      <c r="V1" s="24">
        <v>1440</v>
      </c>
      <c r="W1" s="24">
        <v>4.75</v>
      </c>
      <c r="X1" s="37">
        <v>2</v>
      </c>
      <c r="Y1" s="27">
        <v>0.42499999999999999</v>
      </c>
      <c r="Z1" s="27">
        <v>0.21199999999999999</v>
      </c>
      <c r="AA1" s="27">
        <v>0.15</v>
      </c>
      <c r="AB1" s="24">
        <v>7.4999999999999997E-2</v>
      </c>
      <c r="AC1" s="24">
        <v>0.5</v>
      </c>
      <c r="AD1" s="24">
        <v>1</v>
      </c>
      <c r="AE1" s="24">
        <v>2</v>
      </c>
      <c r="AF1" s="24">
        <v>4</v>
      </c>
      <c r="AG1" s="24">
        <v>8</v>
      </c>
      <c r="AH1" s="24">
        <v>15</v>
      </c>
      <c r="AI1" s="24">
        <v>30</v>
      </c>
      <c r="AJ1" s="24">
        <v>60</v>
      </c>
      <c r="AK1" s="24">
        <v>120</v>
      </c>
      <c r="AL1" s="24">
        <v>240</v>
      </c>
      <c r="AM1" s="24">
        <v>480</v>
      </c>
      <c r="AN1" s="24">
        <v>960</v>
      </c>
      <c r="AO1" s="24">
        <v>1440</v>
      </c>
    </row>
    <row r="2" spans="1:45" x14ac:dyDescent="0.3">
      <c r="A2" s="28" t="s">
        <v>40</v>
      </c>
      <c r="B2" s="28" t="s">
        <v>5</v>
      </c>
      <c r="C2" s="28" t="s">
        <v>9</v>
      </c>
      <c r="D2" s="71" t="s">
        <v>41</v>
      </c>
      <c r="E2" s="71"/>
      <c r="F2" s="71"/>
      <c r="G2" s="71"/>
      <c r="H2" s="71"/>
      <c r="I2" s="71"/>
      <c r="J2" s="71" t="s">
        <v>42</v>
      </c>
      <c r="K2" s="71"/>
      <c r="L2" s="71"/>
      <c r="M2" s="71"/>
      <c r="N2" s="71"/>
      <c r="O2" s="71"/>
      <c r="P2" s="71"/>
      <c r="Q2" s="71"/>
      <c r="R2" s="71"/>
      <c r="S2" s="71"/>
      <c r="T2" s="71"/>
      <c r="U2" s="71"/>
      <c r="V2" s="71"/>
      <c r="W2" s="72" t="s">
        <v>43</v>
      </c>
      <c r="X2" s="72"/>
      <c r="Y2" s="72"/>
      <c r="Z2" s="72"/>
      <c r="AA2" s="72"/>
      <c r="AB2" s="72"/>
      <c r="AC2" s="71" t="s">
        <v>44</v>
      </c>
      <c r="AD2" s="71"/>
      <c r="AE2" s="71"/>
      <c r="AF2" s="71"/>
      <c r="AG2" s="71"/>
      <c r="AH2" s="71"/>
      <c r="AI2" s="71"/>
      <c r="AJ2" s="71"/>
      <c r="AK2" s="71"/>
      <c r="AL2" s="71"/>
      <c r="AM2" s="71"/>
      <c r="AN2" s="71"/>
      <c r="AO2" s="71"/>
      <c r="AP2" s="28" t="s">
        <v>1</v>
      </c>
      <c r="AQ2" s="28" t="s">
        <v>45</v>
      </c>
      <c r="AR2" s="28" t="s">
        <v>46</v>
      </c>
      <c r="AS2" s="28" t="s">
        <v>2</v>
      </c>
    </row>
    <row r="3" spans="1:45" s="18" customFormat="1" x14ac:dyDescent="0.3">
      <c r="A3" s="18">
        <v>1</v>
      </c>
      <c r="B3" s="18" t="str">
        <f>GSD!B5</f>
        <v>CBH-05</v>
      </c>
      <c r="C3" s="26">
        <f>GSD!F5</f>
        <v>0.5</v>
      </c>
      <c r="D3" s="22">
        <v>4.75</v>
      </c>
      <c r="E3" s="22">
        <v>2</v>
      </c>
      <c r="F3" s="22">
        <v>0.42499999999999999</v>
      </c>
      <c r="G3" s="22">
        <v>0.21199999999999999</v>
      </c>
      <c r="H3" s="22">
        <v>0.15</v>
      </c>
      <c r="I3" s="22">
        <v>7.4999999999999997E-2</v>
      </c>
      <c r="J3" s="23">
        <f>HYD!Z5</f>
        <v>0</v>
      </c>
      <c r="K3" s="23">
        <f>HYD!AA5</f>
        <v>0</v>
      </c>
      <c r="L3" s="23">
        <f>HYD!AB5</f>
        <v>0</v>
      </c>
      <c r="M3" s="23">
        <f>HYD!AC5</f>
        <v>0</v>
      </c>
      <c r="N3" s="23">
        <f>HYD!AD5</f>
        <v>0</v>
      </c>
      <c r="O3" s="23">
        <f>HYD!AE5</f>
        <v>0</v>
      </c>
      <c r="P3" s="23">
        <f>HYD!AF5</f>
        <v>0</v>
      </c>
      <c r="Q3" s="23">
        <f>HYD!AG5</f>
        <v>0</v>
      </c>
      <c r="R3" s="23">
        <f>HYD!AH5</f>
        <v>0</v>
      </c>
      <c r="S3" s="23">
        <f>HYD!AI5</f>
        <v>0</v>
      </c>
      <c r="T3" s="23">
        <f>HYD!AJ5</f>
        <v>0</v>
      </c>
      <c r="U3" s="23">
        <f>HYD!AK5</f>
        <v>0</v>
      </c>
      <c r="V3" s="23">
        <f>HYD!AL5</f>
        <v>0</v>
      </c>
      <c r="W3" s="1">
        <f>GSD!Q5</f>
        <v>100</v>
      </c>
      <c r="X3" s="1">
        <f>GSD!R5</f>
        <v>99.88</v>
      </c>
      <c r="Y3" s="1">
        <f>GSD!S5</f>
        <v>62.400000000000013</v>
      </c>
      <c r="Z3" s="1">
        <f>GSD!T5</f>
        <v>40.77000000000001</v>
      </c>
      <c r="AA3" s="1">
        <f>GSD!U5</f>
        <v>34.170000000000016</v>
      </c>
      <c r="AB3" s="38">
        <f>GSD!V5</f>
        <v>16.680000000000021</v>
      </c>
      <c r="AC3" s="38">
        <f>HYD!AM5</f>
        <v>0</v>
      </c>
      <c r="AD3" s="1">
        <f>HYD!AN5</f>
        <v>0</v>
      </c>
      <c r="AE3" s="1">
        <f>HYD!AO5</f>
        <v>0</v>
      </c>
      <c r="AF3" s="1">
        <f>HYD!AP5</f>
        <v>0</v>
      </c>
      <c r="AG3" s="1">
        <f>HYD!AQ5</f>
        <v>0</v>
      </c>
      <c r="AH3" s="1">
        <f>HYD!AR5</f>
        <v>0</v>
      </c>
      <c r="AI3" s="1">
        <f>HYD!AS5</f>
        <v>0</v>
      </c>
      <c r="AJ3" s="1">
        <f>HYD!AT5</f>
        <v>0</v>
      </c>
      <c r="AK3" s="1">
        <f>HYD!AU5</f>
        <v>0</v>
      </c>
      <c r="AL3" s="1">
        <f>HYD!AV5</f>
        <v>0</v>
      </c>
      <c r="AM3" s="1">
        <f>HYD!AW5</f>
        <v>0</v>
      </c>
      <c r="AN3" s="1">
        <f>HYD!AX5</f>
        <v>0</v>
      </c>
      <c r="AO3" s="1">
        <f>HYD!AY5</f>
        <v>0</v>
      </c>
      <c r="AP3" s="1"/>
      <c r="AQ3" s="1"/>
      <c r="AR3" s="1"/>
      <c r="AS3" s="1"/>
    </row>
    <row r="4" spans="1:45" x14ac:dyDescent="0.3">
      <c r="A4" s="18">
        <v>2</v>
      </c>
      <c r="B4" s="18" t="str">
        <f>B3</f>
        <v>CBH-05</v>
      </c>
      <c r="C4" s="26">
        <f>GSD!F6</f>
        <v>1.5</v>
      </c>
      <c r="D4" s="22">
        <v>4.75</v>
      </c>
      <c r="E4" s="22">
        <v>2</v>
      </c>
      <c r="F4" s="22">
        <v>0.42499999999999999</v>
      </c>
      <c r="G4" s="22">
        <v>0.21199999999999999</v>
      </c>
      <c r="H4" s="22">
        <v>0.15</v>
      </c>
      <c r="I4" s="22">
        <v>7.4999999999999997E-2</v>
      </c>
      <c r="J4" s="23">
        <f>HYD!Z6</f>
        <v>0</v>
      </c>
      <c r="K4" s="23">
        <f>HYD!AA6</f>
        <v>0</v>
      </c>
      <c r="L4" s="23">
        <f>HYD!AB6</f>
        <v>0</v>
      </c>
      <c r="M4" s="23">
        <f>HYD!AC6</f>
        <v>0</v>
      </c>
      <c r="N4" s="23">
        <f>HYD!AD6</f>
        <v>0</v>
      </c>
      <c r="O4" s="23">
        <f>HYD!AE6</f>
        <v>0</v>
      </c>
      <c r="P4" s="23">
        <f>HYD!AF6</f>
        <v>0</v>
      </c>
      <c r="Q4" s="23">
        <f>HYD!AG6</f>
        <v>0</v>
      </c>
      <c r="R4" s="23">
        <f>HYD!AH6</f>
        <v>0</v>
      </c>
      <c r="S4" s="23">
        <f>HYD!AI6</f>
        <v>0</v>
      </c>
      <c r="T4" s="23">
        <f>HYD!AJ6</f>
        <v>0</v>
      </c>
      <c r="U4" s="23">
        <f>HYD!AK6</f>
        <v>0</v>
      </c>
      <c r="V4" s="23">
        <f>HYD!AL6</f>
        <v>0</v>
      </c>
      <c r="W4" s="1">
        <f>GSD!Q6</f>
        <v>99.185000000000002</v>
      </c>
      <c r="X4" s="1">
        <f>GSD!R6</f>
        <v>96.45</v>
      </c>
      <c r="Y4" s="1">
        <f>GSD!S6</f>
        <v>53.495000000000005</v>
      </c>
      <c r="Z4" s="1">
        <f>GSD!T6</f>
        <v>34.28</v>
      </c>
      <c r="AA4" s="1">
        <f>GSD!U6</f>
        <v>31.275000000000009</v>
      </c>
      <c r="AB4" s="38">
        <f>GSD!V6</f>
        <v>26.225000000000009</v>
      </c>
      <c r="AC4" s="38">
        <f>HYD!AM6</f>
        <v>0</v>
      </c>
      <c r="AD4" s="1">
        <f>HYD!AN6</f>
        <v>0</v>
      </c>
      <c r="AE4" s="1">
        <f>HYD!AO6</f>
        <v>0</v>
      </c>
      <c r="AF4" s="1">
        <f>HYD!AP6</f>
        <v>0</v>
      </c>
      <c r="AG4" s="1">
        <f>HYD!AQ6</f>
        <v>0</v>
      </c>
      <c r="AH4" s="1">
        <f>HYD!AR6</f>
        <v>0</v>
      </c>
      <c r="AI4" s="1">
        <f>HYD!AS6</f>
        <v>0</v>
      </c>
      <c r="AJ4" s="1">
        <f>HYD!AT6</f>
        <v>0</v>
      </c>
      <c r="AK4" s="1">
        <f>HYD!AU6</f>
        <v>0</v>
      </c>
      <c r="AL4" s="1">
        <f>HYD!AV6</f>
        <v>0</v>
      </c>
      <c r="AM4" s="1">
        <f>HYD!AW6</f>
        <v>0</v>
      </c>
      <c r="AN4" s="1">
        <f>HYD!AX6</f>
        <v>0</v>
      </c>
      <c r="AO4" s="1">
        <f>HYD!AY6</f>
        <v>0</v>
      </c>
      <c r="AP4" s="1"/>
      <c r="AQ4" s="1"/>
      <c r="AR4" s="1"/>
      <c r="AS4" s="1"/>
    </row>
    <row r="5" spans="1:45" x14ac:dyDescent="0.3">
      <c r="A5" s="18">
        <v>3</v>
      </c>
      <c r="B5" s="18" t="str">
        <f t="shared" ref="B5:B23" si="0">B4</f>
        <v>CBH-05</v>
      </c>
      <c r="C5" s="26">
        <f>GSD!F7</f>
        <v>3.5</v>
      </c>
      <c r="D5" s="22">
        <v>4.75</v>
      </c>
      <c r="E5" s="22">
        <v>2</v>
      </c>
      <c r="F5" s="22">
        <v>0.42499999999999999</v>
      </c>
      <c r="G5" s="22">
        <v>0.21199999999999999</v>
      </c>
      <c r="H5" s="22">
        <v>0.15</v>
      </c>
      <c r="I5" s="22">
        <v>7.4999999999999997E-2</v>
      </c>
      <c r="J5" s="23">
        <f>HYD!Z7</f>
        <v>0</v>
      </c>
      <c r="K5" s="23">
        <f>HYD!AA7</f>
        <v>0</v>
      </c>
      <c r="L5" s="23">
        <f>HYD!AB7</f>
        <v>0</v>
      </c>
      <c r="M5" s="23">
        <f>HYD!AC7</f>
        <v>0</v>
      </c>
      <c r="N5" s="23">
        <f>HYD!AD7</f>
        <v>0</v>
      </c>
      <c r="O5" s="23">
        <f>HYD!AE7</f>
        <v>0</v>
      </c>
      <c r="P5" s="23">
        <f>HYD!AF7</f>
        <v>0</v>
      </c>
      <c r="Q5" s="23">
        <f>HYD!AG7</f>
        <v>0</v>
      </c>
      <c r="R5" s="23">
        <f>HYD!AH7</f>
        <v>0</v>
      </c>
      <c r="S5" s="23">
        <f>HYD!AI7</f>
        <v>0</v>
      </c>
      <c r="T5" s="23">
        <f>HYD!AJ7</f>
        <v>0</v>
      </c>
      <c r="U5" s="23">
        <f>HYD!AK7</f>
        <v>0</v>
      </c>
      <c r="V5" s="23">
        <f>HYD!AL7</f>
        <v>0</v>
      </c>
      <c r="W5" s="1">
        <f>GSD!Q7</f>
        <v>100</v>
      </c>
      <c r="X5" s="1">
        <f>GSD!R7</f>
        <v>99.52</v>
      </c>
      <c r="Y5" s="1">
        <f>GSD!S7</f>
        <v>61.360000000000007</v>
      </c>
      <c r="Z5" s="1">
        <f>GSD!T7</f>
        <v>40.990000000000009</v>
      </c>
      <c r="AA5" s="1">
        <f>GSD!U7</f>
        <v>36.620000000000012</v>
      </c>
      <c r="AB5" s="38">
        <f>GSD!V7</f>
        <v>20.590000000000003</v>
      </c>
      <c r="AC5" s="38">
        <f>HYD!AM7</f>
        <v>0</v>
      </c>
      <c r="AD5" s="1">
        <f>HYD!AN7</f>
        <v>0</v>
      </c>
      <c r="AE5" s="1">
        <f>HYD!AO7</f>
        <v>0</v>
      </c>
      <c r="AF5" s="1">
        <f>HYD!AP7</f>
        <v>0</v>
      </c>
      <c r="AG5" s="1">
        <f>HYD!AQ7</f>
        <v>0</v>
      </c>
      <c r="AH5" s="1">
        <f>HYD!AR7</f>
        <v>0</v>
      </c>
      <c r="AI5" s="1">
        <f>HYD!AS7</f>
        <v>0</v>
      </c>
      <c r="AJ5" s="1">
        <f>HYD!AT7</f>
        <v>0</v>
      </c>
      <c r="AK5" s="1">
        <f>HYD!AU7</f>
        <v>0</v>
      </c>
      <c r="AL5" s="1">
        <f>HYD!AV7</f>
        <v>0</v>
      </c>
      <c r="AM5" s="1">
        <f>HYD!AW7</f>
        <v>0</v>
      </c>
      <c r="AN5" s="1">
        <f>HYD!AX7</f>
        <v>0</v>
      </c>
      <c r="AO5" s="1">
        <f>HYD!AY7</f>
        <v>0</v>
      </c>
      <c r="AP5" s="1"/>
      <c r="AQ5" s="1"/>
      <c r="AR5" s="1"/>
      <c r="AS5" s="1"/>
    </row>
    <row r="6" spans="1:45" x14ac:dyDescent="0.3">
      <c r="A6" s="18">
        <v>4</v>
      </c>
      <c r="B6" s="18" t="str">
        <f t="shared" si="0"/>
        <v>CBH-05</v>
      </c>
      <c r="C6" s="26">
        <f>GSD!F8</f>
        <v>7.5</v>
      </c>
      <c r="D6" s="22">
        <v>4.75</v>
      </c>
      <c r="E6" s="22">
        <v>2</v>
      </c>
      <c r="F6" s="22">
        <v>0.42499999999999999</v>
      </c>
      <c r="G6" s="22">
        <v>0.21199999999999999</v>
      </c>
      <c r="H6" s="22">
        <v>0.15</v>
      </c>
      <c r="I6" s="22">
        <v>7.4999999999999997E-2</v>
      </c>
      <c r="J6" s="23">
        <f>HYD!Z8</f>
        <v>0</v>
      </c>
      <c r="K6" s="23">
        <f>HYD!AA8</f>
        <v>0</v>
      </c>
      <c r="L6" s="23">
        <f>HYD!AB8</f>
        <v>0</v>
      </c>
      <c r="M6" s="23">
        <f>HYD!AC8</f>
        <v>0</v>
      </c>
      <c r="N6" s="23">
        <f>HYD!AD8</f>
        <v>0</v>
      </c>
      <c r="O6" s="23">
        <f>HYD!AE8</f>
        <v>0</v>
      </c>
      <c r="P6" s="23">
        <f>HYD!AF8</f>
        <v>0</v>
      </c>
      <c r="Q6" s="23">
        <f>HYD!AG8</f>
        <v>0</v>
      </c>
      <c r="R6" s="23">
        <f>HYD!AH8</f>
        <v>0</v>
      </c>
      <c r="S6" s="23">
        <f>HYD!AI8</f>
        <v>0</v>
      </c>
      <c r="T6" s="23">
        <f>HYD!AJ8</f>
        <v>0</v>
      </c>
      <c r="U6" s="23">
        <f>HYD!AK8</f>
        <v>0</v>
      </c>
      <c r="V6" s="23">
        <f>HYD!AL8</f>
        <v>0</v>
      </c>
      <c r="W6" s="1">
        <f>GSD!Q8</f>
        <v>94.58</v>
      </c>
      <c r="X6" s="1">
        <f>GSD!R8</f>
        <v>91.33</v>
      </c>
      <c r="Y6" s="1">
        <f>GSD!S8</f>
        <v>77.490000000000009</v>
      </c>
      <c r="Z6" s="1">
        <f>GSD!T8</f>
        <v>53.870000000000005</v>
      </c>
      <c r="AA6" s="1">
        <f>GSD!U8</f>
        <v>51.320000000000007</v>
      </c>
      <c r="AB6" s="38">
        <f>GSD!V8</f>
        <v>46.980000000000004</v>
      </c>
      <c r="AC6" s="38">
        <f>HYD!AM8</f>
        <v>0</v>
      </c>
      <c r="AD6" s="1">
        <f>HYD!AN8</f>
        <v>0</v>
      </c>
      <c r="AE6" s="1">
        <f>HYD!AO8</f>
        <v>0</v>
      </c>
      <c r="AF6" s="1">
        <f>HYD!AP8</f>
        <v>0</v>
      </c>
      <c r="AG6" s="1">
        <f>HYD!AQ8</f>
        <v>0</v>
      </c>
      <c r="AH6" s="1">
        <f>HYD!AR8</f>
        <v>0</v>
      </c>
      <c r="AI6" s="1">
        <f>HYD!AS8</f>
        <v>0</v>
      </c>
      <c r="AJ6" s="1">
        <f>HYD!AT8</f>
        <v>0</v>
      </c>
      <c r="AK6" s="1">
        <f>HYD!AU8</f>
        <v>0</v>
      </c>
      <c r="AL6" s="1">
        <f>HYD!AV8</f>
        <v>0</v>
      </c>
      <c r="AM6" s="1">
        <f>HYD!AW8</f>
        <v>0</v>
      </c>
      <c r="AN6" s="1">
        <f>HYD!AX8</f>
        <v>0</v>
      </c>
      <c r="AO6" s="1">
        <f>HYD!AY8</f>
        <v>0</v>
      </c>
      <c r="AP6" s="1"/>
      <c r="AQ6" s="1"/>
      <c r="AR6" s="1"/>
      <c r="AS6" s="1"/>
    </row>
    <row r="7" spans="1:45" x14ac:dyDescent="0.3">
      <c r="A7" s="18">
        <v>5</v>
      </c>
      <c r="B7" s="18" t="str">
        <f t="shared" si="0"/>
        <v>CBH-05</v>
      </c>
      <c r="C7" s="26">
        <f>GSD!F9</f>
        <v>9.5</v>
      </c>
      <c r="D7" s="22">
        <v>4.75</v>
      </c>
      <c r="E7" s="22">
        <v>2</v>
      </c>
      <c r="F7" s="22">
        <v>0.42499999999999999</v>
      </c>
      <c r="G7" s="22">
        <v>0.21199999999999999</v>
      </c>
      <c r="H7" s="22">
        <v>0.15</v>
      </c>
      <c r="I7" s="22">
        <v>7.4999999999999997E-2</v>
      </c>
      <c r="J7" s="23">
        <f>HYD!Z9</f>
        <v>0</v>
      </c>
      <c r="K7" s="23">
        <f>HYD!AA9</f>
        <v>0</v>
      </c>
      <c r="L7" s="23">
        <f>HYD!AB9</f>
        <v>0</v>
      </c>
      <c r="M7" s="23">
        <f>HYD!AC9</f>
        <v>0</v>
      </c>
      <c r="N7" s="23">
        <f>HYD!AD9</f>
        <v>0</v>
      </c>
      <c r="O7" s="23">
        <f>HYD!AE9</f>
        <v>0</v>
      </c>
      <c r="P7" s="23">
        <f>HYD!AF9</f>
        <v>0</v>
      </c>
      <c r="Q7" s="23">
        <f>HYD!AG9</f>
        <v>0</v>
      </c>
      <c r="R7" s="23">
        <f>HYD!AH9</f>
        <v>0</v>
      </c>
      <c r="S7" s="23">
        <f>HYD!AI9</f>
        <v>0</v>
      </c>
      <c r="T7" s="23">
        <f>HYD!AJ9</f>
        <v>0</v>
      </c>
      <c r="U7" s="23">
        <f>HYD!AK9</f>
        <v>0</v>
      </c>
      <c r="V7" s="23">
        <f>HYD!AL9</f>
        <v>0</v>
      </c>
      <c r="W7" s="1">
        <f>GSD!Q9</f>
        <v>99.83</v>
      </c>
      <c r="X7" s="1">
        <f>GSD!R9</f>
        <v>98.62</v>
      </c>
      <c r="Y7" s="1">
        <f>GSD!S9</f>
        <v>94.04</v>
      </c>
      <c r="Z7" s="1">
        <f>GSD!T9</f>
        <v>69.989999999999995</v>
      </c>
      <c r="AA7" s="1">
        <f>GSD!U9</f>
        <v>65.88</v>
      </c>
      <c r="AB7" s="38">
        <f>GSD!V9</f>
        <v>49.029999999999994</v>
      </c>
      <c r="AC7" s="38">
        <f>HYD!AM9</f>
        <v>0</v>
      </c>
      <c r="AD7" s="1">
        <f>HYD!AN9</f>
        <v>0</v>
      </c>
      <c r="AE7" s="1">
        <f>HYD!AO9</f>
        <v>0</v>
      </c>
      <c r="AF7" s="1">
        <f>HYD!AP9</f>
        <v>0</v>
      </c>
      <c r="AG7" s="1">
        <f>HYD!AQ9</f>
        <v>0</v>
      </c>
      <c r="AH7" s="1">
        <f>HYD!AR9</f>
        <v>0</v>
      </c>
      <c r="AI7" s="1">
        <f>HYD!AS9</f>
        <v>0</v>
      </c>
      <c r="AJ7" s="1">
        <f>HYD!AT9</f>
        <v>0</v>
      </c>
      <c r="AK7" s="1">
        <f>HYD!AU9</f>
        <v>0</v>
      </c>
      <c r="AL7" s="1">
        <f>HYD!AV9</f>
        <v>0</v>
      </c>
      <c r="AM7" s="1">
        <f>HYD!AW9</f>
        <v>0</v>
      </c>
      <c r="AN7" s="1">
        <f>HYD!AX9</f>
        <v>0</v>
      </c>
      <c r="AO7" s="1">
        <f>HYD!AY9</f>
        <v>0</v>
      </c>
      <c r="AP7" s="1"/>
      <c r="AQ7" s="1"/>
      <c r="AR7" s="1"/>
      <c r="AS7" s="1"/>
    </row>
    <row r="8" spans="1:45" x14ac:dyDescent="0.3">
      <c r="A8" s="18">
        <v>6</v>
      </c>
      <c r="B8" s="18" t="str">
        <f t="shared" si="0"/>
        <v>CBH-05</v>
      </c>
      <c r="C8" s="26">
        <f>GSD!F10</f>
        <v>12.5</v>
      </c>
      <c r="D8" s="22">
        <v>4.75</v>
      </c>
      <c r="E8" s="22">
        <v>2</v>
      </c>
      <c r="F8" s="22">
        <v>0.42499999999999999</v>
      </c>
      <c r="G8" s="22">
        <v>0.21199999999999999</v>
      </c>
      <c r="H8" s="22">
        <v>0.15</v>
      </c>
      <c r="I8" s="22">
        <v>7.4999999999999997E-2</v>
      </c>
      <c r="J8" s="23">
        <f>HYD!Z10</f>
        <v>0</v>
      </c>
      <c r="K8" s="23">
        <f>HYD!AA10</f>
        <v>0</v>
      </c>
      <c r="L8" s="23">
        <f>HYD!AB10</f>
        <v>0</v>
      </c>
      <c r="M8" s="23">
        <f>HYD!AC10</f>
        <v>0</v>
      </c>
      <c r="N8" s="23">
        <f>HYD!AD10</f>
        <v>0</v>
      </c>
      <c r="O8" s="23">
        <f>HYD!AE10</f>
        <v>0</v>
      </c>
      <c r="P8" s="23">
        <f>HYD!AF10</f>
        <v>0</v>
      </c>
      <c r="Q8" s="23">
        <f>HYD!AG10</f>
        <v>0</v>
      </c>
      <c r="R8" s="23">
        <f>HYD!AH10</f>
        <v>0</v>
      </c>
      <c r="S8" s="23">
        <f>HYD!AI10</f>
        <v>0</v>
      </c>
      <c r="T8" s="23">
        <f>HYD!AJ10</f>
        <v>0</v>
      </c>
      <c r="U8" s="23">
        <f>HYD!AK10</f>
        <v>0</v>
      </c>
      <c r="V8" s="23">
        <f>HYD!AL10</f>
        <v>0</v>
      </c>
      <c r="W8" s="1">
        <f>GSD!Q10</f>
        <v>99.81</v>
      </c>
      <c r="X8" s="1">
        <f>GSD!R10</f>
        <v>99.45</v>
      </c>
      <c r="Y8" s="1">
        <f>GSD!S10</f>
        <v>98.29</v>
      </c>
      <c r="Z8" s="1">
        <f>GSD!T10</f>
        <v>71.739999999999995</v>
      </c>
      <c r="AA8" s="1">
        <f>GSD!U10</f>
        <v>58.56</v>
      </c>
      <c r="AB8" s="38">
        <f>GSD!V10</f>
        <v>33.03</v>
      </c>
      <c r="AC8" s="38">
        <f>HYD!AM10</f>
        <v>0</v>
      </c>
      <c r="AD8" s="1">
        <f>HYD!AN10</f>
        <v>0</v>
      </c>
      <c r="AE8" s="1">
        <f>HYD!AO10</f>
        <v>0</v>
      </c>
      <c r="AF8" s="1">
        <f>HYD!AP10</f>
        <v>0</v>
      </c>
      <c r="AG8" s="1">
        <f>HYD!AQ10</f>
        <v>0</v>
      </c>
      <c r="AH8" s="1">
        <f>HYD!AR10</f>
        <v>0</v>
      </c>
      <c r="AI8" s="1">
        <f>HYD!AS10</f>
        <v>0</v>
      </c>
      <c r="AJ8" s="1">
        <f>HYD!AT10</f>
        <v>0</v>
      </c>
      <c r="AK8" s="1">
        <f>HYD!AU10</f>
        <v>0</v>
      </c>
      <c r="AL8" s="1">
        <f>HYD!AV10</f>
        <v>0</v>
      </c>
      <c r="AM8" s="1">
        <f>HYD!AW10</f>
        <v>0</v>
      </c>
      <c r="AN8" s="1">
        <f>HYD!AX10</f>
        <v>0</v>
      </c>
      <c r="AO8" s="1">
        <f>HYD!AY10</f>
        <v>0</v>
      </c>
      <c r="AP8" s="1"/>
      <c r="AQ8" s="1"/>
      <c r="AR8" s="1"/>
      <c r="AS8" s="1"/>
    </row>
    <row r="9" spans="1:45" x14ac:dyDescent="0.3">
      <c r="A9" s="18">
        <v>7</v>
      </c>
      <c r="B9" s="18" t="str">
        <f t="shared" si="0"/>
        <v>CBH-05</v>
      </c>
      <c r="C9" s="26">
        <f>GSD!F11</f>
        <v>13.5</v>
      </c>
      <c r="D9" s="22">
        <v>4.75</v>
      </c>
      <c r="E9" s="22">
        <v>2</v>
      </c>
      <c r="F9" s="22">
        <v>0.42499999999999999</v>
      </c>
      <c r="G9" s="22">
        <v>0.21199999999999999</v>
      </c>
      <c r="H9" s="22">
        <v>0.15</v>
      </c>
      <c r="I9" s="22">
        <v>7.4999999999999997E-2</v>
      </c>
      <c r="J9" s="23">
        <f>HYD!Z11</f>
        <v>0</v>
      </c>
      <c r="K9" s="23">
        <f>HYD!AA11</f>
        <v>0</v>
      </c>
      <c r="L9" s="23">
        <f>HYD!AB11</f>
        <v>0</v>
      </c>
      <c r="M9" s="23">
        <f>HYD!AC11</f>
        <v>0</v>
      </c>
      <c r="N9" s="23">
        <f>HYD!AD11</f>
        <v>0</v>
      </c>
      <c r="O9" s="23">
        <f>HYD!AE11</f>
        <v>0</v>
      </c>
      <c r="P9" s="23">
        <f>HYD!AF11</f>
        <v>0</v>
      </c>
      <c r="Q9" s="23">
        <f>HYD!AG11</f>
        <v>0</v>
      </c>
      <c r="R9" s="23">
        <f>HYD!AH11</f>
        <v>0</v>
      </c>
      <c r="S9" s="23">
        <f>HYD!AI11</f>
        <v>0</v>
      </c>
      <c r="T9" s="23">
        <f>HYD!AJ11</f>
        <v>0</v>
      </c>
      <c r="U9" s="23">
        <f>HYD!AK11</f>
        <v>0</v>
      </c>
      <c r="V9" s="23">
        <f>HYD!AL11</f>
        <v>0</v>
      </c>
      <c r="W9" s="1">
        <f>GSD!Q11</f>
        <v>100</v>
      </c>
      <c r="X9" s="1">
        <f>GSD!R11</f>
        <v>99.82</v>
      </c>
      <c r="Y9" s="1">
        <f>GSD!S11</f>
        <v>94.74</v>
      </c>
      <c r="Z9" s="1">
        <f>GSD!T11</f>
        <v>70.58</v>
      </c>
      <c r="AA9" s="1">
        <f>GSD!U11</f>
        <v>62.09</v>
      </c>
      <c r="AB9" s="38">
        <f>GSD!V11</f>
        <v>38.949999999999996</v>
      </c>
      <c r="AC9" s="38">
        <f>HYD!AM11</f>
        <v>0</v>
      </c>
      <c r="AD9" s="1">
        <f>HYD!AN11</f>
        <v>0</v>
      </c>
      <c r="AE9" s="1">
        <f>HYD!AO11</f>
        <v>0</v>
      </c>
      <c r="AF9" s="1">
        <f>HYD!AP11</f>
        <v>0</v>
      </c>
      <c r="AG9" s="1">
        <f>HYD!AQ11</f>
        <v>0</v>
      </c>
      <c r="AH9" s="1">
        <f>HYD!AR11</f>
        <v>0</v>
      </c>
      <c r="AI9" s="1">
        <f>HYD!AS11</f>
        <v>0</v>
      </c>
      <c r="AJ9" s="1">
        <f>HYD!AT11</f>
        <v>0</v>
      </c>
      <c r="AK9" s="1">
        <f>HYD!AU11</f>
        <v>0</v>
      </c>
      <c r="AL9" s="1">
        <f>HYD!AV11</f>
        <v>0</v>
      </c>
      <c r="AM9" s="1">
        <f>HYD!AW11</f>
        <v>0</v>
      </c>
      <c r="AN9" s="1">
        <f>HYD!AX11</f>
        <v>0</v>
      </c>
      <c r="AO9" s="1">
        <f>HYD!AY11</f>
        <v>0</v>
      </c>
      <c r="AP9" s="29"/>
      <c r="AQ9" s="29"/>
      <c r="AR9" s="29"/>
      <c r="AS9" s="29"/>
    </row>
    <row r="10" spans="1:45" x14ac:dyDescent="0.3">
      <c r="A10" s="18">
        <v>8</v>
      </c>
      <c r="B10" s="18" t="str">
        <f t="shared" si="0"/>
        <v>CBH-05</v>
      </c>
      <c r="C10" s="26">
        <f>GSD!F12</f>
        <v>14</v>
      </c>
      <c r="D10" s="22">
        <v>4.75</v>
      </c>
      <c r="E10" s="22">
        <v>2</v>
      </c>
      <c r="F10" s="22">
        <v>0.42499999999999999</v>
      </c>
      <c r="G10" s="22">
        <v>0.21199999999999999</v>
      </c>
      <c r="H10" s="22">
        <v>0.15</v>
      </c>
      <c r="I10" s="22">
        <v>7.4999999999999997E-2</v>
      </c>
      <c r="J10" s="23">
        <f>HYD!Z12</f>
        <v>0</v>
      </c>
      <c r="K10" s="23">
        <f>HYD!AA12</f>
        <v>0</v>
      </c>
      <c r="L10" s="23">
        <f>HYD!AB12</f>
        <v>0</v>
      </c>
      <c r="M10" s="23">
        <f>HYD!AC12</f>
        <v>0</v>
      </c>
      <c r="N10" s="23">
        <f>HYD!AD12</f>
        <v>0</v>
      </c>
      <c r="O10" s="23">
        <f>HYD!AE12</f>
        <v>0</v>
      </c>
      <c r="P10" s="23">
        <f>HYD!AF12</f>
        <v>0</v>
      </c>
      <c r="Q10" s="23">
        <f>HYD!AG12</f>
        <v>0</v>
      </c>
      <c r="R10" s="23">
        <f>HYD!AH12</f>
        <v>0</v>
      </c>
      <c r="S10" s="23">
        <f>HYD!AI12</f>
        <v>0</v>
      </c>
      <c r="T10" s="23">
        <f>HYD!AJ12</f>
        <v>0</v>
      </c>
      <c r="U10" s="23">
        <f>HYD!AK12</f>
        <v>0</v>
      </c>
      <c r="V10" s="23">
        <f>HYD!AL12</f>
        <v>0</v>
      </c>
      <c r="W10" s="1">
        <f>GSD!Q12</f>
        <v>99.43</v>
      </c>
      <c r="X10" s="1">
        <f>GSD!R12</f>
        <v>99.06</v>
      </c>
      <c r="Y10" s="1">
        <f>GSD!S12</f>
        <v>93.78</v>
      </c>
      <c r="Z10" s="1">
        <f>GSD!T12</f>
        <v>65.3</v>
      </c>
      <c r="AA10" s="1">
        <f>GSD!U12</f>
        <v>60.22</v>
      </c>
      <c r="AB10" s="38">
        <f>GSD!V12</f>
        <v>42.78</v>
      </c>
      <c r="AC10" s="38">
        <f>HYD!AM12</f>
        <v>0</v>
      </c>
      <c r="AD10" s="1">
        <f>HYD!AN12</f>
        <v>0</v>
      </c>
      <c r="AE10" s="1">
        <f>HYD!AO12</f>
        <v>0</v>
      </c>
      <c r="AF10" s="1">
        <f>HYD!AP12</f>
        <v>0</v>
      </c>
      <c r="AG10" s="1">
        <f>HYD!AQ12</f>
        <v>0</v>
      </c>
      <c r="AH10" s="1">
        <f>HYD!AR12</f>
        <v>0</v>
      </c>
      <c r="AI10" s="1">
        <f>HYD!AS12</f>
        <v>0</v>
      </c>
      <c r="AJ10" s="1">
        <f>HYD!AT12</f>
        <v>0</v>
      </c>
      <c r="AK10" s="1">
        <f>HYD!AU12</f>
        <v>0</v>
      </c>
      <c r="AL10" s="1">
        <f>HYD!AV12</f>
        <v>0</v>
      </c>
      <c r="AM10" s="1">
        <f>HYD!AW12</f>
        <v>0</v>
      </c>
      <c r="AN10" s="1">
        <f>HYD!AX12</f>
        <v>0</v>
      </c>
      <c r="AO10" s="1">
        <f>HYD!AY12</f>
        <v>0</v>
      </c>
      <c r="AP10" s="29"/>
      <c r="AQ10" s="29"/>
      <c r="AR10" s="29"/>
      <c r="AS10" s="29"/>
    </row>
    <row r="11" spans="1:45" x14ac:dyDescent="0.3">
      <c r="A11" s="18">
        <v>9</v>
      </c>
      <c r="B11" s="18" t="str">
        <f t="shared" si="0"/>
        <v>CBH-05</v>
      </c>
      <c r="C11" s="26">
        <f>GSD!F13</f>
        <v>0</v>
      </c>
      <c r="D11" s="22">
        <v>4.75</v>
      </c>
      <c r="E11" s="22">
        <v>2</v>
      </c>
      <c r="F11" s="22">
        <v>0.42499999999999999</v>
      </c>
      <c r="G11" s="22">
        <v>0.21199999999999999</v>
      </c>
      <c r="H11" s="22">
        <v>0.15</v>
      </c>
      <c r="I11" s="22">
        <v>7.4999999999999997E-2</v>
      </c>
      <c r="J11" s="23">
        <f>HYD!Z13</f>
        <v>0</v>
      </c>
      <c r="K11" s="23">
        <f>HYD!AA13</f>
        <v>0</v>
      </c>
      <c r="L11" s="23">
        <f>HYD!AB13</f>
        <v>0</v>
      </c>
      <c r="M11" s="23">
        <f>HYD!AC13</f>
        <v>0</v>
      </c>
      <c r="N11" s="23">
        <f>HYD!AD13</f>
        <v>0</v>
      </c>
      <c r="O11" s="23">
        <f>HYD!AE13</f>
        <v>0</v>
      </c>
      <c r="P11" s="23">
        <f>HYD!AF13</f>
        <v>0</v>
      </c>
      <c r="Q11" s="23">
        <f>HYD!AG13</f>
        <v>0</v>
      </c>
      <c r="R11" s="23">
        <f>HYD!AH13</f>
        <v>0</v>
      </c>
      <c r="S11" s="23">
        <f>HYD!AI13</f>
        <v>0</v>
      </c>
      <c r="T11" s="23">
        <f>HYD!AJ13</f>
        <v>0</v>
      </c>
      <c r="U11" s="23">
        <f>HYD!AK13</f>
        <v>0</v>
      </c>
      <c r="V11" s="23">
        <f>HYD!AL13</f>
        <v>0</v>
      </c>
      <c r="W11" s="1">
        <f>GSD!Q13</f>
        <v>0</v>
      </c>
      <c r="X11" s="1">
        <f>GSD!R13</f>
        <v>0</v>
      </c>
      <c r="Y11" s="1">
        <f>GSD!S13</f>
        <v>0</v>
      </c>
      <c r="Z11" s="1">
        <f>GSD!T13</f>
        <v>0</v>
      </c>
      <c r="AA11" s="1">
        <f>GSD!U13</f>
        <v>0</v>
      </c>
      <c r="AB11" s="38">
        <f>GSD!V13</f>
        <v>0</v>
      </c>
      <c r="AC11" s="38">
        <f>HYD!AM13</f>
        <v>0</v>
      </c>
      <c r="AD11" s="1">
        <f>HYD!AN13</f>
        <v>0</v>
      </c>
      <c r="AE11" s="1">
        <f>HYD!AO13</f>
        <v>0</v>
      </c>
      <c r="AF11" s="1">
        <f>HYD!AP13</f>
        <v>0</v>
      </c>
      <c r="AG11" s="1">
        <f>HYD!AQ13</f>
        <v>0</v>
      </c>
      <c r="AH11" s="1">
        <f>HYD!AR13</f>
        <v>0</v>
      </c>
      <c r="AI11" s="1">
        <f>HYD!AS13</f>
        <v>0</v>
      </c>
      <c r="AJ11" s="1">
        <f>HYD!AT13</f>
        <v>0</v>
      </c>
      <c r="AK11" s="1">
        <f>HYD!AU13</f>
        <v>0</v>
      </c>
      <c r="AL11" s="1">
        <f>HYD!AV13</f>
        <v>0</v>
      </c>
      <c r="AM11" s="1">
        <f>HYD!AW13</f>
        <v>0</v>
      </c>
      <c r="AN11" s="1">
        <f>HYD!AX13</f>
        <v>0</v>
      </c>
      <c r="AO11" s="1">
        <f>HYD!AY13</f>
        <v>0</v>
      </c>
      <c r="AP11" s="29"/>
      <c r="AQ11" s="29"/>
      <c r="AR11" s="29"/>
      <c r="AS11" s="29"/>
    </row>
    <row r="12" spans="1:45" x14ac:dyDescent="0.3">
      <c r="A12" s="18">
        <v>10</v>
      </c>
      <c r="B12" s="18" t="str">
        <f t="shared" si="0"/>
        <v>CBH-05</v>
      </c>
      <c r="C12" s="26" t="e">
        <f>GSD!#REF!</f>
        <v>#REF!</v>
      </c>
      <c r="D12" s="22">
        <v>4.75</v>
      </c>
      <c r="E12" s="22">
        <v>2</v>
      </c>
      <c r="F12" s="22">
        <v>0.42499999999999999</v>
      </c>
      <c r="G12" s="22">
        <v>0.21199999999999999</v>
      </c>
      <c r="H12" s="22">
        <v>0.15</v>
      </c>
      <c r="I12" s="22">
        <v>7.4999999999999997E-2</v>
      </c>
      <c r="J12" s="23">
        <f>HYD!Z14</f>
        <v>0</v>
      </c>
      <c r="K12" s="23">
        <f>HYD!AA14</f>
        <v>0</v>
      </c>
      <c r="L12" s="23">
        <f>HYD!AB14</f>
        <v>0</v>
      </c>
      <c r="M12" s="23">
        <f>HYD!AC14</f>
        <v>0</v>
      </c>
      <c r="N12" s="23">
        <f>HYD!AD14</f>
        <v>0</v>
      </c>
      <c r="O12" s="23">
        <f>HYD!AE14</f>
        <v>0</v>
      </c>
      <c r="P12" s="23">
        <f>HYD!AF14</f>
        <v>0</v>
      </c>
      <c r="Q12" s="23">
        <f>HYD!AG14</f>
        <v>0</v>
      </c>
      <c r="R12" s="23">
        <f>HYD!AH14</f>
        <v>0</v>
      </c>
      <c r="S12" s="23">
        <f>HYD!AI14</f>
        <v>0</v>
      </c>
      <c r="T12" s="23">
        <f>HYD!AJ14</f>
        <v>0</v>
      </c>
      <c r="U12" s="23">
        <f>HYD!AK14</f>
        <v>0</v>
      </c>
      <c r="V12" s="23">
        <f>HYD!AL14</f>
        <v>0</v>
      </c>
      <c r="W12" s="1" t="e">
        <f>GSD!#REF!</f>
        <v>#REF!</v>
      </c>
      <c r="X12" s="1" t="e">
        <f>GSD!#REF!</f>
        <v>#REF!</v>
      </c>
      <c r="Y12" s="1" t="e">
        <f>GSD!#REF!</f>
        <v>#REF!</v>
      </c>
      <c r="Z12" s="1" t="e">
        <f>GSD!#REF!</f>
        <v>#REF!</v>
      </c>
      <c r="AA12" s="1" t="e">
        <f>GSD!#REF!</f>
        <v>#REF!</v>
      </c>
      <c r="AB12" s="38" t="e">
        <f>GSD!#REF!</f>
        <v>#REF!</v>
      </c>
      <c r="AC12" s="38">
        <f>HYD!AM14</f>
        <v>0</v>
      </c>
      <c r="AD12" s="1">
        <f>HYD!AN14</f>
        <v>0</v>
      </c>
      <c r="AE12" s="1">
        <f>HYD!AO14</f>
        <v>0</v>
      </c>
      <c r="AF12" s="1">
        <f>HYD!AP14</f>
        <v>0</v>
      </c>
      <c r="AG12" s="1">
        <f>HYD!AQ14</f>
        <v>0</v>
      </c>
      <c r="AH12" s="1">
        <f>HYD!AR14</f>
        <v>0</v>
      </c>
      <c r="AI12" s="1">
        <f>HYD!AS14</f>
        <v>0</v>
      </c>
      <c r="AJ12" s="1">
        <f>HYD!AT14</f>
        <v>0</v>
      </c>
      <c r="AK12" s="1">
        <f>HYD!AU14</f>
        <v>0</v>
      </c>
      <c r="AL12" s="1">
        <f>HYD!AV14</f>
        <v>0</v>
      </c>
      <c r="AM12" s="1">
        <f>HYD!AW14</f>
        <v>0</v>
      </c>
      <c r="AN12" s="1">
        <f>HYD!AX14</f>
        <v>0</v>
      </c>
      <c r="AO12" s="1">
        <f>HYD!AY14</f>
        <v>0</v>
      </c>
      <c r="AP12" s="29"/>
      <c r="AQ12" s="29"/>
      <c r="AR12" s="29"/>
      <c r="AS12" s="29"/>
    </row>
    <row r="13" spans="1:45" x14ac:dyDescent="0.3">
      <c r="A13" s="18">
        <v>11</v>
      </c>
      <c r="B13" s="18" t="str">
        <f t="shared" si="0"/>
        <v>CBH-05</v>
      </c>
      <c r="C13" s="26" t="e">
        <f>GSD!#REF!</f>
        <v>#REF!</v>
      </c>
      <c r="D13" s="22">
        <v>4.75</v>
      </c>
      <c r="E13" s="22">
        <v>2</v>
      </c>
      <c r="F13" s="22">
        <v>0.42499999999999999</v>
      </c>
      <c r="G13" s="22">
        <v>0.21199999999999999</v>
      </c>
      <c r="H13" s="22">
        <v>0.15</v>
      </c>
      <c r="I13" s="22">
        <v>7.4999999999999997E-2</v>
      </c>
      <c r="J13" s="23">
        <f>HYD!Z15</f>
        <v>0</v>
      </c>
      <c r="K13" s="23">
        <f>HYD!AA15</f>
        <v>0</v>
      </c>
      <c r="L13" s="23">
        <f>HYD!AB15</f>
        <v>0</v>
      </c>
      <c r="M13" s="23">
        <f>HYD!AC15</f>
        <v>0</v>
      </c>
      <c r="N13" s="23">
        <f>HYD!AD15</f>
        <v>0</v>
      </c>
      <c r="O13" s="23">
        <f>HYD!AE15</f>
        <v>0</v>
      </c>
      <c r="P13" s="23">
        <f>HYD!AF15</f>
        <v>0</v>
      </c>
      <c r="Q13" s="23">
        <f>HYD!AG15</f>
        <v>0</v>
      </c>
      <c r="R13" s="23">
        <f>HYD!AH15</f>
        <v>0</v>
      </c>
      <c r="S13" s="23">
        <f>HYD!AI15</f>
        <v>0</v>
      </c>
      <c r="T13" s="23">
        <f>HYD!AJ15</f>
        <v>0</v>
      </c>
      <c r="U13" s="23">
        <f>HYD!AK15</f>
        <v>0</v>
      </c>
      <c r="V13" s="23">
        <f>HYD!AL15</f>
        <v>0</v>
      </c>
      <c r="W13" s="1" t="e">
        <f>GSD!#REF!</f>
        <v>#REF!</v>
      </c>
      <c r="X13" s="1" t="e">
        <f>GSD!#REF!</f>
        <v>#REF!</v>
      </c>
      <c r="Y13" s="1" t="e">
        <f>GSD!#REF!</f>
        <v>#REF!</v>
      </c>
      <c r="Z13" s="1" t="e">
        <f>GSD!#REF!</f>
        <v>#REF!</v>
      </c>
      <c r="AA13" s="1" t="e">
        <f>GSD!#REF!</f>
        <v>#REF!</v>
      </c>
      <c r="AB13" s="38" t="e">
        <f>GSD!#REF!</f>
        <v>#REF!</v>
      </c>
      <c r="AC13" s="38">
        <f>HYD!AM15</f>
        <v>0</v>
      </c>
      <c r="AD13" s="1">
        <f>HYD!AN15</f>
        <v>0</v>
      </c>
      <c r="AE13" s="1">
        <f>HYD!AO15</f>
        <v>0</v>
      </c>
      <c r="AF13" s="1">
        <f>HYD!AP15</f>
        <v>0</v>
      </c>
      <c r="AG13" s="1">
        <f>HYD!AQ15</f>
        <v>0</v>
      </c>
      <c r="AH13" s="1">
        <f>HYD!AR15</f>
        <v>0</v>
      </c>
      <c r="AI13" s="1">
        <f>HYD!AS15</f>
        <v>0</v>
      </c>
      <c r="AJ13" s="1">
        <f>HYD!AT15</f>
        <v>0</v>
      </c>
      <c r="AK13" s="1">
        <f>HYD!AU15</f>
        <v>0</v>
      </c>
      <c r="AL13" s="1">
        <f>HYD!AV15</f>
        <v>0</v>
      </c>
      <c r="AM13" s="1">
        <f>HYD!AW15</f>
        <v>0</v>
      </c>
      <c r="AN13" s="1">
        <f>HYD!AX15</f>
        <v>0</v>
      </c>
      <c r="AO13" s="1">
        <f>HYD!AY15</f>
        <v>0</v>
      </c>
      <c r="AP13" s="29"/>
      <c r="AQ13" s="29"/>
      <c r="AR13" s="29"/>
      <c r="AS13" s="29"/>
    </row>
    <row r="14" spans="1:45" x14ac:dyDescent="0.3">
      <c r="A14" s="18">
        <v>12</v>
      </c>
      <c r="B14" s="18" t="str">
        <f t="shared" si="0"/>
        <v>CBH-05</v>
      </c>
      <c r="C14" s="26" t="e">
        <f>GSD!#REF!</f>
        <v>#REF!</v>
      </c>
      <c r="D14" s="22">
        <v>4.75</v>
      </c>
      <c r="E14" s="22">
        <v>2</v>
      </c>
      <c r="F14" s="22">
        <v>0.42499999999999999</v>
      </c>
      <c r="G14" s="22">
        <v>0.21199999999999999</v>
      </c>
      <c r="H14" s="22">
        <v>0.15</v>
      </c>
      <c r="I14" s="22">
        <v>7.4999999999999997E-2</v>
      </c>
      <c r="J14" s="23">
        <f>HYD!Z16</f>
        <v>0</v>
      </c>
      <c r="K14" s="23">
        <f>HYD!AA16</f>
        <v>0</v>
      </c>
      <c r="L14" s="23">
        <f>HYD!AB16</f>
        <v>0</v>
      </c>
      <c r="M14" s="23">
        <f>HYD!AC16</f>
        <v>0</v>
      </c>
      <c r="N14" s="23">
        <f>HYD!AD16</f>
        <v>0</v>
      </c>
      <c r="O14" s="23">
        <f>HYD!AE16</f>
        <v>0</v>
      </c>
      <c r="P14" s="23">
        <f>HYD!AF16</f>
        <v>0</v>
      </c>
      <c r="Q14" s="23">
        <f>HYD!AG16</f>
        <v>0</v>
      </c>
      <c r="R14" s="23">
        <f>HYD!AH16</f>
        <v>0</v>
      </c>
      <c r="S14" s="23">
        <f>HYD!AI16</f>
        <v>0</v>
      </c>
      <c r="T14" s="23">
        <f>HYD!AJ16</f>
        <v>0</v>
      </c>
      <c r="U14" s="23">
        <f>HYD!AK16</f>
        <v>0</v>
      </c>
      <c r="V14" s="23">
        <f>HYD!AL16</f>
        <v>0</v>
      </c>
      <c r="W14" s="1" t="e">
        <f>GSD!#REF!</f>
        <v>#REF!</v>
      </c>
      <c r="X14" s="1" t="e">
        <f>GSD!#REF!</f>
        <v>#REF!</v>
      </c>
      <c r="Y14" s="1" t="e">
        <f>GSD!#REF!</f>
        <v>#REF!</v>
      </c>
      <c r="Z14" s="1" t="e">
        <f>GSD!#REF!</f>
        <v>#REF!</v>
      </c>
      <c r="AA14" s="1" t="e">
        <f>GSD!#REF!</f>
        <v>#REF!</v>
      </c>
      <c r="AB14" s="38" t="e">
        <f>GSD!#REF!</f>
        <v>#REF!</v>
      </c>
      <c r="AC14" s="38">
        <f>HYD!AM16</f>
        <v>0</v>
      </c>
      <c r="AD14" s="1">
        <f>HYD!AN16</f>
        <v>0</v>
      </c>
      <c r="AE14" s="1">
        <f>HYD!AO16</f>
        <v>0</v>
      </c>
      <c r="AF14" s="1">
        <f>HYD!AP16</f>
        <v>0</v>
      </c>
      <c r="AG14" s="1">
        <f>HYD!AQ16</f>
        <v>0</v>
      </c>
      <c r="AH14" s="1">
        <f>HYD!AR16</f>
        <v>0</v>
      </c>
      <c r="AI14" s="1">
        <f>HYD!AS16</f>
        <v>0</v>
      </c>
      <c r="AJ14" s="1">
        <f>HYD!AT16</f>
        <v>0</v>
      </c>
      <c r="AK14" s="1">
        <f>HYD!AU16</f>
        <v>0</v>
      </c>
      <c r="AL14" s="1">
        <f>HYD!AV16</f>
        <v>0</v>
      </c>
      <c r="AM14" s="1">
        <f>HYD!AW16</f>
        <v>0</v>
      </c>
      <c r="AN14" s="1">
        <f>HYD!AX16</f>
        <v>0</v>
      </c>
      <c r="AO14" s="1">
        <f>HYD!AY16</f>
        <v>0</v>
      </c>
      <c r="AP14" s="29"/>
      <c r="AQ14" s="29"/>
      <c r="AR14" s="29"/>
      <c r="AS14" s="29"/>
    </row>
    <row r="15" spans="1:45" x14ac:dyDescent="0.3">
      <c r="A15" s="18">
        <v>13</v>
      </c>
      <c r="B15" s="18" t="str">
        <f t="shared" si="0"/>
        <v>CBH-05</v>
      </c>
      <c r="C15" s="26" t="e">
        <f>GSD!#REF!</f>
        <v>#REF!</v>
      </c>
      <c r="D15" s="22">
        <v>4.75</v>
      </c>
      <c r="E15" s="22">
        <v>2</v>
      </c>
      <c r="F15" s="22">
        <v>0.42499999999999999</v>
      </c>
      <c r="G15" s="22">
        <v>0.21199999999999999</v>
      </c>
      <c r="H15" s="22">
        <v>0.15</v>
      </c>
      <c r="I15" s="22">
        <v>7.4999999999999997E-2</v>
      </c>
      <c r="J15" s="23">
        <f>HYD!Z17</f>
        <v>0</v>
      </c>
      <c r="K15" s="23">
        <f>HYD!AA17</f>
        <v>0</v>
      </c>
      <c r="L15" s="23">
        <f>HYD!AB17</f>
        <v>0</v>
      </c>
      <c r="M15" s="23">
        <f>HYD!AC17</f>
        <v>0</v>
      </c>
      <c r="N15" s="23">
        <f>HYD!AD17</f>
        <v>0</v>
      </c>
      <c r="O15" s="23">
        <f>HYD!AE17</f>
        <v>0</v>
      </c>
      <c r="P15" s="23">
        <f>HYD!AF17</f>
        <v>0</v>
      </c>
      <c r="Q15" s="23">
        <f>HYD!AG17</f>
        <v>0</v>
      </c>
      <c r="R15" s="23">
        <f>HYD!AH17</f>
        <v>0</v>
      </c>
      <c r="S15" s="23">
        <f>HYD!AI17</f>
        <v>0</v>
      </c>
      <c r="T15" s="23">
        <f>HYD!AJ17</f>
        <v>0</v>
      </c>
      <c r="U15" s="23">
        <f>HYD!AK17</f>
        <v>0</v>
      </c>
      <c r="V15" s="23">
        <f>HYD!AL17</f>
        <v>0</v>
      </c>
      <c r="W15" s="1" t="e">
        <f>GSD!#REF!</f>
        <v>#REF!</v>
      </c>
      <c r="X15" s="1" t="e">
        <f>GSD!#REF!</f>
        <v>#REF!</v>
      </c>
      <c r="Y15" s="1" t="e">
        <f>GSD!#REF!</f>
        <v>#REF!</v>
      </c>
      <c r="Z15" s="1" t="e">
        <f>GSD!#REF!</f>
        <v>#REF!</v>
      </c>
      <c r="AA15" s="1" t="e">
        <f>GSD!#REF!</f>
        <v>#REF!</v>
      </c>
      <c r="AB15" s="38" t="e">
        <f>GSD!#REF!</f>
        <v>#REF!</v>
      </c>
      <c r="AC15" s="38">
        <f>HYD!AM17</f>
        <v>0</v>
      </c>
      <c r="AD15" s="1">
        <f>HYD!AN17</f>
        <v>0</v>
      </c>
      <c r="AE15" s="1">
        <f>HYD!AO17</f>
        <v>0</v>
      </c>
      <c r="AF15" s="1">
        <f>HYD!AP17</f>
        <v>0</v>
      </c>
      <c r="AG15" s="1">
        <f>HYD!AQ17</f>
        <v>0</v>
      </c>
      <c r="AH15" s="1">
        <f>HYD!AR17</f>
        <v>0</v>
      </c>
      <c r="AI15" s="1">
        <f>HYD!AS17</f>
        <v>0</v>
      </c>
      <c r="AJ15" s="1">
        <f>HYD!AT17</f>
        <v>0</v>
      </c>
      <c r="AK15" s="1">
        <f>HYD!AU17</f>
        <v>0</v>
      </c>
      <c r="AL15" s="1">
        <f>HYD!AV17</f>
        <v>0</v>
      </c>
      <c r="AM15" s="1">
        <f>HYD!AW17</f>
        <v>0</v>
      </c>
      <c r="AN15" s="1">
        <f>HYD!AX17</f>
        <v>0</v>
      </c>
      <c r="AO15" s="1">
        <f>HYD!AY17</f>
        <v>0</v>
      </c>
      <c r="AP15" s="29"/>
      <c r="AQ15" s="29"/>
      <c r="AR15" s="29"/>
      <c r="AS15" s="29"/>
    </row>
    <row r="16" spans="1:45" x14ac:dyDescent="0.3">
      <c r="A16" s="18">
        <v>14</v>
      </c>
      <c r="B16" s="18" t="str">
        <f t="shared" si="0"/>
        <v>CBH-05</v>
      </c>
      <c r="C16" s="26" t="e">
        <f>GSD!#REF!</f>
        <v>#REF!</v>
      </c>
      <c r="D16" s="22">
        <v>4.75</v>
      </c>
      <c r="E16" s="22">
        <v>2</v>
      </c>
      <c r="F16" s="22">
        <v>0.42499999999999999</v>
      </c>
      <c r="G16" s="22">
        <v>0.21199999999999999</v>
      </c>
      <c r="H16" s="22">
        <v>0.15</v>
      </c>
      <c r="I16" s="22">
        <v>7.4999999999999997E-2</v>
      </c>
      <c r="J16" s="23">
        <f>HYD!Z18</f>
        <v>0</v>
      </c>
      <c r="K16" s="23">
        <f>HYD!AA18</f>
        <v>0</v>
      </c>
      <c r="L16" s="23">
        <f>HYD!AB18</f>
        <v>0</v>
      </c>
      <c r="M16" s="23">
        <f>HYD!AC18</f>
        <v>0</v>
      </c>
      <c r="N16" s="23">
        <f>HYD!AD18</f>
        <v>0</v>
      </c>
      <c r="O16" s="23">
        <f>HYD!AE18</f>
        <v>0</v>
      </c>
      <c r="P16" s="23">
        <f>HYD!AF18</f>
        <v>0</v>
      </c>
      <c r="Q16" s="23">
        <f>HYD!AG18</f>
        <v>0</v>
      </c>
      <c r="R16" s="23">
        <f>HYD!AH18</f>
        <v>0</v>
      </c>
      <c r="S16" s="23">
        <f>HYD!AI18</f>
        <v>0</v>
      </c>
      <c r="T16" s="23">
        <f>HYD!AJ18</f>
        <v>0</v>
      </c>
      <c r="U16" s="23">
        <f>HYD!AK18</f>
        <v>0</v>
      </c>
      <c r="V16" s="23">
        <f>HYD!AL18</f>
        <v>0</v>
      </c>
      <c r="W16" s="1" t="e">
        <f>GSD!#REF!</f>
        <v>#REF!</v>
      </c>
      <c r="X16" s="1" t="e">
        <f>GSD!#REF!</f>
        <v>#REF!</v>
      </c>
      <c r="Y16" s="1" t="e">
        <f>GSD!#REF!</f>
        <v>#REF!</v>
      </c>
      <c r="Z16" s="1" t="e">
        <f>GSD!#REF!</f>
        <v>#REF!</v>
      </c>
      <c r="AA16" s="1" t="e">
        <f>GSD!#REF!</f>
        <v>#REF!</v>
      </c>
      <c r="AB16" s="38" t="e">
        <f>GSD!#REF!</f>
        <v>#REF!</v>
      </c>
      <c r="AC16" s="38">
        <f>HYD!AM18</f>
        <v>0</v>
      </c>
      <c r="AD16" s="1">
        <f>HYD!AN18</f>
        <v>0</v>
      </c>
      <c r="AE16" s="1">
        <f>HYD!AO18</f>
        <v>0</v>
      </c>
      <c r="AF16" s="1">
        <f>HYD!AP18</f>
        <v>0</v>
      </c>
      <c r="AG16" s="1">
        <f>HYD!AQ18</f>
        <v>0</v>
      </c>
      <c r="AH16" s="1">
        <f>HYD!AR18</f>
        <v>0</v>
      </c>
      <c r="AI16" s="1">
        <f>HYD!AS18</f>
        <v>0</v>
      </c>
      <c r="AJ16" s="1">
        <f>HYD!AT18</f>
        <v>0</v>
      </c>
      <c r="AK16" s="1">
        <f>HYD!AU18</f>
        <v>0</v>
      </c>
      <c r="AL16" s="1">
        <f>HYD!AV18</f>
        <v>0</v>
      </c>
      <c r="AM16" s="1">
        <f>HYD!AW18</f>
        <v>0</v>
      </c>
      <c r="AN16" s="1">
        <f>HYD!AX18</f>
        <v>0</v>
      </c>
      <c r="AO16" s="1">
        <f>HYD!AY18</f>
        <v>0</v>
      </c>
      <c r="AP16" s="29"/>
      <c r="AQ16" s="29"/>
      <c r="AR16" s="29"/>
      <c r="AS16" s="29"/>
    </row>
    <row r="17" spans="1:45" x14ac:dyDescent="0.3">
      <c r="A17" s="18">
        <v>15</v>
      </c>
      <c r="B17" s="18" t="str">
        <f t="shared" si="0"/>
        <v>CBH-05</v>
      </c>
      <c r="C17" s="26" t="e">
        <f>GSD!#REF!</f>
        <v>#REF!</v>
      </c>
      <c r="D17" s="22">
        <v>4.75</v>
      </c>
      <c r="E17" s="22">
        <v>2</v>
      </c>
      <c r="F17" s="22">
        <v>0.42499999999999999</v>
      </c>
      <c r="G17" s="22">
        <v>0.21199999999999999</v>
      </c>
      <c r="H17" s="22">
        <v>0.15</v>
      </c>
      <c r="I17" s="22">
        <v>7.4999999999999997E-2</v>
      </c>
      <c r="J17" s="23">
        <f>HYD!Z19</f>
        <v>0</v>
      </c>
      <c r="K17" s="23">
        <f>HYD!AA19</f>
        <v>0</v>
      </c>
      <c r="L17" s="23">
        <f>HYD!AB19</f>
        <v>0</v>
      </c>
      <c r="M17" s="23">
        <f>HYD!AC19</f>
        <v>0</v>
      </c>
      <c r="N17" s="23">
        <f>HYD!AD19</f>
        <v>0</v>
      </c>
      <c r="O17" s="23">
        <f>HYD!AE19</f>
        <v>0</v>
      </c>
      <c r="P17" s="23">
        <f>HYD!AF19</f>
        <v>0</v>
      </c>
      <c r="Q17" s="23">
        <f>HYD!AG19</f>
        <v>0</v>
      </c>
      <c r="R17" s="23">
        <f>HYD!AH19</f>
        <v>0</v>
      </c>
      <c r="S17" s="23">
        <f>HYD!AI19</f>
        <v>0</v>
      </c>
      <c r="T17" s="23">
        <f>HYD!AJ19</f>
        <v>0</v>
      </c>
      <c r="U17" s="23">
        <f>HYD!AK19</f>
        <v>0</v>
      </c>
      <c r="V17" s="23">
        <f>HYD!AL19</f>
        <v>0</v>
      </c>
      <c r="W17" s="1" t="e">
        <f>GSD!#REF!</f>
        <v>#REF!</v>
      </c>
      <c r="X17" s="1" t="e">
        <f>GSD!#REF!</f>
        <v>#REF!</v>
      </c>
      <c r="Y17" s="1" t="e">
        <f>GSD!#REF!</f>
        <v>#REF!</v>
      </c>
      <c r="Z17" s="1" t="e">
        <f>GSD!#REF!</f>
        <v>#REF!</v>
      </c>
      <c r="AA17" s="1" t="e">
        <f>GSD!#REF!</f>
        <v>#REF!</v>
      </c>
      <c r="AB17" s="38" t="e">
        <f>GSD!#REF!</f>
        <v>#REF!</v>
      </c>
      <c r="AC17" s="38">
        <f>HYD!AM19</f>
        <v>0</v>
      </c>
      <c r="AD17" s="1">
        <f>HYD!AN19</f>
        <v>0</v>
      </c>
      <c r="AE17" s="1">
        <f>HYD!AO19</f>
        <v>0</v>
      </c>
      <c r="AF17" s="1">
        <f>HYD!AP19</f>
        <v>0</v>
      </c>
      <c r="AG17" s="1">
        <f>HYD!AQ19</f>
        <v>0</v>
      </c>
      <c r="AH17" s="1">
        <f>HYD!AR19</f>
        <v>0</v>
      </c>
      <c r="AI17" s="1">
        <f>HYD!AS19</f>
        <v>0</v>
      </c>
      <c r="AJ17" s="1">
        <f>HYD!AT19</f>
        <v>0</v>
      </c>
      <c r="AK17" s="1">
        <f>HYD!AU19</f>
        <v>0</v>
      </c>
      <c r="AL17" s="1">
        <f>HYD!AV19</f>
        <v>0</v>
      </c>
      <c r="AM17" s="1">
        <f>HYD!AW19</f>
        <v>0</v>
      </c>
      <c r="AN17" s="1">
        <f>HYD!AX19</f>
        <v>0</v>
      </c>
      <c r="AO17" s="1">
        <f>HYD!AY19</f>
        <v>0</v>
      </c>
      <c r="AP17" s="29"/>
      <c r="AQ17" s="29"/>
      <c r="AR17" s="29"/>
      <c r="AS17" s="29"/>
    </row>
    <row r="18" spans="1:45" x14ac:dyDescent="0.3">
      <c r="A18" s="18">
        <v>16</v>
      </c>
      <c r="B18" s="18" t="str">
        <f t="shared" si="0"/>
        <v>CBH-05</v>
      </c>
      <c r="C18" s="26" t="e">
        <f>GSD!#REF!</f>
        <v>#REF!</v>
      </c>
      <c r="D18" s="22">
        <v>4.75</v>
      </c>
      <c r="E18" s="22">
        <v>2</v>
      </c>
      <c r="F18" s="22">
        <v>0.42499999999999999</v>
      </c>
      <c r="G18" s="22">
        <v>0.21199999999999999</v>
      </c>
      <c r="H18" s="22">
        <v>0.15</v>
      </c>
      <c r="I18" s="22">
        <v>7.4999999999999997E-2</v>
      </c>
      <c r="J18" s="23">
        <f>HYD!Z20</f>
        <v>0</v>
      </c>
      <c r="K18" s="23">
        <f>HYD!AA20</f>
        <v>0</v>
      </c>
      <c r="L18" s="23">
        <f>HYD!AB20</f>
        <v>0</v>
      </c>
      <c r="M18" s="23">
        <f>HYD!AC20</f>
        <v>0</v>
      </c>
      <c r="N18" s="23">
        <f>HYD!AD20</f>
        <v>0</v>
      </c>
      <c r="O18" s="23">
        <f>HYD!AE20</f>
        <v>0</v>
      </c>
      <c r="P18" s="23">
        <f>HYD!AF20</f>
        <v>0</v>
      </c>
      <c r="Q18" s="23">
        <f>HYD!AG20</f>
        <v>0</v>
      </c>
      <c r="R18" s="23">
        <f>HYD!AH20</f>
        <v>0</v>
      </c>
      <c r="S18" s="23">
        <f>HYD!AI20</f>
        <v>0</v>
      </c>
      <c r="T18" s="23">
        <f>HYD!AJ20</f>
        <v>0</v>
      </c>
      <c r="U18" s="23">
        <f>HYD!AK20</f>
        <v>0</v>
      </c>
      <c r="V18" s="23">
        <f>HYD!AL20</f>
        <v>0</v>
      </c>
      <c r="W18" s="1" t="e">
        <f>GSD!#REF!</f>
        <v>#REF!</v>
      </c>
      <c r="X18" s="1" t="e">
        <f>GSD!#REF!</f>
        <v>#REF!</v>
      </c>
      <c r="Y18" s="1" t="e">
        <f>GSD!#REF!</f>
        <v>#REF!</v>
      </c>
      <c r="Z18" s="1" t="e">
        <f>GSD!#REF!</f>
        <v>#REF!</v>
      </c>
      <c r="AA18" s="1" t="e">
        <f>GSD!#REF!</f>
        <v>#REF!</v>
      </c>
      <c r="AB18" s="38" t="e">
        <f>GSD!#REF!</f>
        <v>#REF!</v>
      </c>
      <c r="AC18" s="38">
        <f>HYD!AM20</f>
        <v>0</v>
      </c>
      <c r="AD18" s="1">
        <f>HYD!AN20</f>
        <v>0</v>
      </c>
      <c r="AE18" s="1">
        <f>HYD!AO20</f>
        <v>0</v>
      </c>
      <c r="AF18" s="1">
        <f>HYD!AP20</f>
        <v>0</v>
      </c>
      <c r="AG18" s="1">
        <f>HYD!AQ20</f>
        <v>0</v>
      </c>
      <c r="AH18" s="1">
        <f>HYD!AR20</f>
        <v>0</v>
      </c>
      <c r="AI18" s="1">
        <f>HYD!AS20</f>
        <v>0</v>
      </c>
      <c r="AJ18" s="1">
        <f>HYD!AT20</f>
        <v>0</v>
      </c>
      <c r="AK18" s="1">
        <f>HYD!AU20</f>
        <v>0</v>
      </c>
      <c r="AL18" s="1">
        <f>HYD!AV20</f>
        <v>0</v>
      </c>
      <c r="AM18" s="1">
        <f>HYD!AW20</f>
        <v>0</v>
      </c>
      <c r="AN18" s="1">
        <f>HYD!AX20</f>
        <v>0</v>
      </c>
      <c r="AO18" s="1">
        <f>HYD!AY20</f>
        <v>0</v>
      </c>
      <c r="AP18" s="29"/>
      <c r="AQ18" s="29"/>
      <c r="AR18" s="29"/>
      <c r="AS18" s="29"/>
    </row>
    <row r="19" spans="1:45" x14ac:dyDescent="0.3">
      <c r="A19" s="18">
        <v>17</v>
      </c>
      <c r="B19" s="18" t="str">
        <f t="shared" si="0"/>
        <v>CBH-05</v>
      </c>
      <c r="C19" s="26" t="e">
        <f>GSD!#REF!</f>
        <v>#REF!</v>
      </c>
      <c r="D19" s="22">
        <v>4.75</v>
      </c>
      <c r="E19" s="22">
        <v>2</v>
      </c>
      <c r="F19" s="22">
        <v>0.42499999999999999</v>
      </c>
      <c r="G19" s="22">
        <v>0.21199999999999999</v>
      </c>
      <c r="H19" s="22">
        <v>0.15</v>
      </c>
      <c r="I19" s="22">
        <v>7.4999999999999997E-2</v>
      </c>
      <c r="J19" s="23">
        <f>HYD!Z21</f>
        <v>0</v>
      </c>
      <c r="K19" s="23">
        <f>HYD!AA21</f>
        <v>0</v>
      </c>
      <c r="L19" s="23">
        <f>HYD!AB21</f>
        <v>0</v>
      </c>
      <c r="M19" s="23">
        <f>HYD!AC21</f>
        <v>0</v>
      </c>
      <c r="N19" s="23">
        <f>HYD!AD21</f>
        <v>0</v>
      </c>
      <c r="O19" s="23">
        <f>HYD!AE21</f>
        <v>0</v>
      </c>
      <c r="P19" s="23">
        <f>HYD!AF21</f>
        <v>0</v>
      </c>
      <c r="Q19" s="23">
        <f>HYD!AG21</f>
        <v>0</v>
      </c>
      <c r="R19" s="23">
        <f>HYD!AH21</f>
        <v>0</v>
      </c>
      <c r="S19" s="23">
        <f>HYD!AI21</f>
        <v>0</v>
      </c>
      <c r="T19" s="23">
        <f>HYD!AJ21</f>
        <v>0</v>
      </c>
      <c r="U19" s="23">
        <f>HYD!AK21</f>
        <v>0</v>
      </c>
      <c r="V19" s="23">
        <f>HYD!AL21</f>
        <v>0</v>
      </c>
      <c r="W19" s="1" t="e">
        <f>GSD!#REF!</f>
        <v>#REF!</v>
      </c>
      <c r="X19" s="1" t="e">
        <f>GSD!#REF!</f>
        <v>#REF!</v>
      </c>
      <c r="Y19" s="1" t="e">
        <f>GSD!#REF!</f>
        <v>#REF!</v>
      </c>
      <c r="Z19" s="1" t="e">
        <f>GSD!#REF!</f>
        <v>#REF!</v>
      </c>
      <c r="AA19" s="1" t="e">
        <f>GSD!#REF!</f>
        <v>#REF!</v>
      </c>
      <c r="AB19" s="38" t="e">
        <f>GSD!#REF!</f>
        <v>#REF!</v>
      </c>
      <c r="AC19" s="38">
        <f>HYD!AM21</f>
        <v>0</v>
      </c>
      <c r="AD19" s="1">
        <f>HYD!AN21</f>
        <v>0</v>
      </c>
      <c r="AE19" s="1">
        <f>HYD!AO21</f>
        <v>0</v>
      </c>
      <c r="AF19" s="1">
        <f>HYD!AP21</f>
        <v>0</v>
      </c>
      <c r="AG19" s="1">
        <f>HYD!AQ21</f>
        <v>0</v>
      </c>
      <c r="AH19" s="1">
        <f>HYD!AR21</f>
        <v>0</v>
      </c>
      <c r="AI19" s="1">
        <f>HYD!AS21</f>
        <v>0</v>
      </c>
      <c r="AJ19" s="1">
        <f>HYD!AT21</f>
        <v>0</v>
      </c>
      <c r="AK19" s="1">
        <f>HYD!AU21</f>
        <v>0</v>
      </c>
      <c r="AL19" s="1">
        <f>HYD!AV21</f>
        <v>0</v>
      </c>
      <c r="AM19" s="1">
        <f>HYD!AW21</f>
        <v>0</v>
      </c>
      <c r="AN19" s="1">
        <f>HYD!AX21</f>
        <v>0</v>
      </c>
      <c r="AO19" s="1">
        <f>HYD!AY21</f>
        <v>0</v>
      </c>
      <c r="AP19" s="29"/>
      <c r="AQ19" s="29"/>
      <c r="AR19" s="29"/>
      <c r="AS19" s="29"/>
    </row>
    <row r="20" spans="1:45" x14ac:dyDescent="0.3">
      <c r="A20" s="18">
        <v>18</v>
      </c>
      <c r="B20" s="18" t="str">
        <f t="shared" si="0"/>
        <v>CBH-05</v>
      </c>
      <c r="C20" s="26" t="e">
        <f>GSD!#REF!</f>
        <v>#REF!</v>
      </c>
      <c r="D20" s="22">
        <v>4.75</v>
      </c>
      <c r="E20" s="22">
        <v>2</v>
      </c>
      <c r="F20" s="22">
        <v>0.42499999999999999</v>
      </c>
      <c r="G20" s="22">
        <v>0.21199999999999999</v>
      </c>
      <c r="H20" s="22">
        <v>0.15</v>
      </c>
      <c r="I20" s="22">
        <v>7.4999999999999997E-2</v>
      </c>
      <c r="J20" s="23">
        <f>HYD!Z22</f>
        <v>0</v>
      </c>
      <c r="K20" s="23">
        <f>HYD!AA22</f>
        <v>0</v>
      </c>
      <c r="L20" s="23">
        <f>HYD!AB22</f>
        <v>0</v>
      </c>
      <c r="M20" s="23">
        <f>HYD!AC22</f>
        <v>0</v>
      </c>
      <c r="N20" s="23">
        <f>HYD!AD22</f>
        <v>0</v>
      </c>
      <c r="O20" s="23">
        <f>HYD!AE22</f>
        <v>0</v>
      </c>
      <c r="P20" s="23">
        <f>HYD!AF22</f>
        <v>0</v>
      </c>
      <c r="Q20" s="23">
        <f>HYD!AG22</f>
        <v>0</v>
      </c>
      <c r="R20" s="23">
        <f>HYD!AH22</f>
        <v>0</v>
      </c>
      <c r="S20" s="23">
        <f>HYD!AI22</f>
        <v>0</v>
      </c>
      <c r="T20" s="23">
        <f>HYD!AJ22</f>
        <v>0</v>
      </c>
      <c r="U20" s="23">
        <f>HYD!AK22</f>
        <v>0</v>
      </c>
      <c r="V20" s="23">
        <f>HYD!AL22</f>
        <v>0</v>
      </c>
      <c r="W20" s="1" t="e">
        <f>GSD!#REF!</f>
        <v>#REF!</v>
      </c>
      <c r="X20" s="1" t="e">
        <f>GSD!#REF!</f>
        <v>#REF!</v>
      </c>
      <c r="Y20" s="1" t="e">
        <f>GSD!#REF!</f>
        <v>#REF!</v>
      </c>
      <c r="Z20" s="1" t="e">
        <f>GSD!#REF!</f>
        <v>#REF!</v>
      </c>
      <c r="AA20" s="1" t="e">
        <f>GSD!#REF!</f>
        <v>#REF!</v>
      </c>
      <c r="AB20" s="38" t="e">
        <f>GSD!#REF!</f>
        <v>#REF!</v>
      </c>
      <c r="AC20" s="38">
        <f>HYD!AM22</f>
        <v>0</v>
      </c>
      <c r="AD20" s="1">
        <f>HYD!AN22</f>
        <v>0</v>
      </c>
      <c r="AE20" s="1">
        <f>HYD!AO22</f>
        <v>0</v>
      </c>
      <c r="AF20" s="1">
        <f>HYD!AP22</f>
        <v>0</v>
      </c>
      <c r="AG20" s="1">
        <f>HYD!AQ22</f>
        <v>0</v>
      </c>
      <c r="AH20" s="1">
        <f>HYD!AR22</f>
        <v>0</v>
      </c>
      <c r="AI20" s="1">
        <f>HYD!AS22</f>
        <v>0</v>
      </c>
      <c r="AJ20" s="1">
        <f>HYD!AT22</f>
        <v>0</v>
      </c>
      <c r="AK20" s="1">
        <f>HYD!AU22</f>
        <v>0</v>
      </c>
      <c r="AL20" s="1">
        <f>HYD!AV22</f>
        <v>0</v>
      </c>
      <c r="AM20" s="1">
        <f>HYD!AW22</f>
        <v>0</v>
      </c>
      <c r="AN20" s="1">
        <f>HYD!AX22</f>
        <v>0</v>
      </c>
      <c r="AO20" s="1">
        <f>HYD!AY22</f>
        <v>0</v>
      </c>
      <c r="AP20" s="29"/>
      <c r="AQ20" s="29"/>
      <c r="AR20" s="29"/>
      <c r="AS20" s="29"/>
    </row>
    <row r="21" spans="1:45" x14ac:dyDescent="0.3">
      <c r="A21" s="18">
        <v>19</v>
      </c>
      <c r="B21" s="18" t="str">
        <f t="shared" si="0"/>
        <v>CBH-05</v>
      </c>
      <c r="C21" s="26" t="e">
        <f>GSD!#REF!</f>
        <v>#REF!</v>
      </c>
      <c r="D21" s="22">
        <v>4.75</v>
      </c>
      <c r="E21" s="22">
        <v>2</v>
      </c>
      <c r="F21" s="22">
        <v>0.42499999999999999</v>
      </c>
      <c r="G21" s="22">
        <v>0.21199999999999999</v>
      </c>
      <c r="H21" s="22">
        <v>0.15</v>
      </c>
      <c r="I21" s="22">
        <v>7.4999999999999997E-2</v>
      </c>
      <c r="J21" s="23">
        <f>HYD!Z23</f>
        <v>0</v>
      </c>
      <c r="K21" s="23">
        <f>HYD!AA23</f>
        <v>0</v>
      </c>
      <c r="L21" s="23">
        <f>HYD!AB23</f>
        <v>0</v>
      </c>
      <c r="M21" s="23">
        <f>HYD!AC23</f>
        <v>0</v>
      </c>
      <c r="N21" s="23">
        <f>HYD!AD23</f>
        <v>0</v>
      </c>
      <c r="O21" s="23">
        <f>HYD!AE23</f>
        <v>0</v>
      </c>
      <c r="P21" s="23">
        <f>HYD!AF23</f>
        <v>0</v>
      </c>
      <c r="Q21" s="23">
        <f>HYD!AG23</f>
        <v>0</v>
      </c>
      <c r="R21" s="23">
        <f>HYD!AH23</f>
        <v>0</v>
      </c>
      <c r="S21" s="23">
        <f>HYD!AI23</f>
        <v>0</v>
      </c>
      <c r="T21" s="23">
        <f>HYD!AJ23</f>
        <v>0</v>
      </c>
      <c r="U21" s="23">
        <f>HYD!AK23</f>
        <v>0</v>
      </c>
      <c r="V21" s="23">
        <f>HYD!AL23</f>
        <v>0</v>
      </c>
      <c r="W21" s="1" t="e">
        <f>GSD!#REF!</f>
        <v>#REF!</v>
      </c>
      <c r="X21" s="1" t="e">
        <f>GSD!#REF!</f>
        <v>#REF!</v>
      </c>
      <c r="Y21" s="1" t="e">
        <f>GSD!#REF!</f>
        <v>#REF!</v>
      </c>
      <c r="Z21" s="1" t="e">
        <f>GSD!#REF!</f>
        <v>#REF!</v>
      </c>
      <c r="AA21" s="1" t="e">
        <f>GSD!#REF!</f>
        <v>#REF!</v>
      </c>
      <c r="AB21" s="38" t="e">
        <f>GSD!#REF!</f>
        <v>#REF!</v>
      </c>
      <c r="AC21" s="38">
        <f>HYD!AM23</f>
        <v>0</v>
      </c>
      <c r="AD21" s="1">
        <f>HYD!AN23</f>
        <v>0</v>
      </c>
      <c r="AE21" s="1">
        <f>HYD!AO23</f>
        <v>0</v>
      </c>
      <c r="AF21" s="1">
        <f>HYD!AP23</f>
        <v>0</v>
      </c>
      <c r="AG21" s="1">
        <f>HYD!AQ23</f>
        <v>0</v>
      </c>
      <c r="AH21" s="1">
        <f>HYD!AR23</f>
        <v>0</v>
      </c>
      <c r="AI21" s="1">
        <f>HYD!AS23</f>
        <v>0</v>
      </c>
      <c r="AJ21" s="1">
        <f>HYD!AT23</f>
        <v>0</v>
      </c>
      <c r="AK21" s="1">
        <f>HYD!AU23</f>
        <v>0</v>
      </c>
      <c r="AL21" s="1">
        <f>HYD!AV23</f>
        <v>0</v>
      </c>
      <c r="AM21" s="1">
        <f>HYD!AW23</f>
        <v>0</v>
      </c>
      <c r="AN21" s="1">
        <f>HYD!AX23</f>
        <v>0</v>
      </c>
      <c r="AO21" s="1">
        <f>HYD!AY23</f>
        <v>0</v>
      </c>
      <c r="AP21" s="29"/>
      <c r="AQ21" s="29"/>
      <c r="AR21" s="29"/>
      <c r="AS21" s="29"/>
    </row>
    <row r="22" spans="1:45" x14ac:dyDescent="0.3">
      <c r="A22" s="18">
        <v>20</v>
      </c>
      <c r="B22" s="18" t="str">
        <f t="shared" si="0"/>
        <v>CBH-05</v>
      </c>
      <c r="C22" s="26" t="e">
        <f>GSD!#REF!</f>
        <v>#REF!</v>
      </c>
      <c r="D22" s="22">
        <v>4.75</v>
      </c>
      <c r="E22" s="22">
        <v>2</v>
      </c>
      <c r="F22" s="22">
        <v>0.42499999999999999</v>
      </c>
      <c r="G22" s="22">
        <v>0.21199999999999999</v>
      </c>
      <c r="H22" s="22">
        <v>0.15</v>
      </c>
      <c r="I22" s="22">
        <v>7.4999999999999997E-2</v>
      </c>
      <c r="J22" s="23">
        <f>HYD!Z24</f>
        <v>0</v>
      </c>
      <c r="K22" s="23">
        <f>HYD!AA24</f>
        <v>0</v>
      </c>
      <c r="L22" s="23">
        <f>HYD!AB24</f>
        <v>0</v>
      </c>
      <c r="M22" s="23">
        <f>HYD!AC24</f>
        <v>0</v>
      </c>
      <c r="N22" s="23">
        <f>HYD!AD24</f>
        <v>0</v>
      </c>
      <c r="O22" s="23">
        <f>HYD!AE24</f>
        <v>0</v>
      </c>
      <c r="P22" s="23">
        <f>HYD!AF24</f>
        <v>0</v>
      </c>
      <c r="Q22" s="23">
        <f>HYD!AG24</f>
        <v>0</v>
      </c>
      <c r="R22" s="23">
        <f>HYD!AH24</f>
        <v>0</v>
      </c>
      <c r="S22" s="23">
        <f>HYD!AI24</f>
        <v>0</v>
      </c>
      <c r="T22" s="23">
        <f>HYD!AJ24</f>
        <v>0</v>
      </c>
      <c r="U22" s="23">
        <f>HYD!AK24</f>
        <v>0</v>
      </c>
      <c r="V22" s="23">
        <f>HYD!AL24</f>
        <v>0</v>
      </c>
      <c r="W22" s="1" t="e">
        <f>GSD!#REF!</f>
        <v>#REF!</v>
      </c>
      <c r="X22" s="1" t="e">
        <f>GSD!#REF!</f>
        <v>#REF!</v>
      </c>
      <c r="Y22" s="1" t="e">
        <f>GSD!#REF!</f>
        <v>#REF!</v>
      </c>
      <c r="Z22" s="1" t="e">
        <f>GSD!#REF!</f>
        <v>#REF!</v>
      </c>
      <c r="AA22" s="1" t="e">
        <f>GSD!#REF!</f>
        <v>#REF!</v>
      </c>
      <c r="AB22" s="38" t="e">
        <f>GSD!#REF!</f>
        <v>#REF!</v>
      </c>
      <c r="AC22" s="38">
        <f>HYD!AM24</f>
        <v>0</v>
      </c>
      <c r="AD22" s="1">
        <f>HYD!AN24</f>
        <v>0</v>
      </c>
      <c r="AE22" s="1">
        <f>HYD!AO24</f>
        <v>0</v>
      </c>
      <c r="AF22" s="1">
        <f>HYD!AP24</f>
        <v>0</v>
      </c>
      <c r="AG22" s="1">
        <f>HYD!AQ24</f>
        <v>0</v>
      </c>
      <c r="AH22" s="1">
        <f>HYD!AR24</f>
        <v>0</v>
      </c>
      <c r="AI22" s="1">
        <f>HYD!AS24</f>
        <v>0</v>
      </c>
      <c r="AJ22" s="1">
        <f>HYD!AT24</f>
        <v>0</v>
      </c>
      <c r="AK22" s="1">
        <f>HYD!AU24</f>
        <v>0</v>
      </c>
      <c r="AL22" s="1">
        <f>HYD!AV24</f>
        <v>0</v>
      </c>
      <c r="AM22" s="1">
        <f>HYD!AW24</f>
        <v>0</v>
      </c>
      <c r="AN22" s="1">
        <f>HYD!AX24</f>
        <v>0</v>
      </c>
      <c r="AO22" s="1">
        <f>HYD!AY24</f>
        <v>0</v>
      </c>
    </row>
    <row r="23" spans="1:45" x14ac:dyDescent="0.3">
      <c r="A23" s="18">
        <v>21</v>
      </c>
      <c r="B23" s="18" t="str">
        <f t="shared" si="0"/>
        <v>CBH-05</v>
      </c>
      <c r="C23" s="26" t="e">
        <f>GSD!#REF!</f>
        <v>#REF!</v>
      </c>
      <c r="D23" s="22">
        <v>4.75</v>
      </c>
      <c r="E23" s="22">
        <v>2</v>
      </c>
      <c r="F23" s="22">
        <v>0.42499999999999999</v>
      </c>
      <c r="G23" s="22">
        <v>0.21199999999999999</v>
      </c>
      <c r="H23" s="22">
        <v>0.15</v>
      </c>
      <c r="I23" s="22">
        <v>7.4999999999999997E-2</v>
      </c>
      <c r="J23" s="23">
        <f>HYD!Z25</f>
        <v>0</v>
      </c>
      <c r="K23" s="23">
        <f>HYD!AA25</f>
        <v>0</v>
      </c>
      <c r="L23" s="23">
        <f>HYD!AB25</f>
        <v>0</v>
      </c>
      <c r="M23" s="23">
        <f>HYD!AC25</f>
        <v>0</v>
      </c>
      <c r="N23" s="23">
        <f>HYD!AD25</f>
        <v>0</v>
      </c>
      <c r="O23" s="23">
        <f>HYD!AE25</f>
        <v>0</v>
      </c>
      <c r="P23" s="23">
        <f>HYD!AF25</f>
        <v>0</v>
      </c>
      <c r="Q23" s="23">
        <f>HYD!AG25</f>
        <v>0</v>
      </c>
      <c r="R23" s="23">
        <f>HYD!AH25</f>
        <v>0</v>
      </c>
      <c r="S23" s="23">
        <f>HYD!AI25</f>
        <v>0</v>
      </c>
      <c r="T23" s="23">
        <f>HYD!AJ25</f>
        <v>0</v>
      </c>
      <c r="U23" s="23">
        <f>HYD!AK25</f>
        <v>0</v>
      </c>
      <c r="V23" s="23">
        <f>HYD!AL25</f>
        <v>0</v>
      </c>
      <c r="W23" s="1" t="e">
        <f>GSD!#REF!</f>
        <v>#REF!</v>
      </c>
      <c r="X23" s="1" t="e">
        <f>GSD!#REF!</f>
        <v>#REF!</v>
      </c>
      <c r="Y23" s="1" t="e">
        <f>GSD!#REF!</f>
        <v>#REF!</v>
      </c>
      <c r="Z23" s="1" t="e">
        <f>GSD!#REF!</f>
        <v>#REF!</v>
      </c>
      <c r="AA23" s="1" t="e">
        <f>GSD!#REF!</f>
        <v>#REF!</v>
      </c>
      <c r="AB23" s="38" t="e">
        <f>GSD!#REF!</f>
        <v>#REF!</v>
      </c>
      <c r="AC23" s="38">
        <f>HYD!AM25</f>
        <v>0</v>
      </c>
      <c r="AD23" s="1">
        <f>HYD!AN25</f>
        <v>0</v>
      </c>
      <c r="AE23" s="1">
        <f>HYD!AO25</f>
        <v>0</v>
      </c>
      <c r="AF23" s="1">
        <f>HYD!AP25</f>
        <v>0</v>
      </c>
      <c r="AG23" s="1">
        <f>HYD!AQ25</f>
        <v>0</v>
      </c>
      <c r="AH23" s="1">
        <f>HYD!AR25</f>
        <v>0</v>
      </c>
      <c r="AI23" s="1">
        <f>HYD!AS25</f>
        <v>0</v>
      </c>
      <c r="AJ23" s="1">
        <f>HYD!AT25</f>
        <v>0</v>
      </c>
      <c r="AK23" s="1">
        <f>HYD!AU25</f>
        <v>0</v>
      </c>
      <c r="AL23" s="1">
        <f>HYD!AV25</f>
        <v>0</v>
      </c>
      <c r="AM23" s="1">
        <f>HYD!AW25</f>
        <v>0</v>
      </c>
      <c r="AN23" s="1">
        <f>HYD!AX25</f>
        <v>0</v>
      </c>
      <c r="AO23" s="1">
        <f>HYD!AY25</f>
        <v>0</v>
      </c>
    </row>
    <row r="24" spans="1:45" x14ac:dyDescent="0.3">
      <c r="AB24" s="1"/>
      <c r="AC24" s="29"/>
    </row>
    <row r="25" spans="1:45" x14ac:dyDescent="0.3">
      <c r="AB25" s="1"/>
      <c r="AC25" s="29"/>
    </row>
    <row r="26" spans="1:45" x14ac:dyDescent="0.3">
      <c r="AB26" s="1"/>
      <c r="AC26" s="29"/>
    </row>
    <row r="27" spans="1:45" x14ac:dyDescent="0.3">
      <c r="AB27" s="1"/>
      <c r="AC27" s="29"/>
    </row>
    <row r="28" spans="1:45" x14ac:dyDescent="0.3">
      <c r="AB28" s="1"/>
      <c r="AC28" s="29"/>
    </row>
    <row r="29" spans="1:45" x14ac:dyDescent="0.3">
      <c r="AB29" s="1"/>
      <c r="AC29" s="29"/>
    </row>
    <row r="30" spans="1:45" x14ac:dyDescent="0.3">
      <c r="AB30" s="1"/>
      <c r="AC30" s="29"/>
    </row>
    <row r="31" spans="1:45" x14ac:dyDescent="0.3">
      <c r="AB31" s="1"/>
      <c r="AC31" s="29"/>
    </row>
    <row r="32" spans="1:45" x14ac:dyDescent="0.3">
      <c r="AB32" s="1"/>
      <c r="AC32" s="29"/>
    </row>
    <row r="33" spans="28:29" x14ac:dyDescent="0.3">
      <c r="AB33" s="1"/>
      <c r="AC33" s="29"/>
    </row>
    <row r="34" spans="28:29" x14ac:dyDescent="0.3">
      <c r="AB34" s="1"/>
      <c r="AC34" s="29"/>
    </row>
    <row r="35" spans="28:29" x14ac:dyDescent="0.3">
      <c r="AB35" s="1"/>
      <c r="AC35" s="29"/>
    </row>
  </sheetData>
  <mergeCells count="4">
    <mergeCell ref="D2:I2"/>
    <mergeCell ref="J2:V2"/>
    <mergeCell ref="W2:AB2"/>
    <mergeCell ref="AC2:AO2"/>
  </mergeCells>
  <phoneticPr fontId="10" type="noConversion"/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GSD</vt:lpstr>
      <vt:lpstr>HYD</vt:lpstr>
      <vt:lpstr>Sheet4</vt:lpstr>
      <vt:lpstr>PLOT</vt:lpstr>
      <vt:lpstr>GSD!Print_Area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baps</dc:creator>
  <cp:lastModifiedBy>shyam marsonia</cp:lastModifiedBy>
  <dcterms:created xsi:type="dcterms:W3CDTF">2026-06-15T06:47:07Z</dcterms:created>
  <dcterms:modified xsi:type="dcterms:W3CDTF">2026-09-10T07:22:17Z</dcterms:modified>
</cp:coreProperties>
</file>