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19. Canal_240.825km (CBH-05 &amp; CBH-06)\GSD &amp; HYD_TEST\GSD &amp; HYD_CBH-06\"/>
    </mc:Choice>
  </mc:AlternateContent>
  <xr:revisionPtr revIDLastSave="0" documentId="13_ncr:1_{6D95D1E9-E35C-4EEC-9548-F53025BCFBE8}" xr6:coauthVersionLast="47" xr6:coauthVersionMax="47" xr10:uidLastSave="{00000000-0000-0000-0000-000000000000}"/>
  <bookViews>
    <workbookView xWindow="28680" yWindow="-120" windowWidth="20730" windowHeight="1104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3" i="7" l="1"/>
  <c r="Y13" i="7" s="1"/>
  <c r="U13" i="7"/>
  <c r="T13" i="7"/>
  <c r="S13" i="7"/>
  <c r="R13" i="7"/>
  <c r="Q13" i="7"/>
  <c r="I13" i="7"/>
  <c r="V12" i="7"/>
  <c r="Y12" i="7" s="1"/>
  <c r="U12" i="7"/>
  <c r="T12" i="7"/>
  <c r="S12" i="7"/>
  <c r="R12" i="7"/>
  <c r="Q12" i="7"/>
  <c r="I12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11" i="7"/>
  <c r="I10" i="7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X12" i="7" l="1"/>
  <c r="X13" i="7"/>
  <c r="W13" i="7"/>
  <c r="W12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Y9" i="7"/>
  <c r="Y10" i="7"/>
  <c r="AB8" i="6"/>
  <c r="AB9" i="6"/>
  <c r="Y11" i="7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<sst xmlns="http://schemas.openxmlformats.org/spreadsheetml/2006/main" count="73" uniqueCount="51">
  <si>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</si>
  <si>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</si>
  <si>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</si>
  <si>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</si>
  <si>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</si>
  <si>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</si>
  <si>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</si>
  <si>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</si>
  <si>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</si>
  <si>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</si>
  <si>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</si>
  <si>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</si>
  <si>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</si>
  <si>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</si>
  <si>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</si>
  <si>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</si>
  <si>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</si>
  <si>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</si>
  <si>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</si>
  <si>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</si>
  <si>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</si>
  <si>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</si>
  <si>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</si>
  <si>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</si>
  <si>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</si>
  <si>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</si>
  <si>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</si>
  <si>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</si>
  <si>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</si>
  <si>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</si>
  <si>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</si>
  <si>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</si>
  <si>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</si>
  <si>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</si>
  <si>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</si>
  <si>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</si>
  <si>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</si>
  <si>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</si>
  <si>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</si>
  <si>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</si>
  <si>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</si>
  <si>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</si>
  <si>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</si>
  <si>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</si>
  <si>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</si>
  <si>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</si>
  <si>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</si>
  <si>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</si>
  <si>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</si>
  <si>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CBH-06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</si>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</sst>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99.79</c:v>
                </c:pt>
                <c:pt idx="1">
                  <c:v>99.03</c:v>
                </c:pt>
                <c:pt idx="2">
                  <c:v>63.519999999999996</c:v>
                </c:pt>
                <c:pt idx="3">
                  <c:v>45.35</c:v>
                </c:pt>
                <c:pt idx="4">
                  <c:v>40.660000000000004</c:v>
                </c:pt>
                <c:pt idx="5">
                  <c:v>26.590000000000003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98.91</c:v>
                </c:pt>
                <c:pt idx="1">
                  <c:v>96.86</c:v>
                </c:pt>
                <c:pt idx="2">
                  <c:v>85.814999999999998</c:v>
                </c:pt>
                <c:pt idx="3">
                  <c:v>77.86</c:v>
                </c:pt>
                <c:pt idx="4">
                  <c:v>76.61</c:v>
                </c:pt>
                <c:pt idx="5">
                  <c:v>71.289999999999992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99.75</c:v>
                </c:pt>
                <c:pt idx="1">
                  <c:v>99.02</c:v>
                </c:pt>
                <c:pt idx="2">
                  <c:v>62.749999999999993</c:v>
                </c:pt>
                <c:pt idx="3">
                  <c:v>38.519999999999996</c:v>
                </c:pt>
                <c:pt idx="4">
                  <c:v>36.389999999999993</c:v>
                </c:pt>
                <c:pt idx="5">
                  <c:v>25.319999999999993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100</c:v>
                </c:pt>
                <c:pt idx="1">
                  <c:v>99.75</c:v>
                </c:pt>
                <c:pt idx="2">
                  <c:v>99.2</c:v>
                </c:pt>
                <c:pt idx="3">
                  <c:v>80.11</c:v>
                </c:pt>
                <c:pt idx="4">
                  <c:v>68.990000000000009</c:v>
                </c:pt>
                <c:pt idx="5">
                  <c:v>39.680000000000007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99.37</c:v>
                </c:pt>
                <c:pt idx="1">
                  <c:v>98.32</c:v>
                </c:pt>
                <c:pt idx="2">
                  <c:v>96.22</c:v>
                </c:pt>
                <c:pt idx="3">
                  <c:v>70.27</c:v>
                </c:pt>
                <c:pt idx="4">
                  <c:v>59.84</c:v>
                </c:pt>
                <c:pt idx="5">
                  <c:v>40.090000000000003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99.09</c:v>
                </c:pt>
                <c:pt idx="1">
                  <c:v>98.2</c:v>
                </c:pt>
                <c:pt idx="2">
                  <c:v>71.59</c:v>
                </c:pt>
                <c:pt idx="3">
                  <c:v>46.47</c:v>
                </c:pt>
                <c:pt idx="4">
                  <c:v>40.5</c:v>
                </c:pt>
                <c:pt idx="5">
                  <c:v>28.480000000000004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99.82</c:v>
                </c:pt>
                <c:pt idx="1">
                  <c:v>99.36</c:v>
                </c:pt>
                <c:pt idx="2">
                  <c:v>75.289999999999992</c:v>
                </c:pt>
                <c:pt idx="3">
                  <c:v>52.079999999999991</c:v>
                </c:pt>
                <c:pt idx="4">
                  <c:v>46.55</c:v>
                </c:pt>
                <c:pt idx="5">
                  <c:v>30.620000000000005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99.79</c:v>
                </c:pt>
                <c:pt idx="1">
                  <c:v>99.03</c:v>
                </c:pt>
                <c:pt idx="2">
                  <c:v>63.519999999999996</c:v>
                </c:pt>
                <c:pt idx="3">
                  <c:v>45.35</c:v>
                </c:pt>
                <c:pt idx="4">
                  <c:v>40.660000000000004</c:v>
                </c:pt>
                <c:pt idx="5">
                  <c:v>26.590000000000003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98.91</c:v>
                </c:pt>
                <c:pt idx="1">
                  <c:v>96.86</c:v>
                </c:pt>
                <c:pt idx="2">
                  <c:v>85.814999999999998</c:v>
                </c:pt>
                <c:pt idx="3">
                  <c:v>77.86</c:v>
                </c:pt>
                <c:pt idx="4">
                  <c:v>76.61</c:v>
                </c:pt>
                <c:pt idx="5">
                  <c:v>71.289999999999992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99.75</c:v>
                </c:pt>
                <c:pt idx="1">
                  <c:v>99.02</c:v>
                </c:pt>
                <c:pt idx="2">
                  <c:v>62.749999999999993</c:v>
                </c:pt>
                <c:pt idx="3">
                  <c:v>38.519999999999996</c:v>
                </c:pt>
                <c:pt idx="4">
                  <c:v>36.389999999999993</c:v>
                </c:pt>
                <c:pt idx="5">
                  <c:v>25.319999999999993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100</c:v>
                </c:pt>
                <c:pt idx="1">
                  <c:v>99.75</c:v>
                </c:pt>
                <c:pt idx="2">
                  <c:v>99.2</c:v>
                </c:pt>
                <c:pt idx="3">
                  <c:v>80.11</c:v>
                </c:pt>
                <c:pt idx="4">
                  <c:v>68.990000000000009</c:v>
                </c:pt>
                <c:pt idx="5">
                  <c:v>39.680000000000007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99.37</c:v>
                </c:pt>
                <c:pt idx="1">
                  <c:v>98.32</c:v>
                </c:pt>
                <c:pt idx="2">
                  <c:v>96.22</c:v>
                </c:pt>
                <c:pt idx="3">
                  <c:v>70.27</c:v>
                </c:pt>
                <c:pt idx="4">
                  <c:v>59.84</c:v>
                </c:pt>
                <c:pt idx="5">
                  <c:v>40.090000000000003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99.09</c:v>
                </c:pt>
                <c:pt idx="1">
                  <c:v>98.2</c:v>
                </c:pt>
                <c:pt idx="2">
                  <c:v>71.59</c:v>
                </c:pt>
                <c:pt idx="3">
                  <c:v>46.47</c:v>
                </c:pt>
                <c:pt idx="4">
                  <c:v>40.5</c:v>
                </c:pt>
                <c:pt idx="5">
                  <c:v>28.480000000000004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99.82</c:v>
                </c:pt>
                <c:pt idx="1">
                  <c:v>99.36</c:v>
                </c:pt>
                <c:pt idx="2">
                  <c:v>75.289999999999992</c:v>
                </c:pt>
                <c:pt idx="3">
                  <c:v>52.079999999999991</c:v>
                </c:pt>
                <c:pt idx="4">
                  <c:v>46.55</c:v>
                </c:pt>
                <c:pt idx="5">
                  <c:v>30.620000000000005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3"/>
  <sheetViews>
    <sheetView tabSelected="1" topLeftCell="A4" zoomScale="85" zoomScaleNormal="85" workbookViewId="0">
      <selection activeCell="E11" sqref="E11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4" t="s">
        <v>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</row>
    <row r="2" spans="1:25" ht="24.6" customHeight="1" x14ac:dyDescent="0.25">
      <c r="A2" s="45" t="s">
        <v>4</v>
      </c>
      <c r="B2" s="48" t="s">
        <v>5</v>
      </c>
      <c r="C2" s="48" t="s">
        <v>6</v>
      </c>
      <c r="D2" s="48" t="s">
        <v>7</v>
      </c>
      <c r="E2" s="51" t="s">
        <v>8</v>
      </c>
      <c r="F2" s="51" t="s">
        <v>9</v>
      </c>
      <c r="G2" s="51" t="s">
        <v>10</v>
      </c>
      <c r="H2" s="51" t="s">
        <v>11</v>
      </c>
      <c r="I2" s="52" t="s">
        <v>12</v>
      </c>
      <c r="J2" s="40" t="s">
        <v>13</v>
      </c>
      <c r="K2" s="40"/>
      <c r="L2" s="40"/>
      <c r="M2" s="40"/>
      <c r="N2" s="40"/>
      <c r="O2" s="40"/>
      <c r="P2" s="40"/>
      <c r="Q2" s="40" t="s">
        <v>0</v>
      </c>
      <c r="R2" s="40"/>
      <c r="S2" s="40"/>
      <c r="T2" s="40"/>
      <c r="U2" s="40"/>
      <c r="V2" s="40"/>
      <c r="W2" s="54" t="s">
        <v>14</v>
      </c>
      <c r="X2" s="54" t="s">
        <v>15</v>
      </c>
      <c r="Y2" s="54" t="s">
        <v>16</v>
      </c>
    </row>
    <row r="3" spans="1:25" ht="40.5" customHeight="1" x14ac:dyDescent="0.25">
      <c r="A3" s="46"/>
      <c r="B3" s="49"/>
      <c r="C3" s="49"/>
      <c r="D3" s="49"/>
      <c r="E3" s="51"/>
      <c r="F3" s="51"/>
      <c r="G3" s="51"/>
      <c r="H3" s="51"/>
      <c r="I3" s="5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4"/>
      <c r="X3" s="54"/>
      <c r="Y3" s="54"/>
    </row>
    <row r="4" spans="1:25" ht="21.6" customHeight="1" x14ac:dyDescent="0.25">
      <c r="A4" s="47"/>
      <c r="B4" s="50"/>
      <c r="C4" s="50"/>
      <c r="D4" s="5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0" t="s">
        <v>20</v>
      </c>
      <c r="K4" s="40"/>
      <c r="L4" s="40"/>
      <c r="M4" s="40"/>
      <c r="N4" s="40"/>
      <c r="O4" s="40"/>
      <c r="P4" s="40"/>
      <c r="Q4" s="40" t="s">
        <v>20</v>
      </c>
      <c r="R4" s="40"/>
      <c r="S4" s="40"/>
      <c r="T4" s="40"/>
      <c r="U4" s="40"/>
      <c r="V4" s="40"/>
      <c r="W4" s="55" t="s">
        <v>21</v>
      </c>
      <c r="X4" s="56"/>
      <c r="Y4" s="56"/>
    </row>
    <row r="5" spans="1:25" ht="30" customHeight="1" x14ac:dyDescent="0.25">
      <c r="A5" s="10">
        <v>1</v>
      </c>
      <c r="B5" s="41" t="s">
        <v>49</v>
      </c>
      <c r="C5" s="42"/>
      <c r="D5" s="43"/>
      <c r="E5" s="39" t="s">
        <v>47</v>
      </c>
      <c r="F5" s="25">
        <v>0.5</v>
      </c>
      <c r="G5" s="39"/>
      <c r="H5" s="39">
        <v>100</v>
      </c>
      <c r="I5" s="25">
        <f>SUM(J5:O5)</f>
        <v>73.41</v>
      </c>
      <c r="J5" s="25">
        <v>0.21</v>
      </c>
      <c r="K5" s="25">
        <v>0.76</v>
      </c>
      <c r="L5" s="25">
        <v>35.51</v>
      </c>
      <c r="M5" s="25">
        <v>18.170000000000002</v>
      </c>
      <c r="N5" s="25">
        <v>4.6900000000000004</v>
      </c>
      <c r="O5" s="25">
        <v>14.07</v>
      </c>
      <c r="P5" s="25"/>
      <c r="Q5" s="11">
        <f t="shared" ref="Q5:Q11" si="0">((H5-(SUM(J5)))/H5)*100</f>
        <v>99.79</v>
      </c>
      <c r="R5" s="11">
        <f t="shared" ref="R5:R11" si="1">((H5-(SUM(J5:K5)))/H5)*100</f>
        <v>99.03</v>
      </c>
      <c r="S5" s="11">
        <f t="shared" ref="S5:S11" si="2">((H5-(SUM(J5:L5)))/H5)*100</f>
        <v>63.519999999999996</v>
      </c>
      <c r="T5" s="11">
        <f t="shared" ref="T5:T11" si="3">((H5-(SUM(J5:M5)))/H5)*100</f>
        <v>45.35</v>
      </c>
      <c r="U5" s="11">
        <f t="shared" ref="U5:U11" si="4">((H5-(SUM(J5:N5)))/H5)*100</f>
        <v>40.660000000000004</v>
      </c>
      <c r="V5" s="11">
        <f t="shared" ref="V5:V11" si="5">((H5-(SUM(J5:O5)))/H5)*100</f>
        <v>26.590000000000003</v>
      </c>
      <c r="W5" s="11">
        <f>100-Q5</f>
        <v>0.20999999999999375</v>
      </c>
      <c r="X5" s="11">
        <f>Q5-V5</f>
        <v>73.2</v>
      </c>
      <c r="Y5" s="11">
        <f>V5</f>
        <v>26.590000000000003</v>
      </c>
    </row>
    <row r="6" spans="1:25" ht="30" customHeight="1" x14ac:dyDescent="0.25">
      <c r="A6" s="10">
        <v>2</v>
      </c>
      <c r="B6" s="41"/>
      <c r="C6" s="42"/>
      <c r="D6" s="43"/>
      <c r="E6" s="39" t="s">
        <v>48</v>
      </c>
      <c r="F6" s="25">
        <v>1.5</v>
      </c>
      <c r="G6" s="39"/>
      <c r="H6" s="39">
        <v>200</v>
      </c>
      <c r="I6" s="25">
        <f t="shared" ref="I6:I11" si="6">SUM(J6:O6)</f>
        <v>57.42</v>
      </c>
      <c r="J6" s="25">
        <v>2.1800000000000002</v>
      </c>
      <c r="K6" s="25">
        <v>4.0999999999999996</v>
      </c>
      <c r="L6" s="25">
        <v>22.09</v>
      </c>
      <c r="M6" s="25">
        <v>15.91</v>
      </c>
      <c r="N6" s="25">
        <v>2.5</v>
      </c>
      <c r="O6" s="25">
        <v>10.64</v>
      </c>
      <c r="P6" s="25"/>
      <c r="Q6" s="11">
        <f t="shared" si="0"/>
        <v>98.91</v>
      </c>
      <c r="R6" s="11">
        <f t="shared" si="1"/>
        <v>96.86</v>
      </c>
      <c r="S6" s="11">
        <f t="shared" si="2"/>
        <v>85.814999999999998</v>
      </c>
      <c r="T6" s="11">
        <f t="shared" si="3"/>
        <v>77.86</v>
      </c>
      <c r="U6" s="11">
        <f t="shared" si="4"/>
        <v>76.61</v>
      </c>
      <c r="V6" s="11">
        <f t="shared" si="5"/>
        <v>71.289999999999992</v>
      </c>
      <c r="W6" s="11">
        <f t="shared" ref="W6:W11" si="7">100-Q6</f>
        <v>1.0900000000000034</v>
      </c>
      <c r="X6" s="11">
        <f t="shared" ref="X6:X11" si="8">Q6-V6</f>
        <v>27.620000000000005</v>
      </c>
      <c r="Y6" s="11">
        <f t="shared" ref="Y6:Y11" si="9">V6</f>
        <v>71.289999999999992</v>
      </c>
    </row>
    <row r="7" spans="1:25" ht="30" customHeight="1" x14ac:dyDescent="0.25">
      <c r="A7" s="10">
        <v>3</v>
      </c>
      <c r="B7" s="41"/>
      <c r="C7" s="42"/>
      <c r="D7" s="43"/>
      <c r="E7" s="39" t="s">
        <v>47</v>
      </c>
      <c r="F7" s="25">
        <v>3.5</v>
      </c>
      <c r="G7" s="39"/>
      <c r="H7" s="39">
        <v>100</v>
      </c>
      <c r="I7" s="25">
        <f t="shared" si="6"/>
        <v>74.680000000000007</v>
      </c>
      <c r="J7" s="25">
        <v>0.25</v>
      </c>
      <c r="K7" s="25">
        <v>0.73</v>
      </c>
      <c r="L7" s="25">
        <v>36.270000000000003</v>
      </c>
      <c r="M7" s="25">
        <v>24.23</v>
      </c>
      <c r="N7" s="25">
        <v>2.13</v>
      </c>
      <c r="O7" s="25">
        <v>11.07</v>
      </c>
      <c r="P7" s="25"/>
      <c r="Q7" s="11">
        <f t="shared" si="0"/>
        <v>99.75</v>
      </c>
      <c r="R7" s="11">
        <f t="shared" si="1"/>
        <v>99.02</v>
      </c>
      <c r="S7" s="11">
        <f t="shared" si="2"/>
        <v>62.749999999999993</v>
      </c>
      <c r="T7" s="11">
        <f t="shared" si="3"/>
        <v>38.519999999999996</v>
      </c>
      <c r="U7" s="11">
        <f t="shared" si="4"/>
        <v>36.389999999999993</v>
      </c>
      <c r="V7" s="11">
        <f t="shared" si="5"/>
        <v>25.319999999999993</v>
      </c>
      <c r="W7" s="11">
        <f t="shared" si="7"/>
        <v>0.25</v>
      </c>
      <c r="X7" s="11">
        <f t="shared" si="8"/>
        <v>74.430000000000007</v>
      </c>
      <c r="Y7" s="11">
        <f t="shared" si="9"/>
        <v>25.319999999999993</v>
      </c>
    </row>
    <row r="8" spans="1:25" ht="30" customHeight="1" x14ac:dyDescent="0.25">
      <c r="A8" s="10">
        <v>4</v>
      </c>
      <c r="B8" s="41"/>
      <c r="C8" s="42"/>
      <c r="D8" s="43"/>
      <c r="E8" s="39" t="s">
        <v>50</v>
      </c>
      <c r="F8" s="25">
        <v>4.5</v>
      </c>
      <c r="G8" s="39"/>
      <c r="H8" s="39">
        <v>100</v>
      </c>
      <c r="I8" s="25">
        <f t="shared" si="6"/>
        <v>60.319999999999993</v>
      </c>
      <c r="J8" s="25">
        <v>0</v>
      </c>
      <c r="K8" s="25">
        <v>0.25</v>
      </c>
      <c r="L8" s="25">
        <v>0.55000000000000004</v>
      </c>
      <c r="M8" s="25">
        <v>19.09</v>
      </c>
      <c r="N8" s="25">
        <v>11.12</v>
      </c>
      <c r="O8" s="25">
        <v>29.31</v>
      </c>
      <c r="P8" s="25"/>
      <c r="Q8" s="11">
        <f t="shared" si="0"/>
        <v>100</v>
      </c>
      <c r="R8" s="11">
        <f t="shared" si="1"/>
        <v>99.75</v>
      </c>
      <c r="S8" s="11">
        <f t="shared" si="2"/>
        <v>99.2</v>
      </c>
      <c r="T8" s="11">
        <f t="shared" si="3"/>
        <v>80.11</v>
      </c>
      <c r="U8" s="11">
        <f t="shared" si="4"/>
        <v>68.990000000000009</v>
      </c>
      <c r="V8" s="11">
        <f t="shared" si="5"/>
        <v>39.680000000000007</v>
      </c>
      <c r="W8" s="11">
        <f t="shared" si="7"/>
        <v>0</v>
      </c>
      <c r="X8" s="11">
        <f t="shared" si="8"/>
        <v>60.319999999999993</v>
      </c>
      <c r="Y8" s="11">
        <f t="shared" si="9"/>
        <v>39.680000000000007</v>
      </c>
    </row>
    <row r="9" spans="1:25" ht="30" customHeight="1" x14ac:dyDescent="0.25">
      <c r="A9" s="10">
        <v>5</v>
      </c>
      <c r="B9" s="41"/>
      <c r="C9" s="42"/>
      <c r="D9" s="43"/>
      <c r="E9" s="39" t="s">
        <v>47</v>
      </c>
      <c r="F9" s="25">
        <v>6.5</v>
      </c>
      <c r="G9" s="39"/>
      <c r="H9" s="39">
        <v>100</v>
      </c>
      <c r="I9" s="25">
        <f t="shared" si="6"/>
        <v>59.91</v>
      </c>
      <c r="J9" s="25">
        <v>0.63</v>
      </c>
      <c r="K9" s="25">
        <v>1.05</v>
      </c>
      <c r="L9" s="25">
        <v>2.1</v>
      </c>
      <c r="M9" s="25">
        <v>25.95</v>
      </c>
      <c r="N9" s="25">
        <v>10.43</v>
      </c>
      <c r="O9" s="25">
        <v>19.75</v>
      </c>
      <c r="P9" s="25"/>
      <c r="Q9" s="11">
        <f t="shared" si="0"/>
        <v>99.37</v>
      </c>
      <c r="R9" s="11">
        <f t="shared" si="1"/>
        <v>98.32</v>
      </c>
      <c r="S9" s="11">
        <f t="shared" si="2"/>
        <v>96.22</v>
      </c>
      <c r="T9" s="11">
        <f t="shared" si="3"/>
        <v>70.27</v>
      </c>
      <c r="U9" s="11">
        <f t="shared" si="4"/>
        <v>59.84</v>
      </c>
      <c r="V9" s="11">
        <f t="shared" si="5"/>
        <v>40.090000000000003</v>
      </c>
      <c r="W9" s="11">
        <f t="shared" si="7"/>
        <v>0.62999999999999545</v>
      </c>
      <c r="X9" s="11">
        <f t="shared" si="8"/>
        <v>59.28</v>
      </c>
      <c r="Y9" s="11">
        <f t="shared" si="9"/>
        <v>40.090000000000003</v>
      </c>
    </row>
    <row r="10" spans="1:25" ht="30" customHeight="1" x14ac:dyDescent="0.25">
      <c r="A10" s="10">
        <v>6</v>
      </c>
      <c r="B10" s="41"/>
      <c r="C10" s="42"/>
      <c r="D10" s="43"/>
      <c r="E10" s="39" t="s">
        <v>50</v>
      </c>
      <c r="F10" s="25">
        <v>7.5</v>
      </c>
      <c r="G10" s="39"/>
      <c r="H10" s="39">
        <v>100</v>
      </c>
      <c r="I10" s="25">
        <f t="shared" si="6"/>
        <v>71.52</v>
      </c>
      <c r="J10" s="25">
        <v>0.91</v>
      </c>
      <c r="K10" s="25">
        <v>0.89</v>
      </c>
      <c r="L10" s="25">
        <v>26.61</v>
      </c>
      <c r="M10" s="25">
        <v>25.12</v>
      </c>
      <c r="N10" s="25">
        <v>5.97</v>
      </c>
      <c r="O10" s="25">
        <v>12.02</v>
      </c>
      <c r="P10" s="25"/>
      <c r="Q10" s="11">
        <f t="shared" si="0"/>
        <v>99.09</v>
      </c>
      <c r="R10" s="11">
        <f t="shared" si="1"/>
        <v>98.2</v>
      </c>
      <c r="S10" s="11">
        <f t="shared" si="2"/>
        <v>71.59</v>
      </c>
      <c r="T10" s="11">
        <f t="shared" si="3"/>
        <v>46.47</v>
      </c>
      <c r="U10" s="11">
        <f t="shared" si="4"/>
        <v>40.5</v>
      </c>
      <c r="V10" s="11">
        <f t="shared" si="5"/>
        <v>28.480000000000004</v>
      </c>
      <c r="W10" s="11">
        <f t="shared" si="7"/>
        <v>0.90999999999999659</v>
      </c>
      <c r="X10" s="11">
        <f t="shared" si="8"/>
        <v>70.61</v>
      </c>
      <c r="Y10" s="11">
        <f t="shared" si="9"/>
        <v>28.480000000000004</v>
      </c>
    </row>
    <row r="11" spans="1:25" ht="30" customHeight="1" x14ac:dyDescent="0.25">
      <c r="A11" s="10">
        <v>7</v>
      </c>
      <c r="B11" s="41"/>
      <c r="C11" s="42"/>
      <c r="D11" s="43"/>
      <c r="E11" s="39" t="s">
        <v>47</v>
      </c>
      <c r="F11" s="25">
        <v>10.5</v>
      </c>
      <c r="G11" s="39"/>
      <c r="H11" s="39">
        <v>100</v>
      </c>
      <c r="I11" s="25">
        <f t="shared" si="6"/>
        <v>69.38</v>
      </c>
      <c r="J11" s="25">
        <v>0.18</v>
      </c>
      <c r="K11" s="25">
        <v>0.46</v>
      </c>
      <c r="L11" s="25">
        <v>24.07</v>
      </c>
      <c r="M11" s="25">
        <v>23.21</v>
      </c>
      <c r="N11" s="25">
        <v>5.53</v>
      </c>
      <c r="O11" s="25">
        <v>15.93</v>
      </c>
      <c r="P11" s="25"/>
      <c r="Q11" s="11">
        <f t="shared" si="0"/>
        <v>99.82</v>
      </c>
      <c r="R11" s="11">
        <f t="shared" si="1"/>
        <v>99.36</v>
      </c>
      <c r="S11" s="11">
        <f t="shared" si="2"/>
        <v>75.289999999999992</v>
      </c>
      <c r="T11" s="11">
        <f t="shared" si="3"/>
        <v>52.079999999999991</v>
      </c>
      <c r="U11" s="11">
        <f t="shared" si="4"/>
        <v>46.55</v>
      </c>
      <c r="V11" s="11">
        <f t="shared" si="5"/>
        <v>30.620000000000005</v>
      </c>
      <c r="W11" s="11">
        <f t="shared" si="7"/>
        <v>0.18000000000000682</v>
      </c>
      <c r="X11" s="11">
        <f t="shared" si="8"/>
        <v>69.199999999999989</v>
      </c>
      <c r="Y11" s="11">
        <f t="shared" si="9"/>
        <v>30.620000000000005</v>
      </c>
    </row>
    <row r="12" spans="1:25" ht="30" customHeight="1" x14ac:dyDescent="0.25">
      <c r="A12" s="10">
        <v>8</v>
      </c>
      <c r="B12" s="41"/>
      <c r="C12" s="42"/>
      <c r="D12" s="43"/>
      <c r="E12" s="39" t="s">
        <v>47</v>
      </c>
      <c r="F12" s="25">
        <v>12.5</v>
      </c>
      <c r="G12" s="39"/>
      <c r="H12" s="39">
        <v>100</v>
      </c>
      <c r="I12" s="25">
        <f t="shared" ref="I12:I13" si="10">SUM(J12:O12)</f>
        <v>62.849999999999994</v>
      </c>
      <c r="J12" s="25">
        <v>0.17</v>
      </c>
      <c r="K12" s="25">
        <v>0.75</v>
      </c>
      <c r="L12" s="25">
        <v>1.69</v>
      </c>
      <c r="M12" s="25">
        <v>29.93</v>
      </c>
      <c r="N12" s="25">
        <v>8.58</v>
      </c>
      <c r="O12" s="25">
        <v>21.73</v>
      </c>
      <c r="P12" s="25"/>
      <c r="Q12" s="11">
        <f t="shared" ref="Q12:Q13" si="11">((H12-(SUM(J12)))/H12)*100</f>
        <v>99.83</v>
      </c>
      <c r="R12" s="11">
        <f t="shared" ref="R12:R13" si="12">((H12-(SUM(J12:K12)))/H12)*100</f>
        <v>99.08</v>
      </c>
      <c r="S12" s="11">
        <f t="shared" ref="S12:S13" si="13">((H12-(SUM(J12:L12)))/H12)*100</f>
        <v>97.39</v>
      </c>
      <c r="T12" s="11">
        <f t="shared" ref="T12:T13" si="14">((H12-(SUM(J12:M12)))/H12)*100</f>
        <v>67.460000000000008</v>
      </c>
      <c r="U12" s="11">
        <f t="shared" ref="U12:U13" si="15">((H12-(SUM(J12:N12)))/H12)*100</f>
        <v>58.879999999999995</v>
      </c>
      <c r="V12" s="11">
        <f t="shared" ref="V12:V13" si="16">((H12-(SUM(J12:O12)))/H12)*100</f>
        <v>37.150000000000006</v>
      </c>
      <c r="W12" s="11">
        <f t="shared" ref="W12:W13" si="17">100-Q12</f>
        <v>0.17000000000000171</v>
      </c>
      <c r="X12" s="11">
        <f t="shared" ref="X12:X13" si="18">Q12-V12</f>
        <v>62.679999999999993</v>
      </c>
      <c r="Y12" s="11">
        <f t="shared" ref="Y12:Y13" si="19">V12</f>
        <v>37.150000000000006</v>
      </c>
    </row>
    <row r="13" spans="1:25" ht="30" customHeight="1" x14ac:dyDescent="0.25">
      <c r="A13" s="10">
        <v>9</v>
      </c>
      <c r="B13" s="41"/>
      <c r="C13" s="42"/>
      <c r="D13" s="43"/>
      <c r="E13" s="39" t="s">
        <v>47</v>
      </c>
      <c r="F13" s="25">
        <v>15</v>
      </c>
      <c r="G13" s="39"/>
      <c r="H13" s="39">
        <v>100</v>
      </c>
      <c r="I13" s="25">
        <f t="shared" si="10"/>
        <v>71.319999999999993</v>
      </c>
      <c r="J13" s="25">
        <v>0.44</v>
      </c>
      <c r="K13" s="25">
        <v>0.73</v>
      </c>
      <c r="L13" s="25">
        <v>24.77</v>
      </c>
      <c r="M13" s="25">
        <v>20.3</v>
      </c>
      <c r="N13" s="25">
        <v>5.95</v>
      </c>
      <c r="O13" s="25">
        <v>19.13</v>
      </c>
      <c r="P13" s="25"/>
      <c r="Q13" s="11">
        <f t="shared" si="11"/>
        <v>99.56</v>
      </c>
      <c r="R13" s="11">
        <f t="shared" si="12"/>
        <v>98.83</v>
      </c>
      <c r="S13" s="11">
        <f t="shared" si="13"/>
        <v>74.06</v>
      </c>
      <c r="T13" s="11">
        <f t="shared" si="14"/>
        <v>53.760000000000005</v>
      </c>
      <c r="U13" s="11">
        <f t="shared" si="15"/>
        <v>47.81</v>
      </c>
      <c r="V13" s="11">
        <f t="shared" si="16"/>
        <v>28.680000000000007</v>
      </c>
      <c r="W13" s="11">
        <f t="shared" si="17"/>
        <v>0.43999999999999773</v>
      </c>
      <c r="X13" s="11">
        <f t="shared" si="18"/>
        <v>70.88</v>
      </c>
      <c r="Y13" s="11">
        <f t="shared" si="19"/>
        <v>28.680000000000007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5" t="s">
        <v>4</v>
      </c>
      <c r="B1" s="68" t="s">
        <v>5</v>
      </c>
      <c r="C1" s="68" t="s">
        <v>9</v>
      </c>
      <c r="D1" s="65" t="s">
        <v>8</v>
      </c>
      <c r="E1" s="65" t="s">
        <v>22</v>
      </c>
      <c r="F1" s="65" t="s">
        <v>39</v>
      </c>
      <c r="G1" s="65" t="s">
        <v>23</v>
      </c>
      <c r="H1" s="65" t="s">
        <v>24</v>
      </c>
      <c r="I1" s="61" t="s">
        <v>33</v>
      </c>
      <c r="J1" s="65" t="s">
        <v>34</v>
      </c>
      <c r="K1" s="65" t="s">
        <v>25</v>
      </c>
      <c r="L1" s="65" t="s">
        <v>26</v>
      </c>
      <c r="M1" s="63" t="s">
        <v>27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28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29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 x14ac:dyDescent="0.25">
      <c r="A2" s="66"/>
      <c r="B2" s="69"/>
      <c r="C2" s="69"/>
      <c r="D2" s="66"/>
      <c r="E2" s="66"/>
      <c r="F2" s="66"/>
      <c r="G2" s="66"/>
      <c r="H2" s="66"/>
      <c r="I2" s="61"/>
      <c r="J2" s="66"/>
      <c r="K2" s="66"/>
      <c r="L2" s="66"/>
      <c r="M2" s="62">
        <v>0.5</v>
      </c>
      <c r="N2" s="57">
        <v>1</v>
      </c>
      <c r="O2" s="57">
        <v>2</v>
      </c>
      <c r="P2" s="57">
        <v>4</v>
      </c>
      <c r="Q2" s="57">
        <v>8</v>
      </c>
      <c r="R2" s="57">
        <v>15</v>
      </c>
      <c r="S2" s="57">
        <v>30</v>
      </c>
      <c r="T2" s="57">
        <v>60</v>
      </c>
      <c r="U2" s="57">
        <v>120</v>
      </c>
      <c r="V2" s="57">
        <v>240</v>
      </c>
      <c r="W2" s="57">
        <v>480</v>
      </c>
      <c r="X2" s="57">
        <v>960</v>
      </c>
      <c r="Y2" s="57">
        <v>1440</v>
      </c>
      <c r="Z2" s="62">
        <v>0.5</v>
      </c>
      <c r="AA2" s="57">
        <v>1</v>
      </c>
      <c r="AB2" s="57">
        <v>2</v>
      </c>
      <c r="AC2" s="57">
        <v>4</v>
      </c>
      <c r="AD2" s="57">
        <v>8</v>
      </c>
      <c r="AE2" s="57">
        <v>15</v>
      </c>
      <c r="AF2" s="57">
        <v>30</v>
      </c>
      <c r="AG2" s="57">
        <v>60</v>
      </c>
      <c r="AH2" s="57">
        <v>120</v>
      </c>
      <c r="AI2" s="57">
        <v>240</v>
      </c>
      <c r="AJ2" s="57">
        <v>480</v>
      </c>
      <c r="AK2" s="57">
        <v>960</v>
      </c>
      <c r="AL2" s="57">
        <v>1440</v>
      </c>
      <c r="AM2" s="62">
        <v>0.5</v>
      </c>
      <c r="AN2" s="57">
        <v>1</v>
      </c>
      <c r="AO2" s="57">
        <v>2</v>
      </c>
      <c r="AP2" s="57">
        <v>4</v>
      </c>
      <c r="AQ2" s="57">
        <v>8</v>
      </c>
      <c r="AR2" s="57">
        <v>15</v>
      </c>
      <c r="AS2" s="57">
        <v>30</v>
      </c>
      <c r="AT2" s="57">
        <v>60</v>
      </c>
      <c r="AU2" s="57">
        <v>120</v>
      </c>
      <c r="AV2" s="57">
        <v>240</v>
      </c>
      <c r="AW2" s="57">
        <v>480</v>
      </c>
      <c r="AX2" s="57">
        <v>960</v>
      </c>
      <c r="AY2" s="57">
        <v>1440</v>
      </c>
      <c r="AZ2" s="21"/>
      <c r="BA2" s="21"/>
    </row>
    <row r="3" spans="1:53" x14ac:dyDescent="0.25">
      <c r="A3" s="66"/>
      <c r="B3" s="69"/>
      <c r="C3" s="69"/>
      <c r="D3" s="67"/>
      <c r="E3" s="67"/>
      <c r="F3" s="67"/>
      <c r="G3" s="67"/>
      <c r="H3" s="67"/>
      <c r="I3" s="61"/>
      <c r="J3" s="67"/>
      <c r="K3" s="67"/>
      <c r="L3" s="67"/>
      <c r="M3" s="62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62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62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21"/>
      <c r="BA3" s="21"/>
    </row>
    <row r="4" spans="1:53" x14ac:dyDescent="0.25">
      <c r="A4" s="67"/>
      <c r="B4" s="70"/>
      <c r="C4" s="70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58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60"/>
      <c r="Z4" s="58" t="s">
        <v>31</v>
      </c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60"/>
      <c r="AM4" s="61" t="s">
        <v>32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20"/>
      <c r="BA4" s="20"/>
    </row>
    <row r="5" spans="1:53" x14ac:dyDescent="0.25">
      <c r="A5" s="31">
        <v>1</v>
      </c>
      <c r="B5" s="31" t="str">
        <f>GSD!B5</f>
        <v>CBH-06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CBH-06</v>
      </c>
      <c r="C6" s="32">
        <f>GSD!F6</f>
        <v>1.5</v>
      </c>
      <c r="D6" s="31" t="str">
        <f>GSD!E6</f>
        <v>UDS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25" si="2">B6</f>
        <v>CBH-06</v>
      </c>
      <c r="C7" s="32">
        <f>GSD!F7</f>
        <v>3.5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CBH-06</v>
      </c>
      <c r="C8" s="32">
        <f>GSD!F8</f>
        <v>4.5</v>
      </c>
      <c r="D8" s="31" t="str">
        <f>GSD!E8</f>
        <v>DS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CBH-06</v>
      </c>
      <c r="C9" s="32">
        <f>GSD!F9</f>
        <v>6.5</v>
      </c>
      <c r="D9" s="31" t="str">
        <f>GSD!E9</f>
        <v>SPT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CBH-06</v>
      </c>
      <c r="C10" s="32">
        <f>GSD!F10</f>
        <v>7.5</v>
      </c>
      <c r="D10" s="31" t="str">
        <f>GSD!E10</f>
        <v>DS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25">
      <c r="A11" s="31">
        <v>7</v>
      </c>
      <c r="B11" s="31" t="str">
        <f t="shared" si="2"/>
        <v>CBH-06</v>
      </c>
      <c r="C11" s="32">
        <f>GSD!F11</f>
        <v>10.5</v>
      </c>
      <c r="D11" s="31" t="str">
        <f>GSD!E11</f>
        <v>SPT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25">
      <c r="A12" s="31">
        <v>8</v>
      </c>
      <c r="B12" s="31" t="str">
        <f t="shared" si="2"/>
        <v>CBH-06</v>
      </c>
      <c r="C12" s="32" t="e">
        <f>GSD!#REF!</f>
        <v>#REF!</v>
      </c>
      <c r="D12" s="31" t="e">
        <f>GSD!#REF!</f>
        <v>#REF!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25">
      <c r="A13" s="31">
        <v>9</v>
      </c>
      <c r="B13" s="31" t="str">
        <f t="shared" si="2"/>
        <v>CBH-06</v>
      </c>
      <c r="C13" s="32" t="e">
        <f>GSD!#REF!</f>
        <v>#REF!</v>
      </c>
      <c r="D13" s="31" t="e">
        <f>GSD!#REF!</f>
        <v>#REF!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25">
      <c r="A14" s="31">
        <v>10</v>
      </c>
      <c r="B14" s="31" t="str">
        <f t="shared" si="2"/>
        <v>CBH-06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25">
      <c r="A15" s="31">
        <v>11</v>
      </c>
      <c r="B15" s="31" t="str">
        <f t="shared" si="2"/>
        <v>CBH-06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25">
      <c r="A16" s="31">
        <v>12</v>
      </c>
      <c r="B16" s="31" t="str">
        <f t="shared" si="2"/>
        <v>CBH-06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25">
      <c r="A17" s="31">
        <v>13</v>
      </c>
      <c r="B17" s="31" t="str">
        <f t="shared" si="2"/>
        <v>CBH-06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25">
      <c r="A18" s="31">
        <v>14</v>
      </c>
      <c r="B18" s="31" t="str">
        <f t="shared" si="2"/>
        <v>CBH-06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25">
      <c r="A19" s="31">
        <v>15</v>
      </c>
      <c r="B19" s="31" t="str">
        <f t="shared" si="2"/>
        <v>CBH-06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25">
      <c r="A20" s="31">
        <v>16</v>
      </c>
      <c r="B20" s="31" t="str">
        <f t="shared" si="2"/>
        <v>CBH-06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25">
      <c r="A21" s="31">
        <v>17</v>
      </c>
      <c r="B21" s="31" t="str">
        <f t="shared" si="2"/>
        <v>CBH-06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25">
      <c r="A22" s="31">
        <v>18</v>
      </c>
      <c r="B22" s="31" t="str">
        <f t="shared" si="2"/>
        <v>CBH-06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25">
      <c r="A23" s="31">
        <v>19</v>
      </c>
      <c r="B23" s="31" t="str">
        <f t="shared" si="2"/>
        <v>CBH-06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25">
      <c r="A24" s="31">
        <v>20</v>
      </c>
      <c r="B24" s="31" t="str">
        <f t="shared" si="2"/>
        <v>CBH-06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25">
      <c r="A25" s="31">
        <v>21</v>
      </c>
      <c r="B25" s="31" t="str">
        <f t="shared" si="2"/>
        <v>CBH-06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CBH-06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99.79</v>
      </c>
      <c r="X3" s="1">
        <f>GSD!R5</f>
        <v>99.03</v>
      </c>
      <c r="Y3" s="1">
        <f>GSD!S5</f>
        <v>63.519999999999996</v>
      </c>
      <c r="Z3" s="1">
        <f>GSD!T5</f>
        <v>45.35</v>
      </c>
      <c r="AA3" s="1">
        <f>GSD!U5</f>
        <v>40.660000000000004</v>
      </c>
      <c r="AB3" s="38">
        <f>GSD!V5</f>
        <v>26.590000000000003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CBH-06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98.91</v>
      </c>
      <c r="X4" s="1">
        <f>GSD!R6</f>
        <v>96.86</v>
      </c>
      <c r="Y4" s="1">
        <f>GSD!S6</f>
        <v>85.814999999999998</v>
      </c>
      <c r="Z4" s="1">
        <f>GSD!T6</f>
        <v>77.86</v>
      </c>
      <c r="AA4" s="1">
        <f>GSD!U6</f>
        <v>76.61</v>
      </c>
      <c r="AB4" s="38">
        <f>GSD!V6</f>
        <v>71.289999999999992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CBH-06</v>
      </c>
      <c r="C5" s="26">
        <f>GSD!F7</f>
        <v>3.5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99.75</v>
      </c>
      <c r="X5" s="1">
        <f>GSD!R7</f>
        <v>99.02</v>
      </c>
      <c r="Y5" s="1">
        <f>GSD!S7</f>
        <v>62.749999999999993</v>
      </c>
      <c r="Z5" s="1">
        <f>GSD!T7</f>
        <v>38.519999999999996</v>
      </c>
      <c r="AA5" s="1">
        <f>GSD!U7</f>
        <v>36.389999999999993</v>
      </c>
      <c r="AB5" s="38">
        <f>GSD!V7</f>
        <v>25.319999999999993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CBH-06</v>
      </c>
      <c r="C6" s="26">
        <f>GSD!F8</f>
        <v>4.5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100</v>
      </c>
      <c r="X6" s="1">
        <f>GSD!R8</f>
        <v>99.75</v>
      </c>
      <c r="Y6" s="1">
        <f>GSD!S8</f>
        <v>99.2</v>
      </c>
      <c r="Z6" s="1">
        <f>GSD!T8</f>
        <v>80.11</v>
      </c>
      <c r="AA6" s="1">
        <f>GSD!U8</f>
        <v>68.990000000000009</v>
      </c>
      <c r="AB6" s="38">
        <f>GSD!V8</f>
        <v>39.680000000000007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CBH-06</v>
      </c>
      <c r="C7" s="26">
        <f>GSD!F9</f>
        <v>6.5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99.37</v>
      </c>
      <c r="X7" s="1">
        <f>GSD!R9</f>
        <v>98.32</v>
      </c>
      <c r="Y7" s="1">
        <f>GSD!S9</f>
        <v>96.22</v>
      </c>
      <c r="Z7" s="1">
        <f>GSD!T9</f>
        <v>70.27</v>
      </c>
      <c r="AA7" s="1">
        <f>GSD!U9</f>
        <v>59.84</v>
      </c>
      <c r="AB7" s="38">
        <f>GSD!V9</f>
        <v>40.090000000000003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CBH-06</v>
      </c>
      <c r="C8" s="26">
        <f>GSD!F10</f>
        <v>7.5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>
        <f>GSD!Q10</f>
        <v>99.09</v>
      </c>
      <c r="X8" s="1">
        <f>GSD!R10</f>
        <v>98.2</v>
      </c>
      <c r="Y8" s="1">
        <f>GSD!S10</f>
        <v>71.59</v>
      </c>
      <c r="Z8" s="1">
        <f>GSD!T10</f>
        <v>46.47</v>
      </c>
      <c r="AA8" s="1">
        <f>GSD!U10</f>
        <v>40.5</v>
      </c>
      <c r="AB8" s="38">
        <f>GSD!V10</f>
        <v>28.480000000000004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CBH-06</v>
      </c>
      <c r="C9" s="26">
        <f>GSD!F11</f>
        <v>10.5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>
        <f>GSD!Q11</f>
        <v>99.82</v>
      </c>
      <c r="X9" s="1">
        <f>GSD!R11</f>
        <v>99.36</v>
      </c>
      <c r="Y9" s="1">
        <f>GSD!S11</f>
        <v>75.289999999999992</v>
      </c>
      <c r="Z9" s="1">
        <f>GSD!T11</f>
        <v>52.079999999999991</v>
      </c>
      <c r="AA9" s="1">
        <f>GSD!U11</f>
        <v>46.55</v>
      </c>
      <c r="AB9" s="38">
        <f>GSD!V11</f>
        <v>30.620000000000005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CBH-06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CBH-06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CBH-06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CBH-06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CBH-06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CBH-06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CBH-06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CBH-06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CBH-06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CBH-06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CBH-06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CBH-06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CBH-06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25">
      <c r="A23" s="18">
        <v>21</v>
      </c>
      <c r="B23" s="18" t="str">
        <f t="shared" si="0"/>
        <v>CBH-06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2026-09-24T06:03:38Z</dcterms:modified>
</cp:coreProperties>
</file>