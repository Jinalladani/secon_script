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9. BRG Railway Line @ 49.161km(RLBH-01 &amp; RLBH-02)\"/>
    </mc:Choice>
  </mc:AlternateContent>
  <xr:revisionPtr revIDLastSave="0" documentId="13_ncr:1_{D96C85A5-0435-40B9-A962-95AC9E8E5EB0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<sst xmlns="http://schemas.openxmlformats.org/spreadsheetml/2006/main" count="73" uniqueCount="50">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</sst>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4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1" fillId="0" borderId="1" xfId="4" applyNumberFormat="1" applyFont="1" applyBorder="1" applyAlignment="1">
      <alignment horizontal="center" vertical="center"/>
    </xf>
    <xf numFmtId="0" fontId="1" fillId="0" borderId="1" xfId="4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59.219999999999992</c:v>
                </c:pt>
                <c:pt idx="1">
                  <c:v>37.33</c:v>
                </c:pt>
                <c:pt idx="2">
                  <c:v>33.11</c:v>
                </c:pt>
                <c:pt idx="3">
                  <c:v>30.219999999999995</c:v>
                </c:pt>
                <c:pt idx="4">
                  <c:v>28.900000000000002</c:v>
                </c:pt>
                <c:pt idx="5">
                  <c:v>28.22</c:v>
                </c:pt>
                <c:pt idx="6">
                  <c:v>26.340000000000003</c:v>
                </c:pt>
                <c:pt idx="7">
                  <c:v>25.11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99.745000000000005</c:v>
                </c:pt>
                <c:pt idx="1">
                  <c:v>98.015000000000001</c:v>
                </c:pt>
                <c:pt idx="2">
                  <c:v>97.165000000000006</c:v>
                </c:pt>
                <c:pt idx="3">
                  <c:v>94.18</c:v>
                </c:pt>
                <c:pt idx="4">
                  <c:v>91.06</c:v>
                </c:pt>
                <c:pt idx="5">
                  <c:v>89.07</c:v>
                </c:pt>
                <c:pt idx="6">
                  <c:v>83.28</c:v>
                </c:pt>
                <c:pt idx="7">
                  <c:v>78.364999999999995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87.93</c:v>
                </c:pt>
                <c:pt idx="1">
                  <c:v>54.84</c:v>
                </c:pt>
                <c:pt idx="2">
                  <c:v>50.519999999999996</c:v>
                </c:pt>
                <c:pt idx="3">
                  <c:v>46.089999999999996</c:v>
                </c:pt>
                <c:pt idx="4">
                  <c:v>43.75</c:v>
                </c:pt>
                <c:pt idx="5">
                  <c:v>42.58</c:v>
                </c:pt>
                <c:pt idx="6">
                  <c:v>40.01</c:v>
                </c:pt>
                <c:pt idx="7">
                  <c:v>38.479999999999997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84.36</c:v>
                </c:pt>
                <c:pt idx="1">
                  <c:v>42.795000000000002</c:v>
                </c:pt>
                <c:pt idx="2">
                  <c:v>38.414999999999999</c:v>
                </c:pt>
                <c:pt idx="3">
                  <c:v>34.034999999999997</c:v>
                </c:pt>
                <c:pt idx="4">
                  <c:v>31.349999999999994</c:v>
                </c:pt>
                <c:pt idx="5">
                  <c:v>30.074999999999992</c:v>
                </c:pt>
                <c:pt idx="6">
                  <c:v>27.68999999999998</c:v>
                </c:pt>
                <c:pt idx="7">
                  <c:v>27.044999999999987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46.17</c:v>
                </c:pt>
                <c:pt idx="1">
                  <c:v>26.52000000000001</c:v>
                </c:pt>
                <c:pt idx="2">
                  <c:v>24.460000000000008</c:v>
                </c:pt>
                <c:pt idx="3">
                  <c:v>22.290000000000006</c:v>
                </c:pt>
                <c:pt idx="4">
                  <c:v>21.080000000000013</c:v>
                </c:pt>
                <c:pt idx="5">
                  <c:v>20.530000000000015</c:v>
                </c:pt>
                <c:pt idx="6">
                  <c:v>19.27000000000001</c:v>
                </c:pt>
                <c:pt idx="7">
                  <c:v>18.390000000000015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62.555000000000007</c:v>
                </c:pt>
                <c:pt idx="1">
                  <c:v>39.524999999999999</c:v>
                </c:pt>
                <c:pt idx="2">
                  <c:v>36.019999999999996</c:v>
                </c:pt>
                <c:pt idx="3">
                  <c:v>32.084999999999994</c:v>
                </c:pt>
                <c:pt idx="4">
                  <c:v>29.804999999999993</c:v>
                </c:pt>
                <c:pt idx="5">
                  <c:v>28.764999999999986</c:v>
                </c:pt>
                <c:pt idx="6">
                  <c:v>26.874999999999989</c:v>
                </c:pt>
                <c:pt idx="7">
                  <c:v>26.549999999999983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11.00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74.73</c:v>
                </c:pt>
                <c:pt idx="1">
                  <c:v>73.599999999999994</c:v>
                </c:pt>
                <c:pt idx="2">
                  <c:v>73.12</c:v>
                </c:pt>
                <c:pt idx="3">
                  <c:v>71.06</c:v>
                </c:pt>
                <c:pt idx="4">
                  <c:v>67.180000000000007</c:v>
                </c:pt>
                <c:pt idx="5">
                  <c:v>64.28</c:v>
                </c:pt>
                <c:pt idx="6">
                  <c:v>54.789999999999992</c:v>
                </c:pt>
                <c:pt idx="7">
                  <c:v>49.879999999999995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14.50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89.61</c:v>
                </c:pt>
                <c:pt idx="1">
                  <c:v>85.76</c:v>
                </c:pt>
                <c:pt idx="2">
                  <c:v>84.46</c:v>
                </c:pt>
                <c:pt idx="3">
                  <c:v>81.59</c:v>
                </c:pt>
                <c:pt idx="4">
                  <c:v>77.849999999999994</c:v>
                </c:pt>
                <c:pt idx="5">
                  <c:v>74.63</c:v>
                </c:pt>
                <c:pt idx="6">
                  <c:v>64.460000000000008</c:v>
                </c:pt>
                <c:pt idx="7">
                  <c:v>59.17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83.789999999999992</c:v>
                </c:pt>
                <c:pt idx="1">
                  <c:v>79.849999999999994</c:v>
                </c:pt>
                <c:pt idx="2">
                  <c:v>78.81</c:v>
                </c:pt>
                <c:pt idx="3">
                  <c:v>76.63</c:v>
                </c:pt>
                <c:pt idx="4">
                  <c:v>74.31</c:v>
                </c:pt>
                <c:pt idx="5">
                  <c:v>72.05</c:v>
                </c:pt>
                <c:pt idx="6">
                  <c:v>64.739999999999995</c:v>
                </c:pt>
                <c:pt idx="7">
                  <c:v>61.01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59.219999999999992</c:v>
                </c:pt>
                <c:pt idx="1">
                  <c:v>37.33</c:v>
                </c:pt>
                <c:pt idx="2">
                  <c:v>33.11</c:v>
                </c:pt>
                <c:pt idx="3">
                  <c:v>30.219999999999995</c:v>
                </c:pt>
                <c:pt idx="4">
                  <c:v>28.900000000000002</c:v>
                </c:pt>
                <c:pt idx="5">
                  <c:v>28.22</c:v>
                </c:pt>
                <c:pt idx="6">
                  <c:v>26.340000000000003</c:v>
                </c:pt>
                <c:pt idx="7">
                  <c:v>25.11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99.745000000000005</c:v>
                </c:pt>
                <c:pt idx="1">
                  <c:v>98.015000000000001</c:v>
                </c:pt>
                <c:pt idx="2">
                  <c:v>97.165000000000006</c:v>
                </c:pt>
                <c:pt idx="3">
                  <c:v>94.18</c:v>
                </c:pt>
                <c:pt idx="4">
                  <c:v>91.06</c:v>
                </c:pt>
                <c:pt idx="5">
                  <c:v>89.07</c:v>
                </c:pt>
                <c:pt idx="6">
                  <c:v>83.28</c:v>
                </c:pt>
                <c:pt idx="7">
                  <c:v>78.364999999999995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87.93</c:v>
                </c:pt>
                <c:pt idx="1">
                  <c:v>54.84</c:v>
                </c:pt>
                <c:pt idx="2">
                  <c:v>50.519999999999996</c:v>
                </c:pt>
                <c:pt idx="3">
                  <c:v>46.089999999999996</c:v>
                </c:pt>
                <c:pt idx="4">
                  <c:v>43.75</c:v>
                </c:pt>
                <c:pt idx="5">
                  <c:v>42.58</c:v>
                </c:pt>
                <c:pt idx="6">
                  <c:v>40.01</c:v>
                </c:pt>
                <c:pt idx="7">
                  <c:v>38.479999999999997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84.36</c:v>
                </c:pt>
                <c:pt idx="1">
                  <c:v>42.795000000000002</c:v>
                </c:pt>
                <c:pt idx="2">
                  <c:v>38.414999999999999</c:v>
                </c:pt>
                <c:pt idx="3">
                  <c:v>34.034999999999997</c:v>
                </c:pt>
                <c:pt idx="4">
                  <c:v>31.349999999999994</c:v>
                </c:pt>
                <c:pt idx="5">
                  <c:v>30.074999999999992</c:v>
                </c:pt>
                <c:pt idx="6">
                  <c:v>27.68999999999998</c:v>
                </c:pt>
                <c:pt idx="7">
                  <c:v>27.044999999999987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46.17</c:v>
                </c:pt>
                <c:pt idx="1">
                  <c:v>26.52000000000001</c:v>
                </c:pt>
                <c:pt idx="2">
                  <c:v>24.460000000000008</c:v>
                </c:pt>
                <c:pt idx="3">
                  <c:v>22.290000000000006</c:v>
                </c:pt>
                <c:pt idx="4">
                  <c:v>21.080000000000013</c:v>
                </c:pt>
                <c:pt idx="5">
                  <c:v>20.530000000000015</c:v>
                </c:pt>
                <c:pt idx="6">
                  <c:v>19.27000000000001</c:v>
                </c:pt>
                <c:pt idx="7">
                  <c:v>18.390000000000015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62.555000000000007</c:v>
                </c:pt>
                <c:pt idx="1">
                  <c:v>39.524999999999999</c:v>
                </c:pt>
                <c:pt idx="2">
                  <c:v>36.019999999999996</c:v>
                </c:pt>
                <c:pt idx="3">
                  <c:v>32.084999999999994</c:v>
                </c:pt>
                <c:pt idx="4">
                  <c:v>29.804999999999993</c:v>
                </c:pt>
                <c:pt idx="5">
                  <c:v>28.764999999999986</c:v>
                </c:pt>
                <c:pt idx="6">
                  <c:v>26.874999999999989</c:v>
                </c:pt>
                <c:pt idx="7">
                  <c:v>26.549999999999983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11.00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74.73</c:v>
                </c:pt>
                <c:pt idx="1">
                  <c:v>73.599999999999994</c:v>
                </c:pt>
                <c:pt idx="2">
                  <c:v>73.12</c:v>
                </c:pt>
                <c:pt idx="3">
                  <c:v>71.06</c:v>
                </c:pt>
                <c:pt idx="4">
                  <c:v>67.180000000000007</c:v>
                </c:pt>
                <c:pt idx="5">
                  <c:v>64.28</c:v>
                </c:pt>
                <c:pt idx="6">
                  <c:v>54.789999999999992</c:v>
                </c:pt>
                <c:pt idx="7">
                  <c:v>49.879999999999995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14.50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89.61</c:v>
                </c:pt>
                <c:pt idx="1">
                  <c:v>85.76</c:v>
                </c:pt>
                <c:pt idx="2">
                  <c:v>84.46</c:v>
                </c:pt>
                <c:pt idx="3">
                  <c:v>81.59</c:v>
                </c:pt>
                <c:pt idx="4">
                  <c:v>77.849999999999994</c:v>
                </c:pt>
                <c:pt idx="5">
                  <c:v>74.63</c:v>
                </c:pt>
                <c:pt idx="6">
                  <c:v>64.460000000000008</c:v>
                </c:pt>
                <c:pt idx="7">
                  <c:v>59.17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83.789999999999992</c:v>
                </c:pt>
                <c:pt idx="1">
                  <c:v>79.849999999999994</c:v>
                </c:pt>
                <c:pt idx="2">
                  <c:v>78.81</c:v>
                </c:pt>
                <c:pt idx="3">
                  <c:v>76.63</c:v>
                </c:pt>
                <c:pt idx="4">
                  <c:v>74.31</c:v>
                </c:pt>
                <c:pt idx="5">
                  <c:v>72.05</c:v>
                </c:pt>
                <c:pt idx="6">
                  <c:v>64.739999999999995</c:v>
                </c:pt>
                <c:pt idx="7">
                  <c:v>61.01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95" zoomScaleNormal="85" zoomScaleSheetLayoutView="95" zoomScalePageLayoutView="85" workbookViewId="0">
      <selection activeCell="R10" sqref="R10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0" t="s">
        <v>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</row>
    <row r="2" spans="1:29" ht="24.6" customHeight="1">
      <c r="A2" s="41" t="s">
        <v>4</v>
      </c>
      <c r="B2" s="44" t="s">
        <v>5</v>
      </c>
      <c r="C2" s="44" t="s">
        <v>6</v>
      </c>
      <c r="D2" s="44" t="s">
        <v>7</v>
      </c>
      <c r="E2" s="47" t="s">
        <v>8</v>
      </c>
      <c r="F2" s="47" t="s">
        <v>9</v>
      </c>
      <c r="G2" s="47" t="s">
        <v>10</v>
      </c>
      <c r="H2" s="47" t="s">
        <v>11</v>
      </c>
      <c r="I2" s="48" t="s">
        <v>12</v>
      </c>
      <c r="J2" s="51" t="s">
        <v>13</v>
      </c>
      <c r="K2" s="51"/>
      <c r="L2" s="51"/>
      <c r="M2" s="51"/>
      <c r="N2" s="51"/>
      <c r="O2" s="51"/>
      <c r="P2" s="51"/>
      <c r="Q2" s="51"/>
      <c r="R2" s="51"/>
      <c r="S2" s="51" t="s">
        <v>0</v>
      </c>
      <c r="T2" s="51"/>
      <c r="U2" s="51"/>
      <c r="V2" s="51"/>
      <c r="W2" s="51"/>
      <c r="X2" s="51"/>
      <c r="Y2" s="51"/>
      <c r="Z2" s="51"/>
      <c r="AA2" s="50" t="s">
        <v>14</v>
      </c>
      <c r="AB2" s="50" t="s">
        <v>15</v>
      </c>
      <c r="AC2" s="50" t="s">
        <v>16</v>
      </c>
    </row>
    <row r="3" spans="1:29" ht="40.5" customHeight="1">
      <c r="A3" s="42"/>
      <c r="B3" s="45"/>
      <c r="C3" s="45"/>
      <c r="D3" s="45"/>
      <c r="E3" s="47"/>
      <c r="F3" s="47"/>
      <c r="G3" s="47"/>
      <c r="H3" s="47"/>
      <c r="I3" s="49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0"/>
      <c r="AB3" s="50"/>
      <c r="AC3" s="50"/>
    </row>
    <row r="4" spans="1:29" ht="21.6" customHeight="1">
      <c r="A4" s="43"/>
      <c r="B4" s="46"/>
      <c r="C4" s="46"/>
      <c r="D4" s="46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1" t="s">
        <v>20</v>
      </c>
      <c r="K4" s="51"/>
      <c r="L4" s="51"/>
      <c r="M4" s="51"/>
      <c r="N4" s="51"/>
      <c r="O4" s="51"/>
      <c r="P4" s="51"/>
      <c r="Q4" s="51"/>
      <c r="R4" s="51"/>
      <c r="S4" s="51" t="s">
        <v>20</v>
      </c>
      <c r="T4" s="51"/>
      <c r="U4" s="51"/>
      <c r="V4" s="51"/>
      <c r="W4" s="51"/>
      <c r="X4" s="51"/>
      <c r="Y4" s="51"/>
      <c r="Z4" s="51"/>
      <c r="AA4" s="52" t="s">
        <v>21</v>
      </c>
      <c r="AB4" s="53"/>
      <c r="AC4" s="53"/>
    </row>
    <row r="5" spans="1:29" ht="30" customHeight="1">
      <c r="A5" s="9">
        <v>1</v>
      </c>
      <c r="B5" s="54" t="s">
        <v>49</v>
      </c>
      <c r="C5" s="54"/>
      <c r="D5" s="55"/>
      <c r="E5" s="73" t="s">
        <v>22</v>
      </c>
      <c r="F5" s="72">
        <v>0.5</v>
      </c>
      <c r="G5" s="73"/>
      <c r="H5" s="73">
        <v>100</v>
      </c>
      <c r="I5" s="72">
        <v>74.89</v>
      </c>
      <c r="J5" s="72">
        <v>40.78</v>
      </c>
      <c r="K5" s="72">
        <v>21.89</v>
      </c>
      <c r="L5" s="72">
        <v>4.22</v>
      </c>
      <c r="M5" s="72">
        <v>2.89</v>
      </c>
      <c r="N5" s="72">
        <v>1.32</v>
      </c>
      <c r="O5" s="72">
        <v>0.68</v>
      </c>
      <c r="P5" s="72">
        <v>1.88</v>
      </c>
      <c r="Q5" s="72">
        <v>1.23</v>
      </c>
      <c r="R5" s="10"/>
      <c r="S5" s="39">
        <f t="shared" ref="S5:S13" si="0">((H5-(SUM(J5)))/H5)*100</f>
        <v>59.219999999999992</v>
      </c>
      <c r="T5" s="39">
        <f>((H5-(SUM(J5:K5)))/H5)*100</f>
        <v>37.33</v>
      </c>
      <c r="U5" s="39">
        <f t="shared" ref="U5:U13" si="1">((H5-(SUM(J5:L5)))/H5)*100</f>
        <v>33.11</v>
      </c>
      <c r="V5" s="39">
        <f t="shared" ref="V5:V13" si="2">((H5-(SUM(J5:M5)))/H5)*100</f>
        <v>30.219999999999995</v>
      </c>
      <c r="W5" s="39">
        <f t="shared" ref="W5:W13" si="3">((H5-(SUM(J5:N5)))/H5)*100</f>
        <v>28.900000000000002</v>
      </c>
      <c r="X5" s="39">
        <f t="shared" ref="X5:X13" si="4">((H5-(SUM(J5:O5)))/H5)*100</f>
        <v>28.22</v>
      </c>
      <c r="Y5" s="39">
        <f t="shared" ref="Y5:Y13" si="5">((H5-(SUM(J5:P5)))/H5)*100</f>
        <v>26.340000000000003</v>
      </c>
      <c r="Z5" s="39">
        <f t="shared" ref="Z5:Z13" si="6">((H5-(SUM(J5:Q5)))/H5)*100</f>
        <v>25.11</v>
      </c>
      <c r="AA5" s="39">
        <f t="shared" ref="AA5:AA13" si="7">100-S5</f>
        <v>40.780000000000008</v>
      </c>
      <c r="AB5" s="39">
        <f t="shared" ref="AB5:AB13" si="8">S5-Z5</f>
        <v>34.109999999999992</v>
      </c>
      <c r="AC5" s="39">
        <f t="shared" ref="AC5:AC13" si="9">Z5</f>
        <v>25.11</v>
      </c>
    </row>
    <row r="6" spans="1:29" ht="30" customHeight="1">
      <c r="A6" s="9">
        <v>2</v>
      </c>
      <c r="B6" s="54"/>
      <c r="C6" s="54"/>
      <c r="D6" s="55"/>
      <c r="E6" s="73" t="s">
        <v>48</v>
      </c>
      <c r="F6" s="72">
        <v>1.5</v>
      </c>
      <c r="G6" s="73"/>
      <c r="H6" s="73">
        <v>200</v>
      </c>
      <c r="I6" s="72">
        <v>43.27</v>
      </c>
      <c r="J6" s="72">
        <v>0.51</v>
      </c>
      <c r="K6" s="72">
        <v>3.46</v>
      </c>
      <c r="L6" s="72">
        <v>1.7</v>
      </c>
      <c r="M6" s="72">
        <v>5.97</v>
      </c>
      <c r="N6" s="72">
        <v>6.24</v>
      </c>
      <c r="O6" s="72">
        <v>3.98</v>
      </c>
      <c r="P6" s="72">
        <v>11.58</v>
      </c>
      <c r="Q6" s="72">
        <v>9.83</v>
      </c>
      <c r="R6" s="10"/>
      <c r="S6" s="39">
        <f t="shared" si="0"/>
        <v>99.745000000000005</v>
      </c>
      <c r="T6" s="39">
        <f t="shared" ref="T6:T13" si="10">((H6-(SUM(J6:K6)))/H6)*100</f>
        <v>98.015000000000001</v>
      </c>
      <c r="U6" s="39">
        <f t="shared" si="1"/>
        <v>97.165000000000006</v>
      </c>
      <c r="V6" s="39">
        <f t="shared" si="2"/>
        <v>94.18</v>
      </c>
      <c r="W6" s="39">
        <f t="shared" si="3"/>
        <v>91.06</v>
      </c>
      <c r="X6" s="39">
        <f t="shared" si="4"/>
        <v>89.07</v>
      </c>
      <c r="Y6" s="39">
        <f t="shared" si="5"/>
        <v>83.28</v>
      </c>
      <c r="Z6" s="39">
        <f t="shared" si="6"/>
        <v>78.364999999999995</v>
      </c>
      <c r="AA6" s="39">
        <f t="shared" si="7"/>
        <v>0.25499999999999545</v>
      </c>
      <c r="AB6" s="39">
        <f t="shared" si="8"/>
        <v>21.38000000000001</v>
      </c>
      <c r="AC6" s="39">
        <f t="shared" si="9"/>
        <v>78.364999999999995</v>
      </c>
    </row>
    <row r="7" spans="1:29" ht="30" customHeight="1">
      <c r="A7" s="9">
        <v>3</v>
      </c>
      <c r="B7" s="54"/>
      <c r="C7" s="54"/>
      <c r="D7" s="55"/>
      <c r="E7" s="73" t="s">
        <v>22</v>
      </c>
      <c r="F7" s="72">
        <v>3.5</v>
      </c>
      <c r="G7" s="73"/>
      <c r="H7" s="73">
        <v>100</v>
      </c>
      <c r="I7" s="72">
        <v>61.52</v>
      </c>
      <c r="J7" s="72">
        <v>12.07</v>
      </c>
      <c r="K7" s="72">
        <v>33.090000000000003</v>
      </c>
      <c r="L7" s="72">
        <v>4.32</v>
      </c>
      <c r="M7" s="72">
        <v>4.43</v>
      </c>
      <c r="N7" s="72">
        <v>2.34</v>
      </c>
      <c r="O7" s="72">
        <v>1.17</v>
      </c>
      <c r="P7" s="72">
        <v>2.57</v>
      </c>
      <c r="Q7" s="72">
        <v>1.53</v>
      </c>
      <c r="R7" s="10"/>
      <c r="S7" s="39">
        <f t="shared" si="0"/>
        <v>87.93</v>
      </c>
      <c r="T7" s="39">
        <f t="shared" si="10"/>
        <v>54.84</v>
      </c>
      <c r="U7" s="39">
        <f t="shared" si="1"/>
        <v>50.519999999999996</v>
      </c>
      <c r="V7" s="39">
        <f t="shared" si="2"/>
        <v>46.089999999999996</v>
      </c>
      <c r="W7" s="39">
        <f t="shared" si="3"/>
        <v>43.75</v>
      </c>
      <c r="X7" s="39">
        <f t="shared" si="4"/>
        <v>42.58</v>
      </c>
      <c r="Y7" s="39">
        <f t="shared" si="5"/>
        <v>40.01</v>
      </c>
      <c r="Z7" s="39">
        <f t="shared" si="6"/>
        <v>38.479999999999997</v>
      </c>
      <c r="AA7" s="39">
        <f t="shared" si="7"/>
        <v>12.069999999999993</v>
      </c>
      <c r="AB7" s="39">
        <f t="shared" si="8"/>
        <v>49.45000000000001</v>
      </c>
      <c r="AC7" s="39">
        <f t="shared" si="9"/>
        <v>38.479999999999997</v>
      </c>
    </row>
    <row r="8" spans="1:29" ht="30" customHeight="1">
      <c r="A8" s="9">
        <v>4</v>
      </c>
      <c r="B8" s="54"/>
      <c r="C8" s="54"/>
      <c r="D8" s="55"/>
      <c r="E8" s="73" t="s">
        <v>48</v>
      </c>
      <c r="F8" s="72">
        <v>4.5</v>
      </c>
      <c r="G8" s="73"/>
      <c r="H8" s="73">
        <v>200</v>
      </c>
      <c r="I8" s="72">
        <v>145.91000000000003</v>
      </c>
      <c r="J8" s="72">
        <v>31.28</v>
      </c>
      <c r="K8" s="72">
        <v>83.13</v>
      </c>
      <c r="L8" s="72">
        <v>8.76</v>
      </c>
      <c r="M8" s="72">
        <v>8.76</v>
      </c>
      <c r="N8" s="72">
        <v>5.37</v>
      </c>
      <c r="O8" s="72">
        <v>2.5499999999999998</v>
      </c>
      <c r="P8" s="72">
        <v>4.7699999999999996</v>
      </c>
      <c r="Q8" s="72">
        <v>1.29</v>
      </c>
      <c r="R8" s="10"/>
      <c r="S8" s="39">
        <f t="shared" si="0"/>
        <v>84.36</v>
      </c>
      <c r="T8" s="39">
        <f t="shared" si="10"/>
        <v>42.795000000000002</v>
      </c>
      <c r="U8" s="39">
        <f t="shared" si="1"/>
        <v>38.414999999999999</v>
      </c>
      <c r="V8" s="39">
        <f t="shared" si="2"/>
        <v>34.034999999999997</v>
      </c>
      <c r="W8" s="39">
        <f t="shared" si="3"/>
        <v>31.349999999999994</v>
      </c>
      <c r="X8" s="39">
        <f t="shared" si="4"/>
        <v>30.074999999999992</v>
      </c>
      <c r="Y8" s="39">
        <f t="shared" si="5"/>
        <v>27.68999999999998</v>
      </c>
      <c r="Z8" s="39">
        <f t="shared" si="6"/>
        <v>27.044999999999987</v>
      </c>
      <c r="AA8" s="39">
        <f t="shared" si="7"/>
        <v>15.64</v>
      </c>
      <c r="AB8" s="39">
        <f t="shared" si="8"/>
        <v>57.315000000000012</v>
      </c>
      <c r="AC8" s="39">
        <f t="shared" si="9"/>
        <v>27.044999999999987</v>
      </c>
    </row>
    <row r="9" spans="1:29" ht="30" customHeight="1">
      <c r="A9" s="9">
        <v>5</v>
      </c>
      <c r="B9" s="54"/>
      <c r="C9" s="54"/>
      <c r="D9" s="55"/>
      <c r="E9" s="73" t="s">
        <v>22</v>
      </c>
      <c r="F9" s="72">
        <v>6.5</v>
      </c>
      <c r="G9" s="73"/>
      <c r="H9" s="73">
        <v>100</v>
      </c>
      <c r="I9" s="72">
        <v>81.609999999999985</v>
      </c>
      <c r="J9" s="72">
        <v>53.83</v>
      </c>
      <c r="K9" s="72">
        <v>19.649999999999999</v>
      </c>
      <c r="L9" s="72">
        <v>2.06</v>
      </c>
      <c r="M9" s="72">
        <v>2.17</v>
      </c>
      <c r="N9" s="72">
        <v>1.21</v>
      </c>
      <c r="O9" s="72">
        <v>0.55000000000000004</v>
      </c>
      <c r="P9" s="72">
        <v>1.26</v>
      </c>
      <c r="Q9" s="72">
        <v>0.88</v>
      </c>
      <c r="R9" s="10"/>
      <c r="S9" s="39">
        <f t="shared" si="0"/>
        <v>46.17</v>
      </c>
      <c r="T9" s="39">
        <f t="shared" si="10"/>
        <v>26.52000000000001</v>
      </c>
      <c r="U9" s="39">
        <f t="shared" si="1"/>
        <v>24.460000000000008</v>
      </c>
      <c r="V9" s="39">
        <f t="shared" si="2"/>
        <v>22.290000000000006</v>
      </c>
      <c r="W9" s="39">
        <f t="shared" si="3"/>
        <v>21.080000000000013</v>
      </c>
      <c r="X9" s="39">
        <f>((H9-(SUM(J9:O9)))/H9)*100</f>
        <v>20.530000000000015</v>
      </c>
      <c r="Y9" s="39">
        <f t="shared" si="5"/>
        <v>19.27000000000001</v>
      </c>
      <c r="Z9" s="39">
        <f t="shared" si="6"/>
        <v>18.390000000000015</v>
      </c>
      <c r="AA9" s="39">
        <f t="shared" si="7"/>
        <v>53.83</v>
      </c>
      <c r="AB9" s="39">
        <f t="shared" si="8"/>
        <v>27.779999999999987</v>
      </c>
      <c r="AC9" s="39">
        <f t="shared" si="9"/>
        <v>18.390000000000015</v>
      </c>
    </row>
    <row r="10" spans="1:29" s="31" customFormat="1" ht="30" customHeight="1">
      <c r="A10" s="9">
        <v>6</v>
      </c>
      <c r="B10" s="54"/>
      <c r="C10" s="54"/>
      <c r="D10" s="55"/>
      <c r="E10" s="73" t="s">
        <v>48</v>
      </c>
      <c r="F10" s="72">
        <v>7.5</v>
      </c>
      <c r="G10" s="73"/>
      <c r="H10" s="73">
        <v>200</v>
      </c>
      <c r="I10" s="72">
        <v>146.90000000000003</v>
      </c>
      <c r="J10" s="72">
        <v>74.89</v>
      </c>
      <c r="K10" s="72">
        <v>46.06</v>
      </c>
      <c r="L10" s="72">
        <v>7.01</v>
      </c>
      <c r="M10" s="72">
        <v>7.87</v>
      </c>
      <c r="N10" s="72">
        <v>4.5599999999999996</v>
      </c>
      <c r="O10" s="72">
        <v>2.08</v>
      </c>
      <c r="P10" s="72">
        <v>3.78</v>
      </c>
      <c r="Q10" s="72">
        <v>0.65</v>
      </c>
      <c r="R10" s="10"/>
      <c r="S10" s="39">
        <f t="shared" si="0"/>
        <v>62.555000000000007</v>
      </c>
      <c r="T10" s="39">
        <f t="shared" si="10"/>
        <v>39.524999999999999</v>
      </c>
      <c r="U10" s="39">
        <f t="shared" si="1"/>
        <v>36.019999999999996</v>
      </c>
      <c r="V10" s="39">
        <f t="shared" si="2"/>
        <v>32.084999999999994</v>
      </c>
      <c r="W10" s="39">
        <f t="shared" si="3"/>
        <v>29.804999999999993</v>
      </c>
      <c r="X10" s="39">
        <f t="shared" si="4"/>
        <v>28.764999999999986</v>
      </c>
      <c r="Y10" s="39">
        <f t="shared" si="5"/>
        <v>26.874999999999989</v>
      </c>
      <c r="Z10" s="39">
        <f t="shared" si="6"/>
        <v>26.549999999999983</v>
      </c>
      <c r="AA10" s="39">
        <f t="shared" si="7"/>
        <v>37.444999999999993</v>
      </c>
      <c r="AB10" s="39">
        <f t="shared" si="8"/>
        <v>36.005000000000024</v>
      </c>
      <c r="AC10" s="39">
        <f t="shared" si="9"/>
        <v>26.549999999999983</v>
      </c>
    </row>
    <row r="11" spans="1:29" ht="30" customHeight="1">
      <c r="A11" s="9">
        <v>7</v>
      </c>
      <c r="B11" s="54"/>
      <c r="C11" s="54"/>
      <c r="D11" s="55"/>
      <c r="E11" s="73" t="s">
        <v>22</v>
      </c>
      <c r="F11" s="72">
        <v>11</v>
      </c>
      <c r="G11" s="73"/>
      <c r="H11" s="73">
        <v>100</v>
      </c>
      <c r="I11" s="72">
        <v>50.120000000000005</v>
      </c>
      <c r="J11" s="72">
        <v>25.27</v>
      </c>
      <c r="K11" s="72">
        <v>1.1299999999999999</v>
      </c>
      <c r="L11" s="72">
        <v>0.48</v>
      </c>
      <c r="M11" s="72">
        <v>2.06</v>
      </c>
      <c r="N11" s="72">
        <v>3.88</v>
      </c>
      <c r="O11" s="72">
        <v>2.9</v>
      </c>
      <c r="P11" s="72">
        <v>9.49</v>
      </c>
      <c r="Q11" s="72">
        <v>4.91</v>
      </c>
      <c r="R11" s="10"/>
      <c r="S11" s="39">
        <f t="shared" si="0"/>
        <v>74.73</v>
      </c>
      <c r="T11" s="39">
        <f t="shared" si="10"/>
        <v>73.599999999999994</v>
      </c>
      <c r="U11" s="39">
        <f t="shared" si="1"/>
        <v>73.12</v>
      </c>
      <c r="V11" s="39">
        <f t="shared" si="2"/>
        <v>71.06</v>
      </c>
      <c r="W11" s="39">
        <f t="shared" si="3"/>
        <v>67.180000000000007</v>
      </c>
      <c r="X11" s="39">
        <f t="shared" si="4"/>
        <v>64.28</v>
      </c>
      <c r="Y11" s="39">
        <f t="shared" si="5"/>
        <v>54.789999999999992</v>
      </c>
      <c r="Z11" s="39">
        <f t="shared" si="6"/>
        <v>49.879999999999995</v>
      </c>
      <c r="AA11" s="39">
        <f t="shared" si="7"/>
        <v>25.269999999999996</v>
      </c>
      <c r="AB11" s="39">
        <f t="shared" si="8"/>
        <v>24.850000000000009</v>
      </c>
      <c r="AC11" s="39">
        <f t="shared" si="9"/>
        <v>49.879999999999995</v>
      </c>
    </row>
    <row r="12" spans="1:29" ht="30" customHeight="1">
      <c r="A12" s="9">
        <v>8</v>
      </c>
      <c r="B12" s="54"/>
      <c r="C12" s="54"/>
      <c r="D12" s="55"/>
      <c r="E12" s="73" t="s">
        <v>22</v>
      </c>
      <c r="F12" s="72">
        <v>14.5</v>
      </c>
      <c r="G12" s="73"/>
      <c r="H12" s="73">
        <v>100</v>
      </c>
      <c r="I12" s="72">
        <v>40.83</v>
      </c>
      <c r="J12" s="72">
        <v>10.39</v>
      </c>
      <c r="K12" s="72">
        <v>3.85</v>
      </c>
      <c r="L12" s="72">
        <v>1.3</v>
      </c>
      <c r="M12" s="72">
        <v>2.87</v>
      </c>
      <c r="N12" s="72">
        <v>3.74</v>
      </c>
      <c r="O12" s="72">
        <v>3.22</v>
      </c>
      <c r="P12" s="72">
        <v>10.17</v>
      </c>
      <c r="Q12" s="72">
        <v>5.29</v>
      </c>
      <c r="R12" s="10"/>
      <c r="S12" s="39">
        <f t="shared" si="0"/>
        <v>89.61</v>
      </c>
      <c r="T12" s="39">
        <f t="shared" si="10"/>
        <v>85.76</v>
      </c>
      <c r="U12" s="39">
        <f t="shared" si="1"/>
        <v>84.46</v>
      </c>
      <c r="V12" s="39">
        <f t="shared" si="2"/>
        <v>81.59</v>
      </c>
      <c r="W12" s="39">
        <f t="shared" si="3"/>
        <v>77.849999999999994</v>
      </c>
      <c r="X12" s="39">
        <f t="shared" si="4"/>
        <v>74.63</v>
      </c>
      <c r="Y12" s="39">
        <f t="shared" si="5"/>
        <v>64.460000000000008</v>
      </c>
      <c r="Z12" s="39">
        <f t="shared" si="6"/>
        <v>59.17</v>
      </c>
      <c r="AA12" s="39">
        <f t="shared" si="7"/>
        <v>10.39</v>
      </c>
      <c r="AB12" s="39">
        <f t="shared" si="8"/>
        <v>30.439999999999998</v>
      </c>
      <c r="AC12" s="39">
        <f t="shared" si="9"/>
        <v>59.17</v>
      </c>
    </row>
    <row r="13" spans="1:29" ht="30" customHeight="1">
      <c r="A13" s="9">
        <v>9</v>
      </c>
      <c r="B13" s="54"/>
      <c r="C13" s="54"/>
      <c r="D13" s="55"/>
      <c r="E13" s="73" t="s">
        <v>22</v>
      </c>
      <c r="F13" s="72">
        <v>15</v>
      </c>
      <c r="G13" s="73"/>
      <c r="H13" s="73">
        <v>100</v>
      </c>
      <c r="I13" s="72">
        <v>38.99</v>
      </c>
      <c r="J13" s="72">
        <v>16.21</v>
      </c>
      <c r="K13" s="72">
        <v>3.94</v>
      </c>
      <c r="L13" s="72">
        <v>1.04</v>
      </c>
      <c r="M13" s="72">
        <v>2.1800000000000002</v>
      </c>
      <c r="N13" s="72">
        <v>2.3199999999999998</v>
      </c>
      <c r="O13" s="72">
        <v>2.2599999999999998</v>
      </c>
      <c r="P13" s="72">
        <v>7.31</v>
      </c>
      <c r="Q13" s="72">
        <v>3.73</v>
      </c>
      <c r="R13" s="10"/>
      <c r="S13" s="39">
        <f t="shared" si="0"/>
        <v>83.789999999999992</v>
      </c>
      <c r="T13" s="39">
        <f t="shared" si="10"/>
        <v>79.849999999999994</v>
      </c>
      <c r="U13" s="39">
        <f t="shared" si="1"/>
        <v>78.81</v>
      </c>
      <c r="V13" s="39">
        <f t="shared" si="2"/>
        <v>76.63</v>
      </c>
      <c r="W13" s="39">
        <f t="shared" si="3"/>
        <v>74.31</v>
      </c>
      <c r="X13" s="39">
        <f t="shared" si="4"/>
        <v>72.05</v>
      </c>
      <c r="Y13" s="39">
        <f t="shared" si="5"/>
        <v>64.739999999999995</v>
      </c>
      <c r="Z13" s="39">
        <f t="shared" si="6"/>
        <v>61.01</v>
      </c>
      <c r="AA13" s="39">
        <f t="shared" si="7"/>
        <v>16.210000000000008</v>
      </c>
      <c r="AB13" s="39">
        <f t="shared" si="8"/>
        <v>22.779999999999994</v>
      </c>
      <c r="AC13" s="39">
        <f t="shared" si="9"/>
        <v>61.01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56" t="s">
        <v>4</v>
      </c>
      <c r="B1" s="59" t="s">
        <v>5</v>
      </c>
      <c r="C1" s="59" t="s">
        <v>9</v>
      </c>
      <c r="D1" s="56" t="s">
        <v>8</v>
      </c>
      <c r="E1" s="56" t="s">
        <v>23</v>
      </c>
      <c r="F1" s="56" t="s">
        <v>40</v>
      </c>
      <c r="G1" s="56" t="s">
        <v>24</v>
      </c>
      <c r="H1" s="56" t="s">
        <v>25</v>
      </c>
      <c r="I1" s="65" t="s">
        <v>34</v>
      </c>
      <c r="J1" s="56" t="s">
        <v>35</v>
      </c>
      <c r="K1" s="56" t="s">
        <v>26</v>
      </c>
      <c r="L1" s="56" t="s">
        <v>27</v>
      </c>
      <c r="M1" s="63" t="s">
        <v>28</v>
      </c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3" t="s">
        <v>29</v>
      </c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 t="s">
        <v>30</v>
      </c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21"/>
      <c r="BA1" s="21"/>
    </row>
    <row r="2" spans="1:53">
      <c r="A2" s="57"/>
      <c r="B2" s="60"/>
      <c r="C2" s="60"/>
      <c r="D2" s="57"/>
      <c r="E2" s="57"/>
      <c r="F2" s="57"/>
      <c r="G2" s="57"/>
      <c r="H2" s="57"/>
      <c r="I2" s="65"/>
      <c r="J2" s="57"/>
      <c r="K2" s="57"/>
      <c r="L2" s="57"/>
      <c r="M2" s="66">
        <v>0.5</v>
      </c>
      <c r="N2" s="62">
        <v>1</v>
      </c>
      <c r="O2" s="62">
        <v>2</v>
      </c>
      <c r="P2" s="62">
        <v>4</v>
      </c>
      <c r="Q2" s="62">
        <v>8</v>
      </c>
      <c r="R2" s="62">
        <v>15</v>
      </c>
      <c r="S2" s="62">
        <v>30</v>
      </c>
      <c r="T2" s="62">
        <v>60</v>
      </c>
      <c r="U2" s="62">
        <v>120</v>
      </c>
      <c r="V2" s="62">
        <v>240</v>
      </c>
      <c r="W2" s="62">
        <v>480</v>
      </c>
      <c r="X2" s="62">
        <v>960</v>
      </c>
      <c r="Y2" s="62">
        <v>1440</v>
      </c>
      <c r="Z2" s="66">
        <v>0.5</v>
      </c>
      <c r="AA2" s="62">
        <v>1</v>
      </c>
      <c r="AB2" s="62">
        <v>2</v>
      </c>
      <c r="AC2" s="62">
        <v>4</v>
      </c>
      <c r="AD2" s="62">
        <v>8</v>
      </c>
      <c r="AE2" s="62">
        <v>15</v>
      </c>
      <c r="AF2" s="62">
        <v>30</v>
      </c>
      <c r="AG2" s="62">
        <v>60</v>
      </c>
      <c r="AH2" s="62">
        <v>120</v>
      </c>
      <c r="AI2" s="62">
        <v>240</v>
      </c>
      <c r="AJ2" s="62">
        <v>480</v>
      </c>
      <c r="AK2" s="62">
        <v>960</v>
      </c>
      <c r="AL2" s="62">
        <v>1440</v>
      </c>
      <c r="AM2" s="66">
        <v>0.5</v>
      </c>
      <c r="AN2" s="62">
        <v>1</v>
      </c>
      <c r="AO2" s="62">
        <v>2</v>
      </c>
      <c r="AP2" s="62">
        <v>4</v>
      </c>
      <c r="AQ2" s="62">
        <v>8</v>
      </c>
      <c r="AR2" s="62">
        <v>15</v>
      </c>
      <c r="AS2" s="62">
        <v>30</v>
      </c>
      <c r="AT2" s="62">
        <v>60</v>
      </c>
      <c r="AU2" s="62">
        <v>120</v>
      </c>
      <c r="AV2" s="62">
        <v>240</v>
      </c>
      <c r="AW2" s="62">
        <v>480</v>
      </c>
      <c r="AX2" s="62">
        <v>960</v>
      </c>
      <c r="AY2" s="62">
        <v>1440</v>
      </c>
      <c r="AZ2" s="21"/>
      <c r="BA2" s="21"/>
    </row>
    <row r="3" spans="1:53">
      <c r="A3" s="57"/>
      <c r="B3" s="60"/>
      <c r="C3" s="60"/>
      <c r="D3" s="58"/>
      <c r="E3" s="58"/>
      <c r="F3" s="58"/>
      <c r="G3" s="58"/>
      <c r="H3" s="58"/>
      <c r="I3" s="65"/>
      <c r="J3" s="58"/>
      <c r="K3" s="58"/>
      <c r="L3" s="58"/>
      <c r="M3" s="66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6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6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21"/>
      <c r="BA3" s="21"/>
    </row>
    <row r="4" spans="1:53">
      <c r="A4" s="58"/>
      <c r="B4" s="61"/>
      <c r="C4" s="61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7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9"/>
      <c r="Z4" s="67" t="s">
        <v>32</v>
      </c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9"/>
      <c r="AM4" s="65" t="s">
        <v>33</v>
      </c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19"/>
      <c r="BA4" s="19"/>
    </row>
    <row r="5" spans="1:53">
      <c r="A5" s="25">
        <v>1</v>
      </c>
      <c r="B5" s="25" t="str">
        <f>GSD!B5</f>
        <v>RLBH-01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RLBH-01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RLBH-01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RLBH-01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RLBH-01</v>
      </c>
      <c r="C9" s="38">
        <f>GSD!F9</f>
        <v>6.5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RLBH-01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RLBH-01</v>
      </c>
      <c r="C11" s="38">
        <f>GSD!F11</f>
        <v>11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RLBH-01</v>
      </c>
      <c r="C12" s="38">
        <f>GSD!F12</f>
        <v>14.5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RLBH-01</v>
      </c>
      <c r="C13" s="38">
        <f>GSD!F13</f>
        <v>15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Q1" zoomScale="130" zoomScaleNormal="130" workbookViewId="0">
      <selection activeCell="Z3" sqref="Z3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0" t="s">
        <v>42</v>
      </c>
      <c r="E2" s="70"/>
      <c r="F2" s="70"/>
      <c r="G2" s="70"/>
      <c r="H2" s="70"/>
      <c r="I2" s="70"/>
      <c r="J2" s="70"/>
      <c r="K2" s="70"/>
      <c r="L2" s="70" t="s">
        <v>43</v>
      </c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1" t="s">
        <v>44</v>
      </c>
      <c r="Z2" s="71"/>
      <c r="AA2" s="71"/>
      <c r="AB2" s="71"/>
      <c r="AC2" s="71"/>
      <c r="AD2" s="71"/>
      <c r="AE2" s="71"/>
      <c r="AF2" s="71"/>
      <c r="AG2" s="70" t="s">
        <v>45</v>
      </c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RLBH-01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59.219999999999992</v>
      </c>
      <c r="Z3" s="36">
        <f>GSD!T5</f>
        <v>37.33</v>
      </c>
      <c r="AA3" s="36">
        <f>GSD!U5</f>
        <v>33.11</v>
      </c>
      <c r="AB3" s="36">
        <f>GSD!V5</f>
        <v>30.219999999999995</v>
      </c>
      <c r="AC3" s="36">
        <f>GSD!W5</f>
        <v>28.900000000000002</v>
      </c>
      <c r="AD3" s="36">
        <f>GSD!X5</f>
        <v>28.22</v>
      </c>
      <c r="AE3" s="36">
        <f>GSD!Y5</f>
        <v>26.340000000000003</v>
      </c>
      <c r="AF3" s="36">
        <f>GSD!Z5</f>
        <v>25.11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RLBH-01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99.745000000000005</v>
      </c>
      <c r="Z4" s="36">
        <f>GSD!T6</f>
        <v>98.015000000000001</v>
      </c>
      <c r="AA4" s="36">
        <f>GSD!U6</f>
        <v>97.165000000000006</v>
      </c>
      <c r="AB4" s="36">
        <f>GSD!V6</f>
        <v>94.18</v>
      </c>
      <c r="AC4" s="36">
        <f>GSD!W6</f>
        <v>91.06</v>
      </c>
      <c r="AD4" s="36">
        <f>GSD!X6</f>
        <v>89.07</v>
      </c>
      <c r="AE4" s="36">
        <f>GSD!Y6</f>
        <v>83.28</v>
      </c>
      <c r="AF4" s="36">
        <f>GSD!Z6</f>
        <v>78.364999999999995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RLBH-01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87.93</v>
      </c>
      <c r="Z5" s="36">
        <f>GSD!T7</f>
        <v>54.84</v>
      </c>
      <c r="AA5" s="36">
        <f>GSD!U7</f>
        <v>50.519999999999996</v>
      </c>
      <c r="AB5" s="36">
        <f>GSD!V7</f>
        <v>46.089999999999996</v>
      </c>
      <c r="AC5" s="36">
        <f>GSD!W7</f>
        <v>43.75</v>
      </c>
      <c r="AD5" s="36">
        <f>GSD!X7</f>
        <v>42.58</v>
      </c>
      <c r="AE5" s="36">
        <f>GSD!Y7</f>
        <v>40.01</v>
      </c>
      <c r="AF5" s="36">
        <f>GSD!Z7</f>
        <v>38.479999999999997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RLBH-01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84.36</v>
      </c>
      <c r="Z6" s="36">
        <f>GSD!T8</f>
        <v>42.795000000000002</v>
      </c>
      <c r="AA6" s="36">
        <f>GSD!U8</f>
        <v>38.414999999999999</v>
      </c>
      <c r="AB6" s="36">
        <f>GSD!V8</f>
        <v>34.034999999999997</v>
      </c>
      <c r="AC6" s="36">
        <f>GSD!W8</f>
        <v>31.349999999999994</v>
      </c>
      <c r="AD6" s="36">
        <f>GSD!X8</f>
        <v>30.074999999999992</v>
      </c>
      <c r="AE6" s="36">
        <f>GSD!Y8</f>
        <v>27.68999999999998</v>
      </c>
      <c r="AF6" s="36">
        <f>GSD!Z8</f>
        <v>27.044999999999987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RLBH-01</v>
      </c>
      <c r="C7" s="33">
        <f>GSD!F9</f>
        <v>6.5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46.17</v>
      </c>
      <c r="Z7" s="36">
        <f>GSD!T9</f>
        <v>26.52000000000001</v>
      </c>
      <c r="AA7" s="36">
        <f>GSD!U9</f>
        <v>24.460000000000008</v>
      </c>
      <c r="AB7" s="36">
        <f>GSD!V9</f>
        <v>22.290000000000006</v>
      </c>
      <c r="AC7" s="36">
        <f>GSD!W9</f>
        <v>21.080000000000013</v>
      </c>
      <c r="AD7" s="36">
        <f>GSD!X9</f>
        <v>20.530000000000015</v>
      </c>
      <c r="AE7" s="36">
        <f>GSD!Y9</f>
        <v>19.27000000000001</v>
      </c>
      <c r="AF7" s="36">
        <f>GSD!Z9</f>
        <v>18.390000000000015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RLBH-01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62.555000000000007</v>
      </c>
      <c r="Z8" s="36">
        <f>GSD!T10</f>
        <v>39.524999999999999</v>
      </c>
      <c r="AA8" s="36">
        <f>GSD!U10</f>
        <v>36.019999999999996</v>
      </c>
      <c r="AB8" s="36">
        <f>GSD!V10</f>
        <v>32.084999999999994</v>
      </c>
      <c r="AC8" s="36">
        <f>GSD!W10</f>
        <v>29.804999999999993</v>
      </c>
      <c r="AD8" s="36">
        <f>GSD!X10</f>
        <v>28.764999999999986</v>
      </c>
      <c r="AE8" s="36">
        <f>GSD!Y10</f>
        <v>26.874999999999989</v>
      </c>
      <c r="AF8" s="36">
        <f>GSD!Z10</f>
        <v>26.549999999999983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RLBH-01</v>
      </c>
      <c r="C9" s="33">
        <f>GSD!F11</f>
        <v>11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74.73</v>
      </c>
      <c r="Z9" s="36">
        <f>GSD!T11</f>
        <v>73.599999999999994</v>
      </c>
      <c r="AA9" s="36">
        <f>GSD!U11</f>
        <v>73.12</v>
      </c>
      <c r="AB9" s="36">
        <f>GSD!V11</f>
        <v>71.06</v>
      </c>
      <c r="AC9" s="36">
        <f>GSD!W11</f>
        <v>67.180000000000007</v>
      </c>
      <c r="AD9" s="36">
        <f>GSD!X11</f>
        <v>64.28</v>
      </c>
      <c r="AE9" s="36">
        <f>GSD!Y11</f>
        <v>54.789999999999992</v>
      </c>
      <c r="AF9" s="36">
        <f>GSD!Z11</f>
        <v>49.879999999999995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RLBH-01</v>
      </c>
      <c r="C10" s="33">
        <f>GSD!F12</f>
        <v>14.5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89.61</v>
      </c>
      <c r="Z10" s="36">
        <f>GSD!T12</f>
        <v>85.76</v>
      </c>
      <c r="AA10" s="36">
        <f>GSD!U12</f>
        <v>84.46</v>
      </c>
      <c r="AB10" s="36">
        <f>GSD!V12</f>
        <v>81.59</v>
      </c>
      <c r="AC10" s="36">
        <f>GSD!W12</f>
        <v>77.849999999999994</v>
      </c>
      <c r="AD10" s="36">
        <f>GSD!X12</f>
        <v>74.63</v>
      </c>
      <c r="AE10" s="36">
        <f>GSD!Y12</f>
        <v>64.460000000000008</v>
      </c>
      <c r="AF10" s="36">
        <f>GSD!Z12</f>
        <v>59.17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RLBH-01</v>
      </c>
      <c r="C11" s="33">
        <f>GSD!F13</f>
        <v>15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83.789999999999992</v>
      </c>
      <c r="Z11" s="36">
        <f>GSD!T13</f>
        <v>79.849999999999994</v>
      </c>
      <c r="AA11" s="36">
        <f>GSD!U13</f>
        <v>78.81</v>
      </c>
      <c r="AB11" s="36">
        <f>GSD!V13</f>
        <v>76.63</v>
      </c>
      <c r="AC11" s="36">
        <f>GSD!W13</f>
        <v>74.31</v>
      </c>
      <c r="AD11" s="36">
        <f>GSD!X13</f>
        <v>72.05</v>
      </c>
      <c r="AE11" s="36">
        <f>GSD!Y13</f>
        <v>64.739999999999995</v>
      </c>
      <c r="AF11" s="36">
        <f>GSD!Z13</f>
        <v>61.01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2026-09-12T10:43:11Z</dcterms:modified>
</cp:coreProperties>
</file>