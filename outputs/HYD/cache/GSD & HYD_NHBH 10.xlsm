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20.National Highway 27_CH_81.063 km (NHBH-09 &amp; NHBH-10)\"/>
    </mc:Choice>
  </mc:AlternateContent>
  <xr:revisionPtr revIDLastSave="0" documentId="13_ncr:1_{D14DCC0D-532F-4FA2-A9FD-3C7299D77A48}" xr6:coauthVersionLast="47" xr6:coauthVersionMax="47" xr10:uidLastSave="{00000000-0000-0000-0000-000000000000}"/>
  <bookViews>
    <workbookView xWindow="-120" yWindow="-120" windowWidth="29040" windowHeight="175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<sst xmlns="http://schemas.openxmlformats.org/spreadsheetml/2006/main" count="78" uniqueCount="57">
  <si>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</si>
  <si>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</si>
  <si>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</si>
  <si>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</si>
  <si>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</si>
  <si>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</si>
  <si>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</si>
  <si>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</si>
  <si>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</si>
  <si>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</si>
  <si>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</si>
  <si>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</si>
  <si>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</si>
  <si>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</si>
  <si>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</si>
  <si>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</si>
  <si>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</si>
  <si>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</si>
  <si>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</si>
  <si>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</si>
  <si>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</si>
  <si>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</si>
  <si>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</si>
  <si>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</si>
  <si>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</si>
  <si>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</si>
  <si>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</si>
  <si>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</si>
  <si>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</si>
  <si>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</si>
  <si>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</si>
  <si>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</si>
  <si>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</si>
  <si>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</si>
  <si>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</si>
  <si>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</si>
  <si>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</si>
  <si>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</si>
  <si>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</si>
  <si>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</si>
  <si>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</si>
  <si>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</si>
  <si>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</si>
  <si>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</si>
  <si>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</si>
  <si>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</si>
  <si>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</si>
  <si>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</si>
  <si>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</si>
  <si>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NHBH-10</t>
  </si>
  <si>
    <t>A022</t>
  </si>
  <si>
    <t>A062</t>
  </si>
  <si>
    <t>A143</t>
  </si>
  <si>
    <t>A111</t>
  </si>
  <si>
    <t>A130</t>
  </si>
  <si>
    <t>A101</t>
  </si>
  <si>
    <t>A135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</si>
</sst>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97.74</c:v>
                </c:pt>
                <c:pt idx="4">
                  <c:v>72.91</c:v>
                </c:pt>
                <c:pt idx="5">
                  <c:v>63.4</c:v>
                </c:pt>
                <c:pt idx="6">
                  <c:v>43.870000000000005</c:v>
                </c:pt>
                <c:pt idx="7">
                  <c:v>28.290000000000003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88.965000000000003</c:v>
                </c:pt>
                <c:pt idx="1">
                  <c:v>87.35</c:v>
                </c:pt>
                <c:pt idx="2">
                  <c:v>87.094999999999999</c:v>
                </c:pt>
                <c:pt idx="3">
                  <c:v>85.685000000000002</c:v>
                </c:pt>
                <c:pt idx="4">
                  <c:v>72.034999999999997</c:v>
                </c:pt>
                <c:pt idx="5">
                  <c:v>61.954999999999991</c:v>
                </c:pt>
                <c:pt idx="6">
                  <c:v>39.744999999999997</c:v>
                </c:pt>
                <c:pt idx="7">
                  <c:v>31.855000000000004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99.9</c:v>
                </c:pt>
                <c:pt idx="1">
                  <c:v>99.03</c:v>
                </c:pt>
                <c:pt idx="2">
                  <c:v>98.68</c:v>
                </c:pt>
                <c:pt idx="3">
                  <c:v>96.45</c:v>
                </c:pt>
                <c:pt idx="4">
                  <c:v>90.19</c:v>
                </c:pt>
                <c:pt idx="5">
                  <c:v>87.53</c:v>
                </c:pt>
                <c:pt idx="6">
                  <c:v>73.23</c:v>
                </c:pt>
                <c:pt idx="7">
                  <c:v>51.570000000000007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99.734999999999999</c:v>
                </c:pt>
                <c:pt idx="1">
                  <c:v>99.42</c:v>
                </c:pt>
                <c:pt idx="2">
                  <c:v>99.334999999999994</c:v>
                </c:pt>
                <c:pt idx="3">
                  <c:v>98.7</c:v>
                </c:pt>
                <c:pt idx="4">
                  <c:v>85.59</c:v>
                </c:pt>
                <c:pt idx="5">
                  <c:v>72.33</c:v>
                </c:pt>
                <c:pt idx="6">
                  <c:v>43.354999999999997</c:v>
                </c:pt>
                <c:pt idx="7">
                  <c:v>30.92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99.9</c:v>
                </c:pt>
                <c:pt idx="1">
                  <c:v>98.77</c:v>
                </c:pt>
                <c:pt idx="2">
                  <c:v>98.38</c:v>
                </c:pt>
                <c:pt idx="3">
                  <c:v>97.35</c:v>
                </c:pt>
                <c:pt idx="4">
                  <c:v>87.76</c:v>
                </c:pt>
                <c:pt idx="5">
                  <c:v>75.789999999999992</c:v>
                </c:pt>
                <c:pt idx="6">
                  <c:v>44.3</c:v>
                </c:pt>
                <c:pt idx="7">
                  <c:v>32.269999999999996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98.78</c:v>
                </c:pt>
                <c:pt idx="1">
                  <c:v>97.37</c:v>
                </c:pt>
                <c:pt idx="2">
                  <c:v>97.08</c:v>
                </c:pt>
                <c:pt idx="3">
                  <c:v>96.64</c:v>
                </c:pt>
                <c:pt idx="4">
                  <c:v>88.95</c:v>
                </c:pt>
                <c:pt idx="5">
                  <c:v>76.099999999999994</c:v>
                </c:pt>
                <c:pt idx="6">
                  <c:v>41.01</c:v>
                </c:pt>
                <c:pt idx="7">
                  <c:v>22.72999999999999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99.67</c:v>
                </c:pt>
                <c:pt idx="1">
                  <c:v>97.54</c:v>
                </c:pt>
                <c:pt idx="2">
                  <c:v>96.21</c:v>
                </c:pt>
                <c:pt idx="3">
                  <c:v>93.82</c:v>
                </c:pt>
                <c:pt idx="4">
                  <c:v>73.17</c:v>
                </c:pt>
                <c:pt idx="5">
                  <c:v>55.38000000000001</c:v>
                </c:pt>
                <c:pt idx="6">
                  <c:v>30.78</c:v>
                </c:pt>
                <c:pt idx="7">
                  <c:v>20.269999999999996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97.74</c:v>
                </c:pt>
                <c:pt idx="4">
                  <c:v>72.91</c:v>
                </c:pt>
                <c:pt idx="5">
                  <c:v>63.4</c:v>
                </c:pt>
                <c:pt idx="6">
                  <c:v>43.870000000000005</c:v>
                </c:pt>
                <c:pt idx="7">
                  <c:v>28.290000000000003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88.965000000000003</c:v>
                </c:pt>
                <c:pt idx="1">
                  <c:v>87.35</c:v>
                </c:pt>
                <c:pt idx="2">
                  <c:v>87.094999999999999</c:v>
                </c:pt>
                <c:pt idx="3">
                  <c:v>85.685000000000002</c:v>
                </c:pt>
                <c:pt idx="4">
                  <c:v>72.034999999999997</c:v>
                </c:pt>
                <c:pt idx="5">
                  <c:v>61.954999999999991</c:v>
                </c:pt>
                <c:pt idx="6">
                  <c:v>39.744999999999997</c:v>
                </c:pt>
                <c:pt idx="7">
                  <c:v>31.855000000000004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99.9</c:v>
                </c:pt>
                <c:pt idx="1">
                  <c:v>99.03</c:v>
                </c:pt>
                <c:pt idx="2">
                  <c:v>98.68</c:v>
                </c:pt>
                <c:pt idx="3">
                  <c:v>96.45</c:v>
                </c:pt>
                <c:pt idx="4">
                  <c:v>90.19</c:v>
                </c:pt>
                <c:pt idx="5">
                  <c:v>87.53</c:v>
                </c:pt>
                <c:pt idx="6">
                  <c:v>73.23</c:v>
                </c:pt>
                <c:pt idx="7">
                  <c:v>51.570000000000007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99.734999999999999</c:v>
                </c:pt>
                <c:pt idx="1">
                  <c:v>99.42</c:v>
                </c:pt>
                <c:pt idx="2">
                  <c:v>99.334999999999994</c:v>
                </c:pt>
                <c:pt idx="3">
                  <c:v>98.7</c:v>
                </c:pt>
                <c:pt idx="4">
                  <c:v>85.59</c:v>
                </c:pt>
                <c:pt idx="5">
                  <c:v>72.33</c:v>
                </c:pt>
                <c:pt idx="6">
                  <c:v>43.354999999999997</c:v>
                </c:pt>
                <c:pt idx="7">
                  <c:v>30.92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99.9</c:v>
                </c:pt>
                <c:pt idx="1">
                  <c:v>98.77</c:v>
                </c:pt>
                <c:pt idx="2">
                  <c:v>98.38</c:v>
                </c:pt>
                <c:pt idx="3">
                  <c:v>97.35</c:v>
                </c:pt>
                <c:pt idx="4">
                  <c:v>87.76</c:v>
                </c:pt>
                <c:pt idx="5">
                  <c:v>75.789999999999992</c:v>
                </c:pt>
                <c:pt idx="6">
                  <c:v>44.3</c:v>
                </c:pt>
                <c:pt idx="7">
                  <c:v>32.269999999999996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98.78</c:v>
                </c:pt>
                <c:pt idx="1">
                  <c:v>97.37</c:v>
                </c:pt>
                <c:pt idx="2">
                  <c:v>97.08</c:v>
                </c:pt>
                <c:pt idx="3">
                  <c:v>96.64</c:v>
                </c:pt>
                <c:pt idx="4">
                  <c:v>88.95</c:v>
                </c:pt>
                <c:pt idx="5">
                  <c:v>76.099999999999994</c:v>
                </c:pt>
                <c:pt idx="6">
                  <c:v>41.01</c:v>
                </c:pt>
                <c:pt idx="7">
                  <c:v>22.72999999999999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99.67</c:v>
                </c:pt>
                <c:pt idx="1">
                  <c:v>97.54</c:v>
                </c:pt>
                <c:pt idx="2">
                  <c:v>96.21</c:v>
                </c:pt>
                <c:pt idx="3">
                  <c:v>93.82</c:v>
                </c:pt>
                <c:pt idx="4">
                  <c:v>73.17</c:v>
                </c:pt>
                <c:pt idx="5">
                  <c:v>55.38000000000001</c:v>
                </c:pt>
                <c:pt idx="6">
                  <c:v>30.78</c:v>
                </c:pt>
                <c:pt idx="7">
                  <c:v>20.269999999999996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view="pageBreakPreview" zoomScale="130" zoomScaleNormal="85" zoomScaleSheetLayoutView="130" zoomScalePageLayoutView="85" workbookViewId="0">
      <selection activeCell="G18" sqref="G18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28.290000000000006</v>
      </c>
      <c r="J5" s="24">
        <v>0</v>
      </c>
      <c r="K5" s="24">
        <v>0</v>
      </c>
      <c r="L5" s="24">
        <v>0</v>
      </c>
      <c r="M5" s="24">
        <v>2.2599999999999998</v>
      </c>
      <c r="N5" s="24">
        <v>24.83</v>
      </c>
      <c r="O5" s="24">
        <v>9.51</v>
      </c>
      <c r="P5" s="24">
        <v>19.53</v>
      </c>
      <c r="Q5" s="24">
        <v>15.58</v>
      </c>
      <c r="R5" s="10"/>
      <c r="S5" s="11">
        <f t="shared" ref="S5:S11" si="0">((H5-(SUM(J5)))/H5)*100</f>
        <v>100</v>
      </c>
      <c r="T5" s="11">
        <f t="shared" ref="T5:T11" si="1">((H5-(SUM(J5:K5)))/H5)*100</f>
        <v>100</v>
      </c>
      <c r="U5" s="11">
        <f t="shared" ref="U5:U11" si="2">((H5-(SUM(J5:L5)))/H5)*100</f>
        <v>100</v>
      </c>
      <c r="V5" s="11">
        <f t="shared" ref="V5:V11" si="3">((H5-(SUM(J5:M5)))/H5)*100</f>
        <v>97.74</v>
      </c>
      <c r="W5" s="11">
        <f t="shared" ref="W5:W11" si="4">((H5-(SUM(J5:N5)))/H5)*100</f>
        <v>72.91</v>
      </c>
      <c r="X5" s="11">
        <f t="shared" ref="X5:X11" si="5">((H5-(SUM(J5:O5)))/H5)*100</f>
        <v>63.4</v>
      </c>
      <c r="Y5" s="11">
        <f t="shared" ref="Y5:Y11" si="6">((H5-(SUM(J5:P5)))/H5)*100</f>
        <v>43.870000000000005</v>
      </c>
      <c r="Z5" s="11">
        <f t="shared" ref="Z5:Z11" si="7">((H5-(SUM(J5:Q5)))/H5)*100</f>
        <v>28.290000000000003</v>
      </c>
      <c r="AA5" s="11">
        <f t="shared" ref="AA5:AA11" si="8">100-S5</f>
        <v>0</v>
      </c>
      <c r="AB5" s="11">
        <f t="shared" ref="AB5:AB11" si="9">S5-Z5</f>
        <v>71.709999999999994</v>
      </c>
      <c r="AC5" s="11">
        <f t="shared" ref="AC5:AC11" si="10">Z5</f>
        <v>28.290000000000003</v>
      </c>
    </row>
    <row r="6" spans="1:29" ht="30" customHeight="1" x14ac:dyDescent="0.25">
      <c r="A6" s="9">
        <v>2</v>
      </c>
      <c r="B6" s="57"/>
      <c r="C6" s="57"/>
      <c r="D6" s="58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1" si="11">H6-SUM(J6:Q6)</f>
        <v>63.710000000000008</v>
      </c>
      <c r="J6" s="24">
        <v>22.07</v>
      </c>
      <c r="K6" s="24">
        <v>3.23</v>
      </c>
      <c r="L6" s="24">
        <v>0.51</v>
      </c>
      <c r="M6" s="24">
        <v>2.82</v>
      </c>
      <c r="N6" s="24">
        <v>27.3</v>
      </c>
      <c r="O6" s="24">
        <v>20.16</v>
      </c>
      <c r="P6" s="24">
        <v>44.42</v>
      </c>
      <c r="Q6" s="24">
        <v>15.78</v>
      </c>
      <c r="R6" s="10"/>
      <c r="S6" s="11">
        <f t="shared" si="0"/>
        <v>88.965000000000003</v>
      </c>
      <c r="T6" s="11">
        <f t="shared" si="1"/>
        <v>87.35</v>
      </c>
      <c r="U6" s="11">
        <f t="shared" si="2"/>
        <v>87.094999999999999</v>
      </c>
      <c r="V6" s="11">
        <f t="shared" si="3"/>
        <v>85.685000000000002</v>
      </c>
      <c r="W6" s="11">
        <f t="shared" si="4"/>
        <v>72.034999999999997</v>
      </c>
      <c r="X6" s="11">
        <f t="shared" si="5"/>
        <v>61.954999999999991</v>
      </c>
      <c r="Y6" s="11">
        <f t="shared" si="6"/>
        <v>39.744999999999997</v>
      </c>
      <c r="Z6" s="11">
        <f t="shared" si="7"/>
        <v>31.855000000000004</v>
      </c>
      <c r="AA6" s="11">
        <f t="shared" si="8"/>
        <v>11.034999999999997</v>
      </c>
      <c r="AB6" s="11">
        <f t="shared" si="9"/>
        <v>57.11</v>
      </c>
      <c r="AC6" s="11">
        <f t="shared" si="10"/>
        <v>31.855000000000004</v>
      </c>
    </row>
    <row r="7" spans="1:29" ht="30" customHeight="1" x14ac:dyDescent="0.25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51.57</v>
      </c>
      <c r="J7" s="24">
        <v>0.1</v>
      </c>
      <c r="K7" s="24">
        <v>0.87</v>
      </c>
      <c r="L7" s="24">
        <v>0.35</v>
      </c>
      <c r="M7" s="24">
        <v>2.23</v>
      </c>
      <c r="N7" s="24">
        <v>6.26</v>
      </c>
      <c r="O7" s="24">
        <v>2.66</v>
      </c>
      <c r="P7" s="24">
        <v>14.3</v>
      </c>
      <c r="Q7" s="24">
        <v>21.66</v>
      </c>
      <c r="R7" s="10"/>
      <c r="S7" s="11">
        <f t="shared" si="0"/>
        <v>99.9</v>
      </c>
      <c r="T7" s="11">
        <f t="shared" si="1"/>
        <v>99.03</v>
      </c>
      <c r="U7" s="11">
        <f t="shared" si="2"/>
        <v>98.68</v>
      </c>
      <c r="V7" s="11">
        <f t="shared" si="3"/>
        <v>96.45</v>
      </c>
      <c r="W7" s="11">
        <f t="shared" si="4"/>
        <v>90.19</v>
      </c>
      <c r="X7" s="11">
        <f t="shared" si="5"/>
        <v>87.53</v>
      </c>
      <c r="Y7" s="11">
        <f t="shared" si="6"/>
        <v>73.23</v>
      </c>
      <c r="Z7" s="11">
        <f t="shared" si="7"/>
        <v>51.570000000000007</v>
      </c>
      <c r="AA7" s="11">
        <f t="shared" si="8"/>
        <v>9.9999999999994316E-2</v>
      </c>
      <c r="AB7" s="11">
        <f t="shared" si="9"/>
        <v>48.33</v>
      </c>
      <c r="AC7" s="11">
        <f t="shared" si="10"/>
        <v>51.570000000000007</v>
      </c>
    </row>
    <row r="8" spans="1:29" ht="30" customHeight="1" x14ac:dyDescent="0.25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61.84</v>
      </c>
      <c r="J8" s="24">
        <v>0.53</v>
      </c>
      <c r="K8" s="24">
        <v>0.63</v>
      </c>
      <c r="L8" s="24">
        <v>0.17</v>
      </c>
      <c r="M8" s="24">
        <v>1.27</v>
      </c>
      <c r="N8" s="24">
        <v>26.22</v>
      </c>
      <c r="O8" s="24">
        <v>26.52</v>
      </c>
      <c r="P8" s="24">
        <v>57.95</v>
      </c>
      <c r="Q8" s="24">
        <v>24.87</v>
      </c>
      <c r="R8" s="10"/>
      <c r="S8" s="11">
        <f t="shared" si="0"/>
        <v>99.734999999999999</v>
      </c>
      <c r="T8" s="11">
        <f t="shared" si="1"/>
        <v>99.42</v>
      </c>
      <c r="U8" s="11">
        <f t="shared" si="2"/>
        <v>99.334999999999994</v>
      </c>
      <c r="V8" s="11">
        <f t="shared" si="3"/>
        <v>98.7</v>
      </c>
      <c r="W8" s="11">
        <f t="shared" si="4"/>
        <v>85.59</v>
      </c>
      <c r="X8" s="11">
        <f t="shared" si="5"/>
        <v>72.33</v>
      </c>
      <c r="Y8" s="11">
        <f t="shared" si="6"/>
        <v>43.354999999999997</v>
      </c>
      <c r="Z8" s="11">
        <f t="shared" si="7"/>
        <v>30.92</v>
      </c>
      <c r="AA8" s="11">
        <f t="shared" si="8"/>
        <v>0.26500000000000057</v>
      </c>
      <c r="AB8" s="11">
        <f t="shared" si="9"/>
        <v>68.814999999999998</v>
      </c>
      <c r="AC8" s="11">
        <f t="shared" si="10"/>
        <v>30.92</v>
      </c>
    </row>
    <row r="9" spans="1:29" ht="30" customHeight="1" x14ac:dyDescent="0.25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32.269999999999996</v>
      </c>
      <c r="J9" s="24">
        <v>0.1</v>
      </c>
      <c r="K9" s="24">
        <v>1.1299999999999999</v>
      </c>
      <c r="L9" s="24">
        <v>0.39</v>
      </c>
      <c r="M9" s="24">
        <v>1.03</v>
      </c>
      <c r="N9" s="24">
        <v>9.59</v>
      </c>
      <c r="O9" s="24">
        <v>11.97</v>
      </c>
      <c r="P9" s="24">
        <v>31.49</v>
      </c>
      <c r="Q9" s="24">
        <v>12.03</v>
      </c>
      <c r="R9" s="10"/>
      <c r="S9" s="11">
        <f t="shared" si="0"/>
        <v>99.9</v>
      </c>
      <c r="T9" s="11">
        <f t="shared" si="1"/>
        <v>98.77</v>
      </c>
      <c r="U9" s="11">
        <f t="shared" si="2"/>
        <v>98.38</v>
      </c>
      <c r="V9" s="11">
        <f t="shared" si="3"/>
        <v>97.35</v>
      </c>
      <c r="W9" s="11">
        <f t="shared" si="4"/>
        <v>87.76</v>
      </c>
      <c r="X9" s="11">
        <f>((H9-(SUM(J9:O9)))/H9)*100</f>
        <v>75.789999999999992</v>
      </c>
      <c r="Y9" s="11">
        <f t="shared" si="6"/>
        <v>44.3</v>
      </c>
      <c r="Z9" s="11">
        <f t="shared" si="7"/>
        <v>32.269999999999996</v>
      </c>
      <c r="AA9" s="11">
        <f t="shared" si="8"/>
        <v>9.9999999999994316E-2</v>
      </c>
      <c r="AB9" s="11">
        <f t="shared" si="9"/>
        <v>67.63000000000001</v>
      </c>
      <c r="AC9" s="11">
        <f t="shared" si="10"/>
        <v>32.269999999999996</v>
      </c>
    </row>
    <row r="10" spans="1:29" s="34" customFormat="1" ht="30" customHeight="1" x14ac:dyDescent="0.25">
      <c r="A10" s="43"/>
      <c r="B10" s="57"/>
      <c r="C10" s="57"/>
      <c r="D10" s="58"/>
      <c r="E10" s="47" t="s">
        <v>22</v>
      </c>
      <c r="F10" s="44">
        <v>7.5</v>
      </c>
      <c r="G10" s="48" t="s">
        <v>55</v>
      </c>
      <c r="H10" s="42">
        <v>100</v>
      </c>
      <c r="I10" s="24">
        <f t="shared" si="11"/>
        <v>22.72999999999999</v>
      </c>
      <c r="J10" s="44">
        <v>1.22</v>
      </c>
      <c r="K10" s="44">
        <v>1.41</v>
      </c>
      <c r="L10" s="44">
        <v>0.28999999999999998</v>
      </c>
      <c r="M10" s="44">
        <v>0.44</v>
      </c>
      <c r="N10" s="44">
        <v>7.69</v>
      </c>
      <c r="O10" s="44">
        <v>12.85</v>
      </c>
      <c r="P10" s="44">
        <v>35.090000000000003</v>
      </c>
      <c r="Q10" s="44">
        <v>18.28</v>
      </c>
      <c r="R10" s="45"/>
      <c r="S10" s="46">
        <f t="shared" si="0"/>
        <v>98.78</v>
      </c>
      <c r="T10" s="46">
        <f t="shared" si="1"/>
        <v>97.37</v>
      </c>
      <c r="U10" s="46">
        <f t="shared" si="2"/>
        <v>97.08</v>
      </c>
      <c r="V10" s="46">
        <f t="shared" si="3"/>
        <v>96.64</v>
      </c>
      <c r="W10" s="46">
        <f t="shared" si="4"/>
        <v>88.95</v>
      </c>
      <c r="X10" s="46">
        <f t="shared" si="5"/>
        <v>76.099999999999994</v>
      </c>
      <c r="Y10" s="46">
        <f t="shared" si="6"/>
        <v>41.01</v>
      </c>
      <c r="Z10" s="46">
        <f t="shared" si="7"/>
        <v>22.72999999999999</v>
      </c>
      <c r="AA10" s="46">
        <f t="shared" si="8"/>
        <v>1.2199999999999989</v>
      </c>
      <c r="AB10" s="46">
        <f t="shared" si="9"/>
        <v>76.050000000000011</v>
      </c>
      <c r="AC10" s="46">
        <f t="shared" si="10"/>
        <v>22.72999999999999</v>
      </c>
    </row>
    <row r="11" spans="1:29" ht="30" customHeight="1" x14ac:dyDescent="0.25">
      <c r="A11" s="9">
        <v>7</v>
      </c>
      <c r="B11" s="57"/>
      <c r="C11" s="57"/>
      <c r="D11" s="58"/>
      <c r="E11" s="47" t="s">
        <v>22</v>
      </c>
      <c r="F11" s="24">
        <v>10</v>
      </c>
      <c r="G11" s="47" t="s">
        <v>56</v>
      </c>
      <c r="H11" s="33">
        <v>100</v>
      </c>
      <c r="I11" s="24">
        <f t="shared" si="11"/>
        <v>20.269999999999996</v>
      </c>
      <c r="J11" s="24">
        <v>0.33</v>
      </c>
      <c r="K11" s="24">
        <v>2.13</v>
      </c>
      <c r="L11" s="24">
        <v>1.33</v>
      </c>
      <c r="M11" s="24">
        <v>2.39</v>
      </c>
      <c r="N11" s="24">
        <v>20.65</v>
      </c>
      <c r="O11" s="24">
        <v>17.79</v>
      </c>
      <c r="P11" s="24">
        <v>24.6</v>
      </c>
      <c r="Q11" s="24">
        <v>10.51</v>
      </c>
      <c r="R11" s="10"/>
      <c r="S11" s="11">
        <f t="shared" si="0"/>
        <v>99.67</v>
      </c>
      <c r="T11" s="11">
        <f t="shared" si="1"/>
        <v>97.54</v>
      </c>
      <c r="U11" s="11">
        <f t="shared" si="2"/>
        <v>96.21</v>
      </c>
      <c r="V11" s="11">
        <f t="shared" si="3"/>
        <v>93.82</v>
      </c>
      <c r="W11" s="11">
        <f t="shared" si="4"/>
        <v>73.17</v>
      </c>
      <c r="X11" s="11">
        <f t="shared" si="5"/>
        <v>55.38000000000001</v>
      </c>
      <c r="Y11" s="11">
        <f t="shared" si="6"/>
        <v>30.78</v>
      </c>
      <c r="Z11" s="11">
        <f t="shared" si="7"/>
        <v>20.269999999999996</v>
      </c>
      <c r="AA11" s="11">
        <f t="shared" si="8"/>
        <v>0.32999999999999829</v>
      </c>
      <c r="AB11" s="11">
        <f t="shared" si="9"/>
        <v>79.400000000000006</v>
      </c>
      <c r="AC11" s="11">
        <f t="shared" si="10"/>
        <v>20.269999999999996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C17" sqref="C1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NHBH-10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NHBH-10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NHBH-10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NHBH-10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NHBH-10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NHBH-10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NHBH-10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 s="40"/>
      <c r="BA12" s="40"/>
    </row>
    <row r="13" spans="1:53" s="4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abSelected="1" topLeftCell="AG1" zoomScale="130" zoomScaleNormal="130" workbookViewId="0">
      <selection activeCell="AQ21" sqref="AQ21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NHBH-10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100</v>
      </c>
      <c r="Z3" s="53">
        <f>GSD!T5</f>
        <v>100</v>
      </c>
      <c r="AA3" s="53">
        <f>GSD!U5</f>
        <v>100</v>
      </c>
      <c r="AB3" s="53">
        <f>GSD!V5</f>
        <v>97.74</v>
      </c>
      <c r="AC3" s="53">
        <f>GSD!W5</f>
        <v>72.91</v>
      </c>
      <c r="AD3" s="53">
        <f>GSD!X5</f>
        <v>63.4</v>
      </c>
      <c r="AE3" s="53">
        <f>GSD!Y5</f>
        <v>43.870000000000005</v>
      </c>
      <c r="AF3" s="53">
        <f>GSD!Z5</f>
        <v>28.290000000000003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/>
      <c r="AU3" s="53"/>
      <c r="AV3" s="53"/>
      <c r="AW3" s="53"/>
    </row>
    <row r="4" spans="1:49" s="41" customFormat="1" x14ac:dyDescent="0.25">
      <c r="A4" s="49">
        <v>2</v>
      </c>
      <c r="B4" s="49" t="str">
        <f>B3</f>
        <v>NHBH-10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88.965000000000003</v>
      </c>
      <c r="Z4" s="53">
        <f>GSD!T6</f>
        <v>87.35</v>
      </c>
      <c r="AA4" s="53">
        <f>GSD!U6</f>
        <v>87.094999999999999</v>
      </c>
      <c r="AB4" s="53">
        <f>GSD!V6</f>
        <v>85.685000000000002</v>
      </c>
      <c r="AC4" s="53">
        <f>GSD!W6</f>
        <v>72.034999999999997</v>
      </c>
      <c r="AD4" s="53">
        <f>GSD!X6</f>
        <v>61.954999999999991</v>
      </c>
      <c r="AE4" s="53">
        <f>GSD!Y6</f>
        <v>39.744999999999997</v>
      </c>
      <c r="AF4" s="53">
        <f>GSD!Z6</f>
        <v>31.855000000000004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/>
      <c r="AU4" s="53"/>
      <c r="AV4" s="53"/>
      <c r="AW4" s="53"/>
    </row>
    <row r="5" spans="1:49" s="41" customFormat="1" x14ac:dyDescent="0.25">
      <c r="A5" s="49">
        <v>3</v>
      </c>
      <c r="B5" s="49" t="str">
        <f t="shared" ref="B5:B9" si="0">B4</f>
        <v>NHBH-10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99.9</v>
      </c>
      <c r="Z5" s="53">
        <f>GSD!T7</f>
        <v>99.03</v>
      </c>
      <c r="AA5" s="53">
        <f>GSD!U7</f>
        <v>98.68</v>
      </c>
      <c r="AB5" s="53">
        <f>GSD!V7</f>
        <v>96.45</v>
      </c>
      <c r="AC5" s="53">
        <f>GSD!W7</f>
        <v>90.19</v>
      </c>
      <c r="AD5" s="53">
        <f>GSD!X7</f>
        <v>87.53</v>
      </c>
      <c r="AE5" s="53">
        <f>GSD!Y7</f>
        <v>73.23</v>
      </c>
      <c r="AF5" s="53">
        <f>GSD!Z7</f>
        <v>51.570000000000007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/>
      <c r="AU5" s="53"/>
      <c r="AV5" s="53"/>
      <c r="AW5" s="53"/>
    </row>
    <row r="6" spans="1:49" s="41" customFormat="1" x14ac:dyDescent="0.25">
      <c r="A6" s="49">
        <v>4</v>
      </c>
      <c r="B6" s="49" t="str">
        <f t="shared" si="0"/>
        <v>NHBH-10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99.734999999999999</v>
      </c>
      <c r="Z6" s="53">
        <f>GSD!T8</f>
        <v>99.42</v>
      </c>
      <c r="AA6" s="53">
        <f>GSD!U8</f>
        <v>99.334999999999994</v>
      </c>
      <c r="AB6" s="53">
        <f>GSD!V8</f>
        <v>98.7</v>
      </c>
      <c r="AC6" s="53">
        <f>GSD!W8</f>
        <v>85.59</v>
      </c>
      <c r="AD6" s="53">
        <f>GSD!X8</f>
        <v>72.33</v>
      </c>
      <c r="AE6" s="53">
        <f>GSD!Y8</f>
        <v>43.354999999999997</v>
      </c>
      <c r="AF6" s="53">
        <f>GSD!Z8</f>
        <v>30.92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/>
      <c r="AU6" s="53"/>
      <c r="AV6" s="53"/>
      <c r="AW6" s="53"/>
    </row>
    <row r="7" spans="1:49" s="41" customFormat="1" x14ac:dyDescent="0.25">
      <c r="A7" s="49">
        <v>5</v>
      </c>
      <c r="B7" s="49" t="str">
        <f t="shared" si="0"/>
        <v>NHBH-10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99.9</v>
      </c>
      <c r="Z7" s="53">
        <f>GSD!T9</f>
        <v>98.77</v>
      </c>
      <c r="AA7" s="53">
        <f>GSD!U9</f>
        <v>98.38</v>
      </c>
      <c r="AB7" s="53">
        <f>GSD!V9</f>
        <v>97.35</v>
      </c>
      <c r="AC7" s="53">
        <f>GSD!W9</f>
        <v>87.76</v>
      </c>
      <c r="AD7" s="53">
        <f>GSD!X9</f>
        <v>75.789999999999992</v>
      </c>
      <c r="AE7" s="53">
        <f>GSD!Y9</f>
        <v>44.3</v>
      </c>
      <c r="AF7" s="53">
        <f>GSD!Z9</f>
        <v>32.269999999999996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/>
      <c r="AU7" s="53"/>
      <c r="AV7" s="53"/>
      <c r="AW7" s="53"/>
    </row>
    <row r="8" spans="1:49" s="41" customFormat="1" x14ac:dyDescent="0.25">
      <c r="A8" s="49">
        <v>6</v>
      </c>
      <c r="B8" s="49" t="str">
        <f t="shared" si="0"/>
        <v>NHBH-10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98.78</v>
      </c>
      <c r="Z8" s="53">
        <f>GSD!T10</f>
        <v>97.37</v>
      </c>
      <c r="AA8" s="53">
        <f>GSD!U10</f>
        <v>97.08</v>
      </c>
      <c r="AB8" s="53">
        <f>GSD!V10</f>
        <v>96.64</v>
      </c>
      <c r="AC8" s="53">
        <f>GSD!W10</f>
        <v>88.95</v>
      </c>
      <c r="AD8" s="53">
        <f>GSD!X10</f>
        <v>76.099999999999994</v>
      </c>
      <c r="AE8" s="53">
        <f>GSD!Y10</f>
        <v>41.01</v>
      </c>
      <c r="AF8" s="53">
        <f>GSD!Z10</f>
        <v>22.72999999999999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/>
      <c r="AU8" s="53"/>
      <c r="AV8" s="53"/>
      <c r="AW8" s="53"/>
    </row>
    <row r="9" spans="1:49" s="41" customFormat="1" x14ac:dyDescent="0.25">
      <c r="A9" s="49">
        <v>7</v>
      </c>
      <c r="B9" s="49" t="str">
        <f t="shared" si="0"/>
        <v>NHBH-10</v>
      </c>
      <c r="C9" s="50">
        <f>GSD!F11</f>
        <v>10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99.67</v>
      </c>
      <c r="Z9" s="53">
        <f>GSD!T11</f>
        <v>97.54</v>
      </c>
      <c r="AA9" s="53">
        <f>GSD!U11</f>
        <v>96.21</v>
      </c>
      <c r="AB9" s="53">
        <f>GSD!V11</f>
        <v>93.82</v>
      </c>
      <c r="AC9" s="53">
        <f>GSD!W11</f>
        <v>73.17</v>
      </c>
      <c r="AD9" s="53">
        <f>GSD!X11</f>
        <v>55.38000000000001</v>
      </c>
      <c r="AE9" s="53">
        <f>GSD!Y11</f>
        <v>30.78</v>
      </c>
      <c r="AF9" s="53">
        <f>GSD!Z11</f>
        <v>20.269999999999996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/>
      <c r="AU9" s="55"/>
      <c r="AV9" s="55"/>
      <c r="AW9" s="55"/>
    </row>
    <row r="10" spans="1:49" s="41" customFormat="1" x14ac:dyDescent="0.25">
      <c r="A10" s="49"/>
      <c r="B10" s="49"/>
      <c r="C10" s="50"/>
      <c r="D10" s="51"/>
      <c r="E10" s="51"/>
      <c r="F10" s="51"/>
      <c r="G10" s="51"/>
      <c r="H10" s="51"/>
      <c r="I10" s="51"/>
      <c r="J10" s="51"/>
      <c r="K10" s="5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5"/>
      <c r="AU10" s="55"/>
      <c r="AV10" s="55"/>
      <c r="AW10" s="55"/>
    </row>
    <row r="11" spans="1:49" s="41" customFormat="1" x14ac:dyDescent="0.25">
      <c r="A11" s="49"/>
      <c r="B11" s="49"/>
      <c r="C11" s="50"/>
      <c r="D11" s="51"/>
      <c r="E11" s="51"/>
      <c r="F11" s="51"/>
      <c r="G11" s="51"/>
      <c r="H11" s="51"/>
      <c r="I11" s="51"/>
      <c r="J11" s="51"/>
      <c r="K11" s="51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5"/>
      <c r="AU11" s="55"/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2026-09-17T10:53:01Z</dcterms:modified>
</cp:coreProperties>
</file>