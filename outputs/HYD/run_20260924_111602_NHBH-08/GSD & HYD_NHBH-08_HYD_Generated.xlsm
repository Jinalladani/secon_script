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4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1" fillId="0" borderId="1" applyAlignment="1" pivotButton="0" quotePrefix="0" xfId="4">
      <alignment horizontal="center" vertical="center"/>
    </xf>
    <xf numFmtId="0" fontId="1" fillId="0" borderId="1" applyAlignment="1" pivotButton="0" quotePrefix="0" xfId="4">
      <alignment horizontal="center" vertical="center"/>
    </xf>
    <xf numFmtId="2" fontId="14" fillId="0" borderId="0" applyAlignment="1" pivotButton="0" quotePrefix="0" xfId="4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97.36</v>
                </pt>
                <pt idx="1">
                  <v>94.33</v>
                </pt>
                <pt idx="2">
                  <v>89.73</v>
                </pt>
                <pt idx="3">
                  <v>86.26000000000001</v>
                </pt>
                <pt idx="4">
                  <v>85.7</v>
                </pt>
                <pt idx="5">
                  <v>84.27</v>
                </pt>
                <pt idx="6">
                  <v>79.98</v>
                </pt>
                <pt idx="7">
                  <v>76.49000000000001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97.505</v>
                </pt>
                <pt idx="1">
                  <v>95.94</v>
                </pt>
                <pt idx="2">
                  <v>93.61</v>
                </pt>
                <pt idx="3">
                  <v>91.61499999999999</v>
                </pt>
                <pt idx="4">
                  <v>91.235</v>
                </pt>
                <pt idx="5">
                  <v>90.205</v>
                </pt>
                <pt idx="6">
                  <v>86.90000000000001</v>
                </pt>
                <pt idx="7">
                  <v>84.015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99.73</v>
                </pt>
                <pt idx="1">
                  <v>98.34999999999999</v>
                </pt>
                <pt idx="2">
                  <v>94.59999999999999</v>
                </pt>
                <pt idx="3">
                  <v>90.97</v>
                </pt>
                <pt idx="4">
                  <v>90.34999999999999</v>
                </pt>
                <pt idx="5">
                  <v>88.62</v>
                </pt>
                <pt idx="6">
                  <v>81.97</v>
                </pt>
                <pt idx="7">
                  <v>76.33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99.485</v>
                </pt>
                <pt idx="1">
                  <v>98.61499999999999</v>
                </pt>
                <pt idx="2">
                  <v>96.27500000000001</v>
                </pt>
                <pt idx="3">
                  <v>93.855</v>
                </pt>
                <pt idx="4">
                  <v>93.38500000000001</v>
                </pt>
                <pt idx="5">
                  <v>92.155</v>
                </pt>
                <pt idx="6">
                  <v>86.01000000000001</v>
                </pt>
                <pt idx="7">
                  <v>81.87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95.26000000000001</v>
                </pt>
                <pt idx="1">
                  <v>92.09</v>
                </pt>
                <pt idx="2">
                  <v>87.48</v>
                </pt>
                <pt idx="3">
                  <v>83.37</v>
                </pt>
                <pt idx="4">
                  <v>82.59</v>
                </pt>
                <pt idx="5">
                  <v>81.03999999999999</v>
                </pt>
                <pt idx="6">
                  <v>77.39</v>
                </pt>
                <pt idx="7">
                  <v>73.43000000000001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99.51000000000001</v>
                </pt>
                <pt idx="1">
                  <v>97.675</v>
                </pt>
                <pt idx="2">
                  <v>94.765</v>
                </pt>
                <pt idx="3">
                  <v>92.3</v>
                </pt>
                <pt idx="4">
                  <v>91.345</v>
                </pt>
                <pt idx="5">
                  <v>89.79000000000001</v>
                </pt>
                <pt idx="6">
                  <v>82.97499999999999</v>
                </pt>
                <pt idx="7">
                  <v>78.77000000000001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94.16</v>
                </pt>
                <pt idx="1">
                  <v>84.96000000000001</v>
                </pt>
                <pt idx="2">
                  <v>74.72</v>
                </pt>
                <pt idx="3">
                  <v>68.38</v>
                </pt>
                <pt idx="4">
                  <v>67.65000000000001</v>
                </pt>
                <pt idx="5">
                  <v>66.16</v>
                </pt>
                <pt idx="6">
                  <v>63.35999999999999</v>
                </pt>
                <pt idx="7">
                  <v>62.05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97.73999999999999</v>
                </pt>
                <pt idx="1">
                  <v>94.52</v>
                </pt>
                <pt idx="2">
                  <v>90.45</v>
                </pt>
                <pt idx="3">
                  <v>88.7</v>
                </pt>
                <pt idx="4">
                  <v>88.31</v>
                </pt>
                <pt idx="5">
                  <v>87.5</v>
                </pt>
                <pt idx="6">
                  <v>84.87</v>
                </pt>
                <pt idx="7">
                  <v>79.15000000000001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100</v>
                </pt>
                <pt idx="1">
                  <v>99.64</v>
                </pt>
                <pt idx="2">
                  <v>99.23</v>
                </pt>
                <pt idx="3">
                  <v>98.67</v>
                </pt>
                <pt idx="4">
                  <v>98.37</v>
                </pt>
                <pt idx="5">
                  <v>96.22</v>
                </pt>
                <pt idx="6">
                  <v>52.1</v>
                </pt>
                <pt idx="7">
                  <v>35.04000000000001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97.36</v>
                </pt>
                <pt idx="1">
                  <v>94.33</v>
                </pt>
                <pt idx="2">
                  <v>89.73</v>
                </pt>
                <pt idx="3">
                  <v>86.26000000000001</v>
                </pt>
                <pt idx="4">
                  <v>85.7</v>
                </pt>
                <pt idx="5">
                  <v>84.27</v>
                </pt>
                <pt idx="6">
                  <v>79.98</v>
                </pt>
                <pt idx="7">
                  <v>76.49000000000001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97.505</v>
                </pt>
                <pt idx="1">
                  <v>95.94</v>
                </pt>
                <pt idx="2">
                  <v>93.61</v>
                </pt>
                <pt idx="3">
                  <v>91.61499999999999</v>
                </pt>
                <pt idx="4">
                  <v>91.235</v>
                </pt>
                <pt idx="5">
                  <v>90.205</v>
                </pt>
                <pt idx="6">
                  <v>86.90000000000001</v>
                </pt>
                <pt idx="7">
                  <v>84.015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99.73</v>
                </pt>
                <pt idx="1">
                  <v>98.34999999999999</v>
                </pt>
                <pt idx="2">
                  <v>94.59999999999999</v>
                </pt>
                <pt idx="3">
                  <v>90.97</v>
                </pt>
                <pt idx="4">
                  <v>90.34999999999999</v>
                </pt>
                <pt idx="5">
                  <v>88.62</v>
                </pt>
                <pt idx="6">
                  <v>81.97</v>
                </pt>
                <pt idx="7">
                  <v>76.33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99.485</v>
                </pt>
                <pt idx="1">
                  <v>98.61499999999999</v>
                </pt>
                <pt idx="2">
                  <v>96.27500000000001</v>
                </pt>
                <pt idx="3">
                  <v>93.855</v>
                </pt>
                <pt idx="4">
                  <v>93.38500000000001</v>
                </pt>
                <pt idx="5">
                  <v>92.155</v>
                </pt>
                <pt idx="6">
                  <v>86.01000000000001</v>
                </pt>
                <pt idx="7">
                  <v>81.87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95.26000000000001</v>
                </pt>
                <pt idx="1">
                  <v>92.09</v>
                </pt>
                <pt idx="2">
                  <v>87.48</v>
                </pt>
                <pt idx="3">
                  <v>83.37</v>
                </pt>
                <pt idx="4">
                  <v>82.59</v>
                </pt>
                <pt idx="5">
                  <v>81.03999999999999</v>
                </pt>
                <pt idx="6">
                  <v>77.39</v>
                </pt>
                <pt idx="7">
                  <v>73.43000000000001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99.51000000000001</v>
                </pt>
                <pt idx="1">
                  <v>97.675</v>
                </pt>
                <pt idx="2">
                  <v>94.765</v>
                </pt>
                <pt idx="3">
                  <v>92.3</v>
                </pt>
                <pt idx="4">
                  <v>91.345</v>
                </pt>
                <pt idx="5">
                  <v>89.79000000000001</v>
                </pt>
                <pt idx="6">
                  <v>82.97499999999999</v>
                </pt>
                <pt idx="7">
                  <v>78.77000000000001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94.16</v>
                </pt>
                <pt idx="1">
                  <v>84.96000000000001</v>
                </pt>
                <pt idx="2">
                  <v>74.72</v>
                </pt>
                <pt idx="3">
                  <v>68.38</v>
                </pt>
                <pt idx="4">
                  <v>67.65000000000001</v>
                </pt>
                <pt idx="5">
                  <v>66.16</v>
                </pt>
                <pt idx="6">
                  <v>63.35999999999999</v>
                </pt>
                <pt idx="7">
                  <v>62.05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97.73999999999999</v>
                </pt>
                <pt idx="1">
                  <v>94.52</v>
                </pt>
                <pt idx="2">
                  <v>90.45</v>
                </pt>
                <pt idx="3">
                  <v>88.7</v>
                </pt>
                <pt idx="4">
                  <v>88.31</v>
                </pt>
                <pt idx="5">
                  <v>87.5</v>
                </pt>
                <pt idx="6">
                  <v>84.87</v>
                </pt>
                <pt idx="7">
                  <v>79.15000000000001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100</v>
                </pt>
                <pt idx="1">
                  <v>99.64</v>
                </pt>
                <pt idx="2">
                  <v>99.23</v>
                </pt>
                <pt idx="3">
                  <v>98.67</v>
                </pt>
                <pt idx="4">
                  <v>98.37</v>
                </pt>
                <pt idx="5">
                  <v>96.22</v>
                </pt>
                <pt idx="6">
                  <v>52.1</v>
                </pt>
                <pt idx="7">
                  <v>35.04000000000001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A2" zoomScale="95" zoomScaleNormal="85" zoomScaleSheetLayoutView="95" zoomScalePageLayoutView="85" workbookViewId="0">
      <selection activeCell="R10" sqref="R10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0.140625" customWidth="1" style="1" min="9" max="9"/>
    <col width="7.7109375" customWidth="1" style="1" min="10" max="18"/>
    <col width="9" customWidth="1" style="1" min="19" max="16384"/>
  </cols>
  <sheetData>
    <row r="1" ht="25.15" customHeight="1">
      <c r="A1" s="43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0" t="inlineStr">
        <is>
          <t>Sample Type</t>
        </is>
      </c>
      <c r="F2" s="50" t="inlineStr">
        <is>
          <t>Depth</t>
        </is>
      </c>
      <c r="G2" s="50" t="inlineStr">
        <is>
          <t>Container No.</t>
        </is>
      </c>
      <c r="H2" s="50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40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40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3" t="inlineStr">
        <is>
          <t xml:space="preserve">Gravel </t>
        </is>
      </c>
      <c r="AB2" s="53" t="inlineStr">
        <is>
          <t>Sand</t>
        </is>
      </c>
      <c r="AC2" s="53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2" t="n">
        <v>4.75</v>
      </c>
      <c r="K3" s="3" t="n">
        <v>2</v>
      </c>
      <c r="L3" s="3" t="n">
        <v>1.18</v>
      </c>
      <c r="M3" s="84" t="n">
        <v>0.6</v>
      </c>
      <c r="N3" s="52" t="n">
        <v>0.425</v>
      </c>
      <c r="O3" s="84" t="n">
        <v>0.3</v>
      </c>
      <c r="P3" s="84" t="n">
        <v>0.15</v>
      </c>
      <c r="Q3" s="52" t="n">
        <v>0.075</v>
      </c>
      <c r="R3" s="52" t="inlineStr">
        <is>
          <t>Pan</t>
        </is>
      </c>
      <c r="S3" s="50" t="n">
        <v>4.75</v>
      </c>
      <c r="T3" s="6" t="n">
        <v>2</v>
      </c>
      <c r="U3" s="6" t="n">
        <v>1.18</v>
      </c>
      <c r="V3" s="85" t="n">
        <v>0.6</v>
      </c>
      <c r="W3" s="50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2" t="inlineStr">
        <is>
          <t>-</t>
        </is>
      </c>
      <c r="F4" s="40" t="inlineStr">
        <is>
          <t>(m)</t>
        </is>
      </c>
      <c r="G4" s="40" t="inlineStr">
        <is>
          <t>-</t>
        </is>
      </c>
      <c r="H4" s="40" t="inlineStr">
        <is>
          <t>(gm)</t>
        </is>
      </c>
      <c r="I4" s="40" t="inlineStr">
        <is>
          <t>(gm)</t>
        </is>
      </c>
      <c r="J4" s="40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40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4" t="inlineStr">
        <is>
          <t>%</t>
        </is>
      </c>
      <c r="AB4" s="79" t="n"/>
      <c r="AC4" s="80" t="n"/>
    </row>
    <row r="5" ht="30" customHeight="1">
      <c r="A5" s="54" t="n">
        <v>1</v>
      </c>
      <c r="B5" s="41" t="inlineStr">
        <is>
          <t>NHBH-08</t>
        </is>
      </c>
      <c r="C5" s="41" t="n"/>
      <c r="D5" s="42" t="n"/>
      <c r="E5" s="73" t="inlineStr">
        <is>
          <t>SPT</t>
        </is>
      </c>
      <c r="F5" s="72" t="n">
        <v>0.5</v>
      </c>
      <c r="G5" s="73" t="n"/>
      <c r="H5" s="73" t="n">
        <v>100</v>
      </c>
      <c r="I5" s="72" t="n">
        <v>23.51</v>
      </c>
      <c r="J5" s="72" t="n">
        <v>2.64</v>
      </c>
      <c r="K5" s="72" t="n">
        <v>3.03</v>
      </c>
      <c r="L5" s="72" t="n">
        <v>4.6</v>
      </c>
      <c r="M5" s="72" t="n">
        <v>3.47</v>
      </c>
      <c r="N5" s="72" t="n">
        <v>0.5600000000000001</v>
      </c>
      <c r="O5" s="72" t="n">
        <v>1.43</v>
      </c>
      <c r="P5" s="72" t="n">
        <v>4.29</v>
      </c>
      <c r="Q5" s="72" t="n">
        <v>3.49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4" t="n">
        <v>2</v>
      </c>
      <c r="B6" s="86" t="n"/>
      <c r="C6" s="86" t="n"/>
      <c r="D6" s="86" t="n"/>
      <c r="E6" s="73" t="inlineStr">
        <is>
          <t>UDS</t>
        </is>
      </c>
      <c r="F6" s="72" t="n">
        <v>1.5</v>
      </c>
      <c r="G6" s="73" t="n"/>
      <c r="H6" s="73" t="n">
        <v>200</v>
      </c>
      <c r="I6" s="72" t="n">
        <v>31.97</v>
      </c>
      <c r="J6" s="72" t="n">
        <v>4.99</v>
      </c>
      <c r="K6" s="72" t="n">
        <v>3.13</v>
      </c>
      <c r="L6" s="72" t="n">
        <v>4.66</v>
      </c>
      <c r="M6" s="72" t="n">
        <v>3.99</v>
      </c>
      <c r="N6" s="72" t="n">
        <v>0.76</v>
      </c>
      <c r="O6" s="72" t="n">
        <v>2.06</v>
      </c>
      <c r="P6" s="72" t="n">
        <v>6.61</v>
      </c>
      <c r="Q6" s="72" t="n">
        <v>5.77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4" t="n">
        <v>3</v>
      </c>
      <c r="B7" s="86" t="n"/>
      <c r="C7" s="86" t="n"/>
      <c r="D7" s="86" t="n"/>
      <c r="E7" s="73" t="inlineStr">
        <is>
          <t>SPT</t>
        </is>
      </c>
      <c r="F7" s="72" t="n">
        <v>3.5</v>
      </c>
      <c r="G7" s="73" t="n"/>
      <c r="H7" s="73" t="n">
        <v>100</v>
      </c>
      <c r="I7" s="72" t="n">
        <v>23.67</v>
      </c>
      <c r="J7" s="72" t="n">
        <v>0.27</v>
      </c>
      <c r="K7" s="72" t="n">
        <v>1.38</v>
      </c>
      <c r="L7" s="72" t="n">
        <v>3.75</v>
      </c>
      <c r="M7" s="72" t="n">
        <v>3.63</v>
      </c>
      <c r="N7" s="72" t="n">
        <v>0.62</v>
      </c>
      <c r="O7" s="72" t="n">
        <v>1.73</v>
      </c>
      <c r="P7" s="72" t="n">
        <v>6.65</v>
      </c>
      <c r="Q7" s="72" t="n">
        <v>5.64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4" t="n">
        <v>4</v>
      </c>
      <c r="B8" s="86" t="n"/>
      <c r="C8" s="86" t="n"/>
      <c r="D8" s="86" t="n"/>
      <c r="E8" s="73" t="inlineStr">
        <is>
          <t>UDS</t>
        </is>
      </c>
      <c r="F8" s="72" t="n">
        <v>4.5</v>
      </c>
      <c r="G8" s="73" t="n"/>
      <c r="H8" s="73" t="n">
        <v>200</v>
      </c>
      <c r="I8" s="72" t="n">
        <v>36.26</v>
      </c>
      <c r="J8" s="72" t="n">
        <v>1.03</v>
      </c>
      <c r="K8" s="72" t="n">
        <v>1.74</v>
      </c>
      <c r="L8" s="72" t="n">
        <v>4.68</v>
      </c>
      <c r="M8" s="72" t="n">
        <v>4.84</v>
      </c>
      <c r="N8" s="72" t="n">
        <v>0.9399999999999999</v>
      </c>
      <c r="O8" s="72" t="n">
        <v>2.46</v>
      </c>
      <c r="P8" s="72" t="n">
        <v>12.29</v>
      </c>
      <c r="Q8" s="72" t="n">
        <v>8.279999999999999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4" t="n">
        <v>5</v>
      </c>
      <c r="B9" s="86" t="n"/>
      <c r="C9" s="86" t="n"/>
      <c r="D9" s="86" t="n"/>
      <c r="E9" s="73" t="inlineStr">
        <is>
          <t>SPT</t>
        </is>
      </c>
      <c r="F9" s="72" t="n">
        <v>6.5</v>
      </c>
      <c r="G9" s="73" t="n"/>
      <c r="H9" s="73" t="n">
        <v>100</v>
      </c>
      <c r="I9" s="72" t="n">
        <v>26.57</v>
      </c>
      <c r="J9" s="72" t="n">
        <v>4.74</v>
      </c>
      <c r="K9" s="72" t="n">
        <v>3.17</v>
      </c>
      <c r="L9" s="72" t="n">
        <v>4.61</v>
      </c>
      <c r="M9" s="72" t="n">
        <v>4.11</v>
      </c>
      <c r="N9" s="72" t="n">
        <v>0.78</v>
      </c>
      <c r="O9" s="72" t="n">
        <v>1.55</v>
      </c>
      <c r="P9" s="72" t="n">
        <v>3.65</v>
      </c>
      <c r="Q9" s="72" t="n">
        <v>3.96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4" t="n">
        <v>6</v>
      </c>
      <c r="B10" s="86" t="n"/>
      <c r="C10" s="86" t="n"/>
      <c r="D10" s="86" t="n"/>
      <c r="E10" s="73" t="inlineStr">
        <is>
          <t>UDS</t>
        </is>
      </c>
      <c r="F10" s="72" t="n">
        <v>7.5</v>
      </c>
      <c r="G10" s="73" t="n"/>
      <c r="H10" s="73" t="n">
        <v>200</v>
      </c>
      <c r="I10" s="72" t="n">
        <v>42.45999999999999</v>
      </c>
      <c r="J10" s="72" t="n">
        <v>0.98</v>
      </c>
      <c r="K10" s="72" t="n">
        <v>3.67</v>
      </c>
      <c r="L10" s="72" t="n">
        <v>5.82</v>
      </c>
      <c r="M10" s="72" t="n">
        <v>4.93</v>
      </c>
      <c r="N10" s="72" t="n">
        <v>1.91</v>
      </c>
      <c r="O10" s="72" t="n">
        <v>3.11</v>
      </c>
      <c r="P10" s="72" t="n">
        <v>13.63</v>
      </c>
      <c r="Q10" s="72" t="n">
        <v>8.41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4" t="n">
        <v>7</v>
      </c>
      <c r="B11" s="86" t="n"/>
      <c r="C11" s="86" t="n"/>
      <c r="D11" s="86" t="n"/>
      <c r="E11" s="73" t="inlineStr">
        <is>
          <t>SPT</t>
        </is>
      </c>
      <c r="F11" s="74" t="n">
        <v>8</v>
      </c>
      <c r="G11" s="73" t="n"/>
      <c r="H11" s="73" t="n">
        <v>100</v>
      </c>
      <c r="I11" s="72" t="n">
        <v>37.95</v>
      </c>
      <c r="J11" s="72" t="n">
        <v>5.84</v>
      </c>
      <c r="K11" s="72" t="n">
        <v>9.199999999999999</v>
      </c>
      <c r="L11" s="72" t="n">
        <v>10.24</v>
      </c>
      <c r="M11" s="72" t="n">
        <v>6.34</v>
      </c>
      <c r="N11" s="72" t="n">
        <v>0.73</v>
      </c>
      <c r="O11" s="72" t="n">
        <v>1.49</v>
      </c>
      <c r="P11" s="72" t="n">
        <v>2.8</v>
      </c>
      <c r="Q11" s="72" t="n">
        <v>1.31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4" t="n">
        <v>8</v>
      </c>
      <c r="B12" s="86" t="n"/>
      <c r="C12" s="86" t="n"/>
      <c r="D12" s="86" t="n"/>
      <c r="E12" s="73" t="inlineStr">
        <is>
          <t>SPT</t>
        </is>
      </c>
      <c r="F12" s="72" t="n">
        <v>9.5</v>
      </c>
      <c r="G12" s="73" t="n"/>
      <c r="H12" s="73" t="n">
        <v>100</v>
      </c>
      <c r="I12" s="72" t="n">
        <v>20.85</v>
      </c>
      <c r="J12" s="72" t="n">
        <v>2.26</v>
      </c>
      <c r="K12" s="72" t="n">
        <v>3.22</v>
      </c>
      <c r="L12" s="72" t="n">
        <v>4.07</v>
      </c>
      <c r="M12" s="72" t="n">
        <v>1.75</v>
      </c>
      <c r="N12" s="72" t="n">
        <v>0.39</v>
      </c>
      <c r="O12" s="72" t="n">
        <v>0.8100000000000001</v>
      </c>
      <c r="P12" s="72" t="n">
        <v>2.63</v>
      </c>
      <c r="Q12" s="72" t="n">
        <v>5.72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.75" customHeight="1">
      <c r="A13" s="54" t="n">
        <v>9</v>
      </c>
      <c r="B13" s="82" t="n"/>
      <c r="C13" s="82" t="n"/>
      <c r="D13" s="82" t="n"/>
      <c r="E13" s="73" t="inlineStr">
        <is>
          <t>SPT</t>
        </is>
      </c>
      <c r="F13" s="72" t="n">
        <v>10</v>
      </c>
      <c r="G13" s="73" t="n"/>
      <c r="H13" s="73" t="n">
        <v>100</v>
      </c>
      <c r="I13" s="72" t="n">
        <v>64.95999999999999</v>
      </c>
      <c r="J13" s="72" t="n">
        <v>0</v>
      </c>
      <c r="K13" s="72" t="n">
        <v>0.36</v>
      </c>
      <c r="L13" s="72" t="n">
        <v>0.41</v>
      </c>
      <c r="M13" s="72" t="n">
        <v>0.5600000000000001</v>
      </c>
      <c r="N13" s="72" t="n">
        <v>0.3</v>
      </c>
      <c r="O13" s="72" t="n">
        <v>2.15</v>
      </c>
      <c r="P13" s="72" t="n">
        <v>44.12</v>
      </c>
      <c r="Q13" s="72" t="n">
        <v>17.06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0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2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2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3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56" t="n">
        <v>1</v>
      </c>
      <c r="O2" s="56" t="n">
        <v>2</v>
      </c>
      <c r="P2" s="56" t="n">
        <v>4</v>
      </c>
      <c r="Q2" s="56" t="n">
        <v>8</v>
      </c>
      <c r="R2" s="56" t="n">
        <v>15</v>
      </c>
      <c r="S2" s="56" t="n">
        <v>30</v>
      </c>
      <c r="T2" s="56" t="n">
        <v>60</v>
      </c>
      <c r="U2" s="56" t="n">
        <v>120</v>
      </c>
      <c r="V2" s="56" t="n">
        <v>240</v>
      </c>
      <c r="W2" s="56" t="n">
        <v>480</v>
      </c>
      <c r="X2" s="56" t="n">
        <v>960</v>
      </c>
      <c r="Y2" s="56" t="n">
        <v>1440</v>
      </c>
      <c r="Z2" s="89" t="n">
        <v>0.5</v>
      </c>
      <c r="AA2" s="56" t="n">
        <v>1</v>
      </c>
      <c r="AB2" s="56" t="n">
        <v>2</v>
      </c>
      <c r="AC2" s="56" t="n">
        <v>4</v>
      </c>
      <c r="AD2" s="56" t="n">
        <v>8</v>
      </c>
      <c r="AE2" s="56" t="n">
        <v>15</v>
      </c>
      <c r="AF2" s="56" t="n">
        <v>30</v>
      </c>
      <c r="AG2" s="56" t="n">
        <v>60</v>
      </c>
      <c r="AH2" s="56" t="n">
        <v>120</v>
      </c>
      <c r="AI2" s="56" t="n">
        <v>240</v>
      </c>
      <c r="AJ2" s="56" t="n">
        <v>480</v>
      </c>
      <c r="AK2" s="56" t="n">
        <v>960</v>
      </c>
      <c r="AL2" s="56" t="n">
        <v>1440</v>
      </c>
      <c r="AM2" s="89" t="n">
        <v>0.5</v>
      </c>
      <c r="AN2" s="56" t="n">
        <v>1</v>
      </c>
      <c r="AO2" s="56" t="n">
        <v>2</v>
      </c>
      <c r="AP2" s="56" t="n">
        <v>4</v>
      </c>
      <c r="AQ2" s="56" t="n">
        <v>8</v>
      </c>
      <c r="AR2" s="56" t="n">
        <v>15</v>
      </c>
      <c r="AS2" s="56" t="n">
        <v>30</v>
      </c>
      <c r="AT2" s="56" t="n">
        <v>60</v>
      </c>
      <c r="AU2" s="56" t="n">
        <v>120</v>
      </c>
      <c r="AV2" s="56" t="n">
        <v>240</v>
      </c>
      <c r="AW2" s="56" t="n">
        <v>480</v>
      </c>
      <c r="AX2" s="56" t="n">
        <v>960</v>
      </c>
      <c r="AY2" s="56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6" t="inlineStr">
        <is>
          <t>-</t>
        </is>
      </c>
      <c r="E4" s="66" t="inlineStr">
        <is>
          <t>(°C)</t>
        </is>
      </c>
      <c r="F4" s="66" t="inlineStr">
        <is>
          <t>Poise</t>
        </is>
      </c>
      <c r="G4" s="66" t="inlineStr">
        <is>
          <t>-</t>
        </is>
      </c>
      <c r="H4" s="66" t="inlineStr">
        <is>
          <t>-</t>
        </is>
      </c>
      <c r="I4" s="60" t="inlineStr">
        <is>
          <t>-</t>
        </is>
      </c>
      <c r="J4" s="57" t="n"/>
      <c r="K4" s="57" t="inlineStr">
        <is>
          <t>-</t>
        </is>
      </c>
      <c r="L4" s="57" t="inlineStr">
        <is>
          <t>-</t>
        </is>
      </c>
      <c r="M4" s="60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0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0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90" t="n">
        <v>0.008559421270000001</v>
      </c>
      <c r="G5" s="91" t="n">
        <v>2.68</v>
      </c>
      <c r="H5" s="25" t="n">
        <v>0.0005</v>
      </c>
      <c r="I5" s="25" t="n">
        <v>1</v>
      </c>
      <c r="J5" s="25" t="n">
        <v>1</v>
      </c>
      <c r="K5" s="38" t="n">
        <v>0</v>
      </c>
      <c r="L5" s="25" t="n">
        <v>0.3</v>
      </c>
      <c r="M5" s="91" t="n">
        <v>1.024</v>
      </c>
      <c r="N5" s="91" t="n">
        <v>1.024</v>
      </c>
      <c r="O5" s="91" t="n">
        <v>1.023</v>
      </c>
      <c r="P5" s="91" t="n">
        <v>1.023</v>
      </c>
      <c r="Q5" s="91" t="n">
        <v>1.022</v>
      </c>
      <c r="R5" s="91" t="n">
        <v>1.022</v>
      </c>
      <c r="S5" s="91" t="n">
        <v>1.021</v>
      </c>
      <c r="T5" s="91" t="n">
        <v>1.02</v>
      </c>
      <c r="U5" s="91" t="n">
        <v>1.019</v>
      </c>
      <c r="V5" s="91" t="n">
        <v>1.018</v>
      </c>
      <c r="W5" s="91" t="n">
        <v>1.017</v>
      </c>
      <c r="X5" s="91" t="n">
        <v>1.017</v>
      </c>
      <c r="Y5" s="91" t="n">
        <v>1.017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90" t="n">
        <v>0.008559421270000001</v>
      </c>
      <c r="G6" s="91" t="n">
        <v>2.64</v>
      </c>
      <c r="H6" s="25" t="n">
        <v>0.0005</v>
      </c>
      <c r="I6" s="25" t="n">
        <v>1</v>
      </c>
      <c r="J6" s="25" t="n">
        <v>1</v>
      </c>
      <c r="K6" s="38" t="n">
        <v>0</v>
      </c>
      <c r="L6" s="25" t="n">
        <v>0.3</v>
      </c>
      <c r="M6" s="91" t="n">
        <v>1.026</v>
      </c>
      <c r="N6" s="91" t="n">
        <v>1.026</v>
      </c>
      <c r="O6" s="91" t="n">
        <v>1.025</v>
      </c>
      <c r="P6" s="91" t="n">
        <v>1.024</v>
      </c>
      <c r="Q6" s="91" t="n">
        <v>1.023</v>
      </c>
      <c r="R6" s="91" t="n">
        <v>1.023</v>
      </c>
      <c r="S6" s="91" t="n">
        <v>1.022</v>
      </c>
      <c r="T6" s="91" t="n">
        <v>1.02</v>
      </c>
      <c r="U6" s="91" t="n">
        <v>1.019</v>
      </c>
      <c r="V6" s="91" t="n">
        <v>1.018</v>
      </c>
      <c r="W6" s="91" t="n">
        <v>1.016</v>
      </c>
      <c r="X6" s="91" t="n">
        <v>1.016</v>
      </c>
      <c r="Y6" s="91" t="n">
        <v>1.016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90" t="n">
        <v>0.008559421270000001</v>
      </c>
      <c r="G7" s="91" t="n">
        <v>2.69</v>
      </c>
      <c r="H7" s="25" t="n">
        <v>0.0005</v>
      </c>
      <c r="I7" s="25" t="n">
        <v>2</v>
      </c>
      <c r="J7" s="25" t="n">
        <v>2</v>
      </c>
      <c r="K7" s="38" t="n">
        <v>0</v>
      </c>
      <c r="L7" s="25" t="n">
        <v>0.3</v>
      </c>
      <c r="M7" s="91" t="n">
        <v>1.024</v>
      </c>
      <c r="N7" s="91" t="n">
        <v>1.024</v>
      </c>
      <c r="O7" s="91" t="n">
        <v>1.023</v>
      </c>
      <c r="P7" s="91" t="n">
        <v>1.023</v>
      </c>
      <c r="Q7" s="91" t="n">
        <v>1.022</v>
      </c>
      <c r="R7" s="91" t="n">
        <v>1.021</v>
      </c>
      <c r="S7" s="91" t="n">
        <v>1.02</v>
      </c>
      <c r="T7" s="91" t="n">
        <v>1.019</v>
      </c>
      <c r="U7" s="91" t="n">
        <v>1.018</v>
      </c>
      <c r="V7" s="91" t="n">
        <v>1.017</v>
      </c>
      <c r="W7" s="91" t="n">
        <v>1.016</v>
      </c>
      <c r="X7" s="91" t="n">
        <v>1.015</v>
      </c>
      <c r="Y7" s="91" t="n">
        <v>1.015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90" t="n">
        <v>0.008559421270000001</v>
      </c>
      <c r="G8" s="91" t="n">
        <v>2.66</v>
      </c>
      <c r="H8" s="25" t="n">
        <v>0.0005</v>
      </c>
      <c r="I8" s="25" t="n">
        <v>2</v>
      </c>
      <c r="J8" s="25" t="n">
        <v>2</v>
      </c>
      <c r="K8" s="38" t="n">
        <v>0</v>
      </c>
      <c r="L8" s="25" t="n">
        <v>0.3</v>
      </c>
      <c r="M8" s="91" t="n">
        <v>1.026</v>
      </c>
      <c r="N8" s="91" t="n">
        <v>1.025</v>
      </c>
      <c r="O8" s="91" t="n">
        <v>1.025</v>
      </c>
      <c r="P8" s="91" t="n">
        <v>1.024</v>
      </c>
      <c r="Q8" s="91" t="n">
        <v>1.023</v>
      </c>
      <c r="R8" s="91" t="n">
        <v>1.022</v>
      </c>
      <c r="S8" s="91" t="n">
        <v>1.021</v>
      </c>
      <c r="T8" s="91" t="n">
        <v>1.02</v>
      </c>
      <c r="U8" s="91" t="n">
        <v>1.019</v>
      </c>
      <c r="V8" s="91" t="n">
        <v>1.017</v>
      </c>
      <c r="W8" s="91" t="n">
        <v>1.016</v>
      </c>
      <c r="X8" s="91" t="n">
        <v>1.016</v>
      </c>
      <c r="Y8" s="91" t="n">
        <v>1.016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90" t="n">
        <v>0.008559421270000001</v>
      </c>
      <c r="G9" s="91" t="n">
        <v>2.68</v>
      </c>
      <c r="H9" s="25" t="n">
        <v>0.0005</v>
      </c>
      <c r="I9" s="25" t="n">
        <v>2</v>
      </c>
      <c r="J9" s="25" t="n">
        <v>2</v>
      </c>
      <c r="K9" s="38" t="n">
        <v>0</v>
      </c>
      <c r="L9" s="25" t="n">
        <v>0.3</v>
      </c>
      <c r="M9" s="91" t="n">
        <v>1.023</v>
      </c>
      <c r="N9" s="91" t="n">
        <v>1.023</v>
      </c>
      <c r="O9" s="91" t="n">
        <v>1.022</v>
      </c>
      <c r="P9" s="91" t="n">
        <v>1.021</v>
      </c>
      <c r="Q9" s="91" t="n">
        <v>1.021</v>
      </c>
      <c r="R9" s="91" t="n">
        <v>1.02</v>
      </c>
      <c r="S9" s="91" t="n">
        <v>1.019</v>
      </c>
      <c r="T9" s="91" t="n">
        <v>1.018</v>
      </c>
      <c r="U9" s="91" t="n">
        <v>1.017</v>
      </c>
      <c r="V9" s="91" t="n">
        <v>1.015</v>
      </c>
      <c r="W9" s="91" t="n">
        <v>1.014</v>
      </c>
      <c r="X9" s="91" t="n">
        <v>1.014</v>
      </c>
      <c r="Y9" s="91" t="n">
        <v>1.014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90" t="n">
        <v>0.008559421270000001</v>
      </c>
      <c r="G10" s="91" t="n">
        <v>2.69</v>
      </c>
      <c r="H10" s="25" t="n">
        <v>0.0005</v>
      </c>
      <c r="I10" s="25" t="n">
        <v>3</v>
      </c>
      <c r="J10" s="25" t="n">
        <v>3</v>
      </c>
      <c r="K10" s="38" t="n">
        <v>0</v>
      </c>
      <c r="L10" s="25" t="n">
        <v>0.3</v>
      </c>
      <c r="M10" s="91" t="n">
        <v>1.025</v>
      </c>
      <c r="N10" s="91" t="n">
        <v>1.024</v>
      </c>
      <c r="O10" s="91" t="n">
        <v>1.023</v>
      </c>
      <c r="P10" s="91" t="n">
        <v>1.023</v>
      </c>
      <c r="Q10" s="91" t="n">
        <v>1.022</v>
      </c>
      <c r="R10" s="91" t="n">
        <v>1.021</v>
      </c>
      <c r="S10" s="91" t="n">
        <v>1.021</v>
      </c>
      <c r="T10" s="91" t="n">
        <v>1.02</v>
      </c>
      <c r="U10" s="91" t="n">
        <v>1.019</v>
      </c>
      <c r="V10" s="91" t="n">
        <v>1.018</v>
      </c>
      <c r="W10" s="91" t="n">
        <v>1.017</v>
      </c>
      <c r="X10" s="91" t="n">
        <v>1.017</v>
      </c>
      <c r="Y10" s="91" t="n">
        <v>1.017</v>
      </c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90" t="n">
        <v>0.008559421270000001</v>
      </c>
      <c r="G11" s="91" t="n">
        <v>2.69</v>
      </c>
      <c r="H11" s="25" t="n">
        <v>0.0005</v>
      </c>
      <c r="I11" s="25" t="n">
        <v>3</v>
      </c>
      <c r="J11" s="25" t="n">
        <v>3</v>
      </c>
      <c r="K11" s="38" t="n">
        <v>0</v>
      </c>
      <c r="L11" s="25" t="n">
        <v>0.3</v>
      </c>
      <c r="M11" s="91" t="n">
        <v>1.02</v>
      </c>
      <c r="N11" s="91" t="n">
        <v>1.019</v>
      </c>
      <c r="O11" s="91" t="n">
        <v>1.019</v>
      </c>
      <c r="P11" s="91" t="n">
        <v>1.018</v>
      </c>
      <c r="Q11" s="91" t="n">
        <v>1.018</v>
      </c>
      <c r="R11" s="91" t="n">
        <v>1.018</v>
      </c>
      <c r="S11" s="91" t="n">
        <v>1.017</v>
      </c>
      <c r="T11" s="91" t="n">
        <v>1.017</v>
      </c>
      <c r="U11" s="91" t="n">
        <v>1.017</v>
      </c>
      <c r="V11" s="91" t="n">
        <v>1.016</v>
      </c>
      <c r="W11" s="91" t="n">
        <v>1.016</v>
      </c>
      <c r="X11" s="91" t="n">
        <v>1.016</v>
      </c>
      <c r="Y11" s="91" t="n">
        <v>1.016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90" t="n">
        <v>0.008559421270000001</v>
      </c>
      <c r="G12" s="91" t="n">
        <v>2.73</v>
      </c>
      <c r="H12" s="25" t="n">
        <v>0.0005</v>
      </c>
      <c r="I12" s="25" t="n">
        <v>3</v>
      </c>
      <c r="J12" s="25" t="n">
        <v>3</v>
      </c>
      <c r="K12" s="38" t="n">
        <v>0</v>
      </c>
      <c r="L12" s="25" t="n">
        <v>0.3</v>
      </c>
      <c r="M12" s="91" t="n">
        <v>1.024</v>
      </c>
      <c r="N12" s="91" t="n">
        <v>1.023</v>
      </c>
      <c r="O12" s="91" t="n">
        <v>1.022</v>
      </c>
      <c r="P12" s="91" t="n">
        <v>1.021</v>
      </c>
      <c r="Q12" s="91" t="n">
        <v>1.02</v>
      </c>
      <c r="R12" s="91" t="n">
        <v>1.019</v>
      </c>
      <c r="S12" s="91" t="n">
        <v>1.018</v>
      </c>
      <c r="T12" s="91" t="n">
        <v>1.016</v>
      </c>
      <c r="U12" s="91" t="n">
        <v>1.015</v>
      </c>
      <c r="V12" s="91" t="n">
        <v>1.014</v>
      </c>
      <c r="W12" s="91" t="n">
        <v>1.012</v>
      </c>
      <c r="X12" s="91" t="n">
        <v>1.012</v>
      </c>
      <c r="Y12" s="91" t="n">
        <v>1.012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90" t="n">
        <v>0.008559421270000001</v>
      </c>
      <c r="G13" s="91" t="n">
        <v>2.67</v>
      </c>
      <c r="H13" s="25" t="n">
        <v>0.0005</v>
      </c>
      <c r="I13" s="25" t="n">
        <v>3</v>
      </c>
      <c r="J13" s="25" t="n">
        <v>3</v>
      </c>
      <c r="K13" s="38" t="n">
        <v>0</v>
      </c>
      <c r="L13" s="25" t="n">
        <v>0.3</v>
      </c>
      <c r="M13" s="91" t="n">
        <v>1.011</v>
      </c>
      <c r="N13" s="91" t="n">
        <v>1.01</v>
      </c>
      <c r="O13" s="91" t="n">
        <v>1.009</v>
      </c>
      <c r="P13" s="91" t="n">
        <v>1.009</v>
      </c>
      <c r="Q13" s="91" t="n">
        <v>1.008</v>
      </c>
      <c r="R13" s="91" t="n">
        <v>1.007</v>
      </c>
      <c r="S13" s="91" t="n">
        <v>1.007</v>
      </c>
      <c r="T13" s="91" t="n">
        <v>1.006</v>
      </c>
      <c r="U13" s="91" t="n">
        <v>1.006</v>
      </c>
      <c r="V13" s="91" t="n">
        <v>1.005</v>
      </c>
      <c r="W13" s="91" t="n">
        <v>1.005</v>
      </c>
      <c r="X13" s="91" t="n">
        <v>1.005</v>
      </c>
      <c r="Y13" s="91" t="n">
        <v>1.005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E19" sqref="E19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1" t="inlineStr">
        <is>
          <t>SR No.</t>
        </is>
      </c>
      <c r="B2" s="71" t="inlineStr">
        <is>
          <t>BH ID</t>
        </is>
      </c>
      <c r="C2" s="71" t="inlineStr">
        <is>
          <t>Depth</t>
        </is>
      </c>
      <c r="D2" s="70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0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1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0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1" t="inlineStr">
        <is>
          <t>% Gravel</t>
        </is>
      </c>
      <c r="AU2" s="71" t="inlineStr">
        <is>
          <t>% Sand</t>
        </is>
      </c>
      <c r="AV2" s="71" t="inlineStr">
        <is>
          <t>% Silt</t>
        </is>
      </c>
      <c r="AW2" s="71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2" t="n">
        <v>4.75</v>
      </c>
      <c r="E3" s="92" t="n">
        <v>2</v>
      </c>
      <c r="F3" s="92" t="n">
        <v>1.18</v>
      </c>
      <c r="G3" s="92" t="n">
        <v>0.6</v>
      </c>
      <c r="H3" s="92" t="n">
        <v>0.425</v>
      </c>
      <c r="I3" s="92" t="n">
        <v>0.3</v>
      </c>
      <c r="J3" s="92" t="n">
        <v>0.15</v>
      </c>
      <c r="K3" s="92" t="n">
        <v>0.075</v>
      </c>
      <c r="L3" s="93">
        <f>HYD!Z5</f>
        <v/>
      </c>
      <c r="M3" s="93">
        <f>HYD!AA5</f>
        <v/>
      </c>
      <c r="N3" s="93">
        <f>HYD!AB5</f>
        <v/>
      </c>
      <c r="O3" s="93">
        <f>HYD!AC5</f>
        <v/>
      </c>
      <c r="P3" s="93">
        <f>HYD!AD5</f>
        <v/>
      </c>
      <c r="Q3" s="93">
        <f>HYD!AE5</f>
        <v/>
      </c>
      <c r="R3" s="93">
        <f>HYD!AF5</f>
        <v/>
      </c>
      <c r="S3" s="93">
        <f>HYD!AG5</f>
        <v/>
      </c>
      <c r="T3" s="93">
        <f>HYD!AH5</f>
        <v/>
      </c>
      <c r="U3" s="93">
        <f>HYD!AI5</f>
        <v/>
      </c>
      <c r="V3" s="93">
        <f>HYD!AJ5</f>
        <v/>
      </c>
      <c r="W3" s="93">
        <f>HYD!AK5</f>
        <v/>
      </c>
      <c r="X3" s="93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2" t="n">
        <v>4.75</v>
      </c>
      <c r="E4" s="92" t="n">
        <v>2</v>
      </c>
      <c r="F4" s="92" t="n">
        <v>1.18</v>
      </c>
      <c r="G4" s="92" t="n">
        <v>0.6</v>
      </c>
      <c r="H4" s="92" t="n">
        <v>0.425</v>
      </c>
      <c r="I4" s="92" t="n">
        <v>0.3</v>
      </c>
      <c r="J4" s="92" t="n">
        <v>0.15</v>
      </c>
      <c r="K4" s="92" t="n">
        <v>0.075</v>
      </c>
      <c r="L4" s="93">
        <f>HYD!Z6</f>
        <v/>
      </c>
      <c r="M4" s="93">
        <f>HYD!AA6</f>
        <v/>
      </c>
      <c r="N4" s="93">
        <f>HYD!AB6</f>
        <v/>
      </c>
      <c r="O4" s="93">
        <f>HYD!AC6</f>
        <v/>
      </c>
      <c r="P4" s="93">
        <f>HYD!AD6</f>
        <v/>
      </c>
      <c r="Q4" s="93">
        <f>HYD!AE6</f>
        <v/>
      </c>
      <c r="R4" s="93">
        <f>HYD!AF6</f>
        <v/>
      </c>
      <c r="S4" s="93">
        <f>HYD!AG6</f>
        <v/>
      </c>
      <c r="T4" s="93">
        <f>HYD!AH6</f>
        <v/>
      </c>
      <c r="U4" s="93">
        <f>HYD!AI6</f>
        <v/>
      </c>
      <c r="V4" s="93">
        <f>HYD!AJ6</f>
        <v/>
      </c>
      <c r="W4" s="93">
        <f>HYD!AK6</f>
        <v/>
      </c>
      <c r="X4" s="93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2" t="n">
        <v>4.75</v>
      </c>
      <c r="E5" s="92" t="n">
        <v>2</v>
      </c>
      <c r="F5" s="92" t="n">
        <v>1.18</v>
      </c>
      <c r="G5" s="92" t="n">
        <v>0.6</v>
      </c>
      <c r="H5" s="92" t="n">
        <v>0.425</v>
      </c>
      <c r="I5" s="92" t="n">
        <v>0.3</v>
      </c>
      <c r="J5" s="92" t="n">
        <v>0.15</v>
      </c>
      <c r="K5" s="92" t="n">
        <v>0.075</v>
      </c>
      <c r="L5" s="93">
        <f>HYD!Z7</f>
        <v/>
      </c>
      <c r="M5" s="93">
        <f>HYD!AA7</f>
        <v/>
      </c>
      <c r="N5" s="93">
        <f>HYD!AB7</f>
        <v/>
      </c>
      <c r="O5" s="93">
        <f>HYD!AC7</f>
        <v/>
      </c>
      <c r="P5" s="93">
        <f>HYD!AD7</f>
        <v/>
      </c>
      <c r="Q5" s="93">
        <f>HYD!AE7</f>
        <v/>
      </c>
      <c r="R5" s="93">
        <f>HYD!AF7</f>
        <v/>
      </c>
      <c r="S5" s="93">
        <f>HYD!AG7</f>
        <v/>
      </c>
      <c r="T5" s="93">
        <f>HYD!AH7</f>
        <v/>
      </c>
      <c r="U5" s="93">
        <f>HYD!AI7</f>
        <v/>
      </c>
      <c r="V5" s="93">
        <f>HYD!AJ7</f>
        <v/>
      </c>
      <c r="W5" s="93">
        <f>HYD!AK7</f>
        <v/>
      </c>
      <c r="X5" s="93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2" t="n">
        <v>4.75</v>
      </c>
      <c r="E6" s="92" t="n">
        <v>2</v>
      </c>
      <c r="F6" s="92" t="n">
        <v>1.18</v>
      </c>
      <c r="G6" s="92" t="n">
        <v>0.6</v>
      </c>
      <c r="H6" s="92" t="n">
        <v>0.425</v>
      </c>
      <c r="I6" s="92" t="n">
        <v>0.3</v>
      </c>
      <c r="J6" s="92" t="n">
        <v>0.15</v>
      </c>
      <c r="K6" s="92" t="n">
        <v>0.075</v>
      </c>
      <c r="L6" s="93">
        <f>HYD!Z8</f>
        <v/>
      </c>
      <c r="M6" s="93">
        <f>HYD!AA8</f>
        <v/>
      </c>
      <c r="N6" s="93">
        <f>HYD!AB8</f>
        <v/>
      </c>
      <c r="O6" s="93">
        <f>HYD!AC8</f>
        <v/>
      </c>
      <c r="P6" s="93">
        <f>HYD!AD8</f>
        <v/>
      </c>
      <c r="Q6" s="93">
        <f>HYD!AE8</f>
        <v/>
      </c>
      <c r="R6" s="93">
        <f>HYD!AF8</f>
        <v/>
      </c>
      <c r="S6" s="93">
        <f>HYD!AG8</f>
        <v/>
      </c>
      <c r="T6" s="93">
        <f>HYD!AH8</f>
        <v/>
      </c>
      <c r="U6" s="93">
        <f>HYD!AI8</f>
        <v/>
      </c>
      <c r="V6" s="93">
        <f>HYD!AJ8</f>
        <v/>
      </c>
      <c r="W6" s="93">
        <f>HYD!AK8</f>
        <v/>
      </c>
      <c r="X6" s="93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2" t="n">
        <v>4.75</v>
      </c>
      <c r="E7" s="92" t="n">
        <v>2</v>
      </c>
      <c r="F7" s="92" t="n">
        <v>1.18</v>
      </c>
      <c r="G7" s="92" t="n">
        <v>0.6</v>
      </c>
      <c r="H7" s="92" t="n">
        <v>0.425</v>
      </c>
      <c r="I7" s="92" t="n">
        <v>0.3</v>
      </c>
      <c r="J7" s="92" t="n">
        <v>0.15</v>
      </c>
      <c r="K7" s="92" t="n">
        <v>0.075</v>
      </c>
      <c r="L7" s="93">
        <f>HYD!Z9</f>
        <v/>
      </c>
      <c r="M7" s="93">
        <f>HYD!AA9</f>
        <v/>
      </c>
      <c r="N7" s="93">
        <f>HYD!AB9</f>
        <v/>
      </c>
      <c r="O7" s="93">
        <f>HYD!AC9</f>
        <v/>
      </c>
      <c r="P7" s="93">
        <f>HYD!AD9</f>
        <v/>
      </c>
      <c r="Q7" s="93">
        <f>HYD!AE9</f>
        <v/>
      </c>
      <c r="R7" s="93">
        <f>HYD!AF9</f>
        <v/>
      </c>
      <c r="S7" s="93">
        <f>HYD!AG9</f>
        <v/>
      </c>
      <c r="T7" s="93">
        <f>HYD!AH9</f>
        <v/>
      </c>
      <c r="U7" s="93">
        <f>HYD!AI9</f>
        <v/>
      </c>
      <c r="V7" s="93">
        <f>HYD!AJ9</f>
        <v/>
      </c>
      <c r="W7" s="93">
        <f>HYD!AK9</f>
        <v/>
      </c>
      <c r="X7" s="93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2" t="n">
        <v>4.75</v>
      </c>
      <c r="E8" s="92" t="n">
        <v>2</v>
      </c>
      <c r="F8" s="92" t="n">
        <v>1.18</v>
      </c>
      <c r="G8" s="92" t="n">
        <v>0.6</v>
      </c>
      <c r="H8" s="92" t="n">
        <v>0.425</v>
      </c>
      <c r="I8" s="92" t="n">
        <v>0.3</v>
      </c>
      <c r="J8" s="92" t="n">
        <v>0.15</v>
      </c>
      <c r="K8" s="92" t="n">
        <v>0.075</v>
      </c>
      <c r="L8" s="93">
        <f>HYD!Z10</f>
        <v/>
      </c>
      <c r="M8" s="93">
        <f>HYD!AA10</f>
        <v/>
      </c>
      <c r="N8" s="93">
        <f>HYD!AB10</f>
        <v/>
      </c>
      <c r="O8" s="93">
        <f>HYD!AC10</f>
        <v/>
      </c>
      <c r="P8" s="93">
        <f>HYD!AD10</f>
        <v/>
      </c>
      <c r="Q8" s="93">
        <f>HYD!AE10</f>
        <v/>
      </c>
      <c r="R8" s="93">
        <f>HYD!AF10</f>
        <v/>
      </c>
      <c r="S8" s="93">
        <f>HYD!AG10</f>
        <v/>
      </c>
      <c r="T8" s="93">
        <f>HYD!AH10</f>
        <v/>
      </c>
      <c r="U8" s="93">
        <f>HYD!AI10</f>
        <v/>
      </c>
      <c r="V8" s="93">
        <f>HYD!AJ10</f>
        <v/>
      </c>
      <c r="W8" s="93">
        <f>HYD!AK10</f>
        <v/>
      </c>
      <c r="X8" s="93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2" t="n">
        <v>4.75</v>
      </c>
      <c r="E9" s="92" t="n">
        <v>2</v>
      </c>
      <c r="F9" s="92" t="n">
        <v>1.18</v>
      </c>
      <c r="G9" s="92" t="n">
        <v>0.6</v>
      </c>
      <c r="H9" s="92" t="n">
        <v>0.425</v>
      </c>
      <c r="I9" s="92" t="n">
        <v>0.3</v>
      </c>
      <c r="J9" s="92" t="n">
        <v>0.15</v>
      </c>
      <c r="K9" s="92" t="n">
        <v>0.075</v>
      </c>
      <c r="L9" s="93">
        <f>HYD!Z11</f>
        <v/>
      </c>
      <c r="M9" s="93">
        <f>HYD!AA11</f>
        <v/>
      </c>
      <c r="N9" s="93">
        <f>HYD!AB11</f>
        <v/>
      </c>
      <c r="O9" s="93">
        <f>HYD!AC11</f>
        <v/>
      </c>
      <c r="P9" s="93">
        <f>HYD!AD11</f>
        <v/>
      </c>
      <c r="Q9" s="93">
        <f>HYD!AE11</f>
        <v/>
      </c>
      <c r="R9" s="93">
        <f>HYD!AF11</f>
        <v/>
      </c>
      <c r="S9" s="93">
        <f>HYD!AG11</f>
        <v/>
      </c>
      <c r="T9" s="93">
        <f>HYD!AH11</f>
        <v/>
      </c>
      <c r="U9" s="93">
        <f>HYD!AI11</f>
        <v/>
      </c>
      <c r="V9" s="93">
        <f>HYD!AJ11</f>
        <v/>
      </c>
      <c r="W9" s="93">
        <f>HYD!AK11</f>
        <v/>
      </c>
      <c r="X9" s="93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2" t="n">
        <v>4.75</v>
      </c>
      <c r="E10" s="92" t="n">
        <v>2</v>
      </c>
      <c r="F10" s="92" t="n">
        <v>1.18</v>
      </c>
      <c r="G10" s="92" t="n">
        <v>0.6</v>
      </c>
      <c r="H10" s="92" t="n">
        <v>0.425</v>
      </c>
      <c r="I10" s="92" t="n">
        <v>0.3</v>
      </c>
      <c r="J10" s="92" t="n">
        <v>0.15</v>
      </c>
      <c r="K10" s="92" t="n">
        <v>0.075</v>
      </c>
      <c r="L10" s="93">
        <f>HYD!Z12</f>
        <v/>
      </c>
      <c r="M10" s="93">
        <f>HYD!AA12</f>
        <v/>
      </c>
      <c r="N10" s="93">
        <f>HYD!AB12</f>
        <v/>
      </c>
      <c r="O10" s="93">
        <f>HYD!AC12</f>
        <v/>
      </c>
      <c r="P10" s="93">
        <f>HYD!AD12</f>
        <v/>
      </c>
      <c r="Q10" s="93">
        <f>HYD!AE12</f>
        <v/>
      </c>
      <c r="R10" s="93">
        <f>HYD!AF12</f>
        <v/>
      </c>
      <c r="S10" s="93">
        <f>HYD!AG12</f>
        <v/>
      </c>
      <c r="T10" s="93">
        <f>HYD!AH12</f>
        <v/>
      </c>
      <c r="U10" s="93">
        <f>HYD!AI12</f>
        <v/>
      </c>
      <c r="V10" s="93">
        <f>HYD!AJ12</f>
        <v/>
      </c>
      <c r="W10" s="93">
        <f>HYD!AK12</f>
        <v/>
      </c>
      <c r="X10" s="93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2" t="n">
        <v>4.75</v>
      </c>
      <c r="E11" s="92" t="n">
        <v>2</v>
      </c>
      <c r="F11" s="92" t="n">
        <v>1.18</v>
      </c>
      <c r="G11" s="92" t="n">
        <v>0.6</v>
      </c>
      <c r="H11" s="92" t="n">
        <v>0.425</v>
      </c>
      <c r="I11" s="92" t="n">
        <v>0.3</v>
      </c>
      <c r="J11" s="92" t="n">
        <v>0.15</v>
      </c>
      <c r="K11" s="92" t="n">
        <v>0.075</v>
      </c>
      <c r="L11" s="93">
        <f>HYD!Z13</f>
        <v/>
      </c>
      <c r="M11" s="93">
        <f>HYD!AA13</f>
        <v/>
      </c>
      <c r="N11" s="93">
        <f>HYD!AB13</f>
        <v/>
      </c>
      <c r="O11" s="93">
        <f>HYD!AC13</f>
        <v/>
      </c>
      <c r="P11" s="93">
        <f>HYD!AD13</f>
        <v/>
      </c>
      <c r="Q11" s="93">
        <f>HYD!AE13</f>
        <v/>
      </c>
      <c r="R11" s="93">
        <f>HYD!AF13</f>
        <v/>
      </c>
      <c r="S11" s="93">
        <f>HYD!AG13</f>
        <v/>
      </c>
      <c r="T11" s="93">
        <f>HYD!AH13</f>
        <v/>
      </c>
      <c r="U11" s="93">
        <f>HYD!AI13</f>
        <v/>
      </c>
      <c r="V11" s="93">
        <f>HYD!AJ13</f>
        <v/>
      </c>
      <c r="W11" s="93">
        <f>HYD!AK13</f>
        <v/>
      </c>
      <c r="X11" s="93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2026-09-24T05:46:17Z</dcterms:modified>
  <cp:lastModifiedBy>baps</cp:lastModifiedBy>
</cp:coreProperties>
</file>