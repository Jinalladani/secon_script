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name="GSD" sheetId="1" state="visible" r:id="rId1"/>
    <sheet name="HYD" sheetId="2" state="visible" r:id="rId2"/>
    <sheet name="Sheet4" sheetId="3" state="hidden" r:id="rId3"/>
    <sheet name="PLOT" sheetId="4" state="visible" r:id="rId4"/>
  </sheets>
  <definedNames>
    <definedName name="_xlnm.Print_Area" localSheetId="0">'GSD'!$A$1:$AC$11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0.000"/>
    <numFmt numFmtId="165" formatCode="0.000000"/>
    <numFmt numFmtId="166" formatCode="0.0000"/>
    <numFmt numFmtId="167" formatCode="0.00000"/>
    <numFmt numFmtId="168" formatCode="0.0"/>
  </numFmts>
  <fonts count="13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u val="single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b val="1"/>
      <color theme="1"/>
      <sz val="10"/>
    </font>
    <font>
      <name val="Calibri"/>
      <family val="2"/>
      <b val="1"/>
      <color theme="1"/>
      <sz val="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8"/>
      <scheme val="minor"/>
    </font>
    <font>
      <name val="Calibri"/>
      <family val="2"/>
      <sz val="8"/>
      <scheme val="minor"/>
    </font>
    <font>
      <name val="Calibri"/>
      <family val="2"/>
      <color theme="1"/>
      <sz val="9"/>
      <scheme val="minor"/>
    </font>
    <font>
      <name val="Calibri"/>
      <family val="2"/>
      <color rgb="FFF8F8F8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3" fillId="0" borderId="0"/>
    <xf numFmtId="0" fontId="3" fillId="0" borderId="0"/>
  </cellStyleXfs>
  <cellXfs count="108">
    <xf numFmtId="0" fontId="0" fillId="0" borderId="0" pivotButton="0" quotePrefix="0" xfId="0"/>
    <xf numFmtId="0" fontId="3" fillId="0" borderId="0" pivotButton="0" quotePrefix="0" xfId="1"/>
    <xf numFmtId="0" fontId="5" fillId="0" borderId="8" applyAlignment="1" pivotButton="0" quotePrefix="0" xfId="1">
      <alignment horizontal="center" vertical="center" wrapText="1"/>
    </xf>
    <xf numFmtId="2" fontId="5" fillId="0" borderId="8" applyAlignment="1" pivotButton="0" quotePrefix="0" xfId="1">
      <alignment horizontal="center" vertical="center" wrapText="1"/>
    </xf>
    <xf numFmtId="164" fontId="5" fillId="0" borderId="8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 wrapText="1"/>
    </xf>
    <xf numFmtId="2" fontId="5" fillId="0" borderId="1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2" fontId="1" fillId="0" borderId="1" applyAlignment="1" pivotButton="0" quotePrefix="0" xfId="1">
      <alignment horizontal="center" vertical="center"/>
    </xf>
    <xf numFmtId="2" fontId="3" fillId="2" borderId="1" applyAlignment="1" pivotButton="0" quotePrefix="0" xfId="1">
      <alignment horizontal="center" vertical="center"/>
    </xf>
    <xf numFmtId="0" fontId="3" fillId="0" borderId="0" applyAlignment="1" pivotButton="0" quotePrefix="0" xfId="1">
      <alignment horizontal="center" vertical="center"/>
    </xf>
    <xf numFmtId="0" fontId="7" fillId="0" borderId="8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right" vertical="center" wrapText="1"/>
    </xf>
    <xf numFmtId="0" fontId="2" fillId="0" borderId="0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center" vertical="center"/>
    </xf>
    <xf numFmtId="10" fontId="0" fillId="0" borderId="0" pivotButton="0" quotePrefix="0" xfId="0"/>
    <xf numFmtId="0" fontId="8" fillId="0" borderId="0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1" fontId="7" fillId="0" borderId="0" applyAlignment="1" pivotButton="0" quotePrefix="0" xfId="0">
      <alignment vertical="center" wrapText="1"/>
    </xf>
    <xf numFmtId="0" fontId="2" fillId="0" borderId="0" applyAlignment="1" pivotButton="0" quotePrefix="0" xfId="0">
      <alignment horizontal="center" vertical="center"/>
    </xf>
    <xf numFmtId="2" fontId="1" fillId="0" borderId="1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4" borderId="1" applyAlignment="1" pivotButton="0" quotePrefix="0" xfId="0">
      <alignment horizontal="center" vertical="center"/>
    </xf>
    <xf numFmtId="2" fontId="11" fillId="4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3" fillId="3" borderId="0" pivotButton="0" quotePrefix="0" xfId="1"/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0" borderId="1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0" fontId="0" fillId="0" borderId="0" pivotButton="0" quotePrefix="0" xfId="0"/>
    <xf numFmtId="0" fontId="12" fillId="0" borderId="1" applyAlignment="1" pivotButton="0" quotePrefix="0" xfId="1">
      <alignment horizontal="center" vertical="center"/>
    </xf>
    <xf numFmtId="2" fontId="1" fillId="0" borderId="1" applyAlignment="1" pivotButton="0" quotePrefix="0" xfId="0">
      <alignment horizontal="center" vertical="center"/>
    </xf>
    <xf numFmtId="2" fontId="1" fillId="0" borderId="1" applyAlignment="1" pivotButton="0" quotePrefix="0" xfId="1">
      <alignment horizontal="center" vertical="center"/>
    </xf>
    <xf numFmtId="2" fontId="3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1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4" fillId="0" borderId="5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textRotation="90" wrapText="1"/>
    </xf>
    <xf numFmtId="0" fontId="5" fillId="0" borderId="7" applyAlignment="1" pivotButton="0" quotePrefix="0" xfId="1">
      <alignment horizontal="center" vertical="center" textRotation="90" wrapText="1"/>
    </xf>
    <xf numFmtId="0" fontId="5" fillId="0" borderId="8" applyAlignment="1" pivotButton="0" quotePrefix="0" xfId="1">
      <alignment horizontal="center" vertical="center" textRotation="90" wrapText="1"/>
    </xf>
    <xf numFmtId="0" fontId="5" fillId="0" borderId="6" applyAlignment="1" pivotButton="0" quotePrefix="0" xfId="1">
      <alignment horizontal="center" vertical="center" textRotation="90"/>
    </xf>
    <xf numFmtId="0" fontId="5" fillId="0" borderId="7" applyAlignment="1" pivotButton="0" quotePrefix="0" xfId="1">
      <alignment horizontal="center" vertical="center" textRotation="90"/>
    </xf>
    <xf numFmtId="0" fontId="5" fillId="0" borderId="8" applyAlignment="1" pivotButton="0" quotePrefix="0" xfId="1">
      <alignment horizontal="center" vertical="center" textRotation="90"/>
    </xf>
    <xf numFmtId="0" fontId="5" fillId="0" borderId="1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wrapText="1"/>
    </xf>
    <xf numFmtId="0" fontId="5" fillId="0" borderId="8" applyAlignment="1" pivotButton="0" quotePrefix="0" xfId="1">
      <alignment horizontal="center" vertical="center" wrapText="1"/>
    </xf>
    <xf numFmtId="0" fontId="2" fillId="0" borderId="1" applyAlignment="1" pivotButton="0" quotePrefix="0" xfId="1">
      <alignment horizontal="center" vertical="center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3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 textRotation="90"/>
    </xf>
    <xf numFmtId="0" fontId="1" fillId="0" borderId="1" applyAlignment="1" pivotButton="0" quotePrefix="0" xfId="0">
      <alignment horizontal="center" vertical="center"/>
    </xf>
    <xf numFmtId="0" fontId="7" fillId="0" borderId="6" applyAlignment="1" pivotButton="0" quotePrefix="0" xfId="0">
      <alignment horizontal="center" vertical="center" wrapText="1"/>
    </xf>
    <xf numFmtId="0" fontId="7" fillId="0" borderId="7" applyAlignment="1" pivotButton="0" quotePrefix="0" xfId="0">
      <alignment horizontal="center" vertical="center" wrapText="1"/>
    </xf>
    <xf numFmtId="0" fontId="7" fillId="0" borderId="8" applyAlignment="1" pivotButton="0" quotePrefix="0" xfId="0">
      <alignment horizontal="center" vertical="center" wrapText="1"/>
    </xf>
    <xf numFmtId="0" fontId="7" fillId="0" borderId="6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1" fontId="7" fillId="0" borderId="1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/>
    </xf>
    <xf numFmtId="0" fontId="7" fillId="0" borderId="1" applyAlignment="1" pivotButton="0" quotePrefix="0" xfId="0">
      <alignment horizontal="center"/>
    </xf>
    <xf numFmtId="0" fontId="7" fillId="0" borderId="1" applyAlignment="1" pivotButton="0" quotePrefix="0" xfId="0">
      <alignment horizontal="center" vertical="center" wrapText="1"/>
    </xf>
    <xf numFmtId="168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 vertical="center" wrapText="1"/>
    </xf>
    <xf numFmtId="0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0" fillId="0" borderId="5" pivotButton="0" quotePrefix="0" xfId="0"/>
    <xf numFmtId="0" fontId="5" fillId="0" borderId="14" applyAlignment="1" pivotButton="0" quotePrefix="0" xfId="1">
      <alignment horizontal="center" vertical="center" textRotation="90" wrapText="1"/>
    </xf>
    <xf numFmtId="0" fontId="5" fillId="0" borderId="14" applyAlignment="1" pivotButton="0" quotePrefix="0" xfId="1">
      <alignment horizontal="center" vertical="center" textRotation="90"/>
    </xf>
    <xf numFmtId="0" fontId="5" fillId="0" borderId="14" applyAlignment="1" pivotButton="0" quotePrefix="0" xfId="1">
      <alignment horizontal="center" vertical="center" wrapText="1"/>
    </xf>
    <xf numFmtId="0" fontId="0" fillId="0" borderId="3" pivotButton="0" quotePrefix="0" xfId="0"/>
    <xf numFmtId="0" fontId="0" fillId="0" borderId="4" pivotButton="0" quotePrefix="0" xfId="0"/>
    <xf numFmtId="0" fontId="0" fillId="0" borderId="7" pivotButton="0" quotePrefix="0" xfId="0"/>
    <xf numFmtId="0" fontId="0" fillId="0" borderId="13" pivotButton="0" quotePrefix="0" xfId="0"/>
    <xf numFmtId="0" fontId="0" fillId="0" borderId="8" pivotButton="0" quotePrefix="0" xfId="0"/>
    <xf numFmtId="164" fontId="5" fillId="0" borderId="8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0" fillId="0" borderId="12" pivotButton="0" quotePrefix="0" xfId="0"/>
    <xf numFmtId="0" fontId="7" fillId="0" borderId="14" applyAlignment="1" pivotButton="0" quotePrefix="0" xfId="0">
      <alignment horizontal="center" vertical="center" wrapText="1"/>
    </xf>
    <xf numFmtId="0" fontId="7" fillId="0" borderId="14" applyAlignment="1" pivotButton="0" quotePrefix="0" xfId="0">
      <alignment horizontal="center" vertical="center"/>
    </xf>
    <xf numFmtId="168" fontId="7" fillId="0" borderId="1" applyAlignment="1" pivotButton="0" quotePrefix="0" xfId="0">
      <alignment horizontal="center" vertical="center" wrapText="1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</cellXfs>
  <cellStyles count="2">
    <cellStyle name="Normal" xfId="0" builtinId="0"/>
    <cellStyle name="Normal 2" xfId="1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1353284223449969"/>
          <w val="0.866606868107004"/>
          <h val="0.7191733975242045"/>
        </manualLayout>
      </layout>
      <scatterChart>
        <scatterStyle val="smoothMarker"/>
        <varyColors val="0"/>
        <ser>
          <idx val="0"/>
          <order val="0"/>
          <tx>
            <strRef>
              <f>GSD!$F$5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GSD!$S$5:$Z$5</f>
              <numCache>
                <formatCode>0.00</formatCode>
                <ptCount val="8"/>
                <pt idx="0">
                  <v>92.92</v>
                </pt>
                <pt idx="1">
                  <v>88.86</v>
                </pt>
                <pt idx="2">
                  <v>84.63</v>
                </pt>
                <pt idx="3">
                  <v>76.18000000000001</v>
                </pt>
                <pt idx="4">
                  <v>74.93000000000001</v>
                </pt>
                <pt idx="5">
                  <v>71.27</v>
                </pt>
                <pt idx="6">
                  <v>62.25000000000001</v>
                </pt>
                <pt idx="7">
                  <v>56.64</v>
                </pt>
              </numCache>
            </numRef>
          </yVal>
          <smooth val="1"/>
        </ser>
        <ser>
          <idx val="1"/>
          <order val="1"/>
          <tx>
            <strRef>
              <f>GSD!$F$6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GSD!$S$6:$Z$6</f>
              <numCache>
                <formatCode>0.00</formatCode>
                <ptCount val="8"/>
                <pt idx="0">
                  <v>100</v>
                </pt>
                <pt idx="1">
                  <v>99.94499999999999</v>
                </pt>
                <pt idx="2">
                  <v>99.83</v>
                </pt>
                <pt idx="3">
                  <v>99.04000000000001</v>
                </pt>
                <pt idx="4">
                  <v>98.79000000000001</v>
                </pt>
                <pt idx="5">
                  <v>97.83499999999999</v>
                </pt>
                <pt idx="6">
                  <v>91.33</v>
                </pt>
                <pt idx="7">
                  <v>77.75999999999999</v>
                </pt>
              </numCache>
            </numRef>
          </yVal>
          <smooth val="1"/>
        </ser>
        <ser>
          <idx val="2"/>
          <order val="2"/>
          <tx>
            <strRef>
              <f>GSD!$F$7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GSD!$S$7:$Z$7</f>
              <numCache>
                <formatCode>0.00</formatCode>
                <ptCount val="8"/>
                <pt idx="0">
                  <v>100</v>
                </pt>
                <pt idx="1">
                  <v>99.58</v>
                </pt>
                <pt idx="2">
                  <v>97.13</v>
                </pt>
                <pt idx="3">
                  <v>73.50999999999999</v>
                </pt>
                <pt idx="4">
                  <v>70.86</v>
                </pt>
                <pt idx="5">
                  <v>65.43000000000001</v>
                </pt>
                <pt idx="6">
                  <v>44.22</v>
                </pt>
                <pt idx="7">
                  <v>32.27</v>
                </pt>
              </numCache>
            </numRef>
          </yVal>
          <smooth val="1"/>
        </ser>
        <ser>
          <idx val="3"/>
          <order val="3"/>
          <tx>
            <strRef>
              <f>GSD!$F$8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GSD!$S$8:$Z$8</f>
              <numCache>
                <formatCode>0.00</formatCode>
                <ptCount val="8"/>
                <pt idx="0">
                  <v>86.19</v>
                </pt>
                <pt idx="1">
                  <v>84.81999999999999</v>
                </pt>
                <pt idx="2">
                  <v>83.68000000000001</v>
                </pt>
                <pt idx="3">
                  <v>77.48999999999999</v>
                </pt>
                <pt idx="4">
                  <v>76.34</v>
                </pt>
                <pt idx="5">
                  <v>72.98</v>
                </pt>
                <pt idx="6">
                  <v>61.85000000000001</v>
                </pt>
                <pt idx="7">
                  <v>56.845</v>
                </pt>
              </numCache>
            </numRef>
          </yVal>
          <smooth val="1"/>
        </ser>
        <ser>
          <idx val="4"/>
          <order val="4"/>
          <tx>
            <strRef>
              <f>GSD!$F$9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GSD!$S$9:$Z$9</f>
              <numCache>
                <formatCode>0.00</formatCode>
                <ptCount val="8"/>
                <pt idx="0">
                  <v>100</v>
                </pt>
                <pt idx="1">
                  <v>99.14</v>
                </pt>
                <pt idx="2">
                  <v>95.04000000000001</v>
                </pt>
                <pt idx="3">
                  <v>57.47</v>
                </pt>
                <pt idx="4">
                  <v>53.83</v>
                </pt>
                <pt idx="5">
                  <v>48.27</v>
                </pt>
                <pt idx="6">
                  <v>34.36999999999999</v>
                </pt>
                <pt idx="7">
                  <v>25.41</v>
                </pt>
              </numCache>
            </numRef>
          </yVal>
          <smooth val="1"/>
        </ser>
        <ser>
          <idx val="5"/>
          <order val="5"/>
          <tx>
            <strRef>
              <f>GSD!$F$10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GSD!$S$10:$Z$10</f>
              <numCache>
                <formatCode>0.00</formatCode>
                <ptCount val="8"/>
                <pt idx="0">
                  <v>99.37</v>
                </pt>
                <pt idx="1">
                  <v>97.435</v>
                </pt>
                <pt idx="2">
                  <v>95.54000000000001</v>
                </pt>
                <pt idx="3">
                  <v>85.8</v>
                </pt>
                <pt idx="4">
                  <v>83.965</v>
                </pt>
                <pt idx="5">
                  <v>79.14</v>
                </pt>
                <pt idx="6">
                  <v>66.765</v>
                </pt>
                <pt idx="7">
                  <v>53.02</v>
                </pt>
              </numCache>
            </numRef>
          </yVal>
          <smooth val="1"/>
        </ser>
        <ser>
          <idx val="6"/>
          <order val="6"/>
          <tx>
            <strRef>
              <f>GSD!$F$11</f>
              <strCache>
                <ptCount val="1"/>
                <pt idx="0">
                  <v>10.00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GSD!$S$11:$Z$11</f>
              <numCache>
                <formatCode>0.00</formatCode>
                <ptCount val="8"/>
                <pt idx="0">
                  <v>98.16</v>
                </pt>
                <pt idx="1">
                  <v>97.25</v>
                </pt>
                <pt idx="2">
                  <v>94.44</v>
                </pt>
                <pt idx="3">
                  <v>77.94</v>
                </pt>
                <pt idx="4">
                  <v>69.72999999999999</v>
                </pt>
                <pt idx="5">
                  <v>41.69</v>
                </pt>
                <pt idx="6">
                  <v>20.19</v>
                </pt>
                <pt idx="7">
                  <v>16.52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1001847290640394"/>
          <y val="0.1550257875224161"/>
          <w val="0.07081881072461557"/>
          <h val="0.6809117980817312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scatterChart>
        <scatterStyle val="lineMarker"/>
        <varyColors val="0"/>
        <ser>
          <idx val="0"/>
          <order val="0"/>
          <tx>
            <strRef>
              <f>Sheet4!$C$1</f>
              <strCache>
                <ptCount val="1"/>
                <pt idx="0">
                  <v>Viscosity (P)</v>
                </pt>
              </strCache>
            </strRef>
          </tx>
          <spPr>
            <a:ln w="25400" cap="rnd">
              <a:noFill/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trendline>
            <spPr>
              <a:ln w="19050" cap="rnd">
                <a:solidFill>
                  <a:schemeClr val="accent1"/>
                </a:solidFill>
                <a:prstDash val="sysDot"/>
              </a:ln>
            </spPr>
            <trendlineType val="poly"/>
            <order val="4"/>
            <dispRSqr val="1"/>
            <dispEq val="1"/>
            <trendlineLbl>
              <layout>
                <manualLayout>
                  <wMode val="factor"/>
                  <hMode val="factor"/>
                  <x val="0.05994817955447877"/>
                  <y val="-0.3352097249064893"/>
                </manualLayout>
              </layout>
              <numFmt formatCode="#,##0.000000000000" sourceLinked="0"/>
              <spPr>
                <a:noFill/>
                <a:ln>
                  <a:noFill/>
                  <a:prstDash val="solid"/>
                </a:ln>
              </spPr>
              <txPr>
                <a:bodyPr rot="0" spcFirstLastPara="1" vertOverflow="ellipsis" vert="horz" wrap="square" anchor="ctr" anchorCtr="1"/>
                <a:lstStyle/>
                <a:p>
                  <a:pPr>
                    <a:defRPr sz="900" b="0" i="0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t/>
                  </a:r>
                  <a:endParaRPr lang="en-US"/>
                </a:p>
              </txPr>
            </trendlineLbl>
          </trendline>
          <xVal>
            <numRef>
              <f>Sheet4!$A$2:$A$41</f>
              <numCache>
                <formatCode>General</formatCode>
                <ptCount val="40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  <pt idx="26">
                  <v>26</v>
                </pt>
                <pt idx="27">
                  <v>27</v>
                </pt>
                <pt idx="28">
                  <v>28</v>
                </pt>
                <pt idx="29">
                  <v>29</v>
                </pt>
                <pt idx="30">
                  <v>30</v>
                </pt>
                <pt idx="31">
                  <v>31</v>
                </pt>
                <pt idx="32">
                  <v>32</v>
                </pt>
                <pt idx="33">
                  <v>33</v>
                </pt>
                <pt idx="34">
                  <v>34</v>
                </pt>
                <pt idx="35">
                  <v>35</v>
                </pt>
                <pt idx="36">
                  <v>36</v>
                </pt>
                <pt idx="37">
                  <v>37</v>
                </pt>
                <pt idx="38">
                  <v>38</v>
                </pt>
                <pt idx="39">
                  <v>39</v>
                </pt>
              </numCache>
            </numRef>
          </xVal>
          <yVal>
            <numRef>
              <f>Sheet4!$C$2:$C$41</f>
              <numCache>
                <formatCode>General</formatCode>
                <ptCount val="40"/>
                <pt idx="0">
                  <v>0.01794</v>
                </pt>
                <pt idx="1">
                  <v>0.01732</v>
                </pt>
                <pt idx="2">
                  <v>0.01674</v>
                </pt>
                <pt idx="3">
                  <v>0.01619</v>
                </pt>
                <pt idx="4">
                  <v>0.01568</v>
                </pt>
                <pt idx="5">
                  <v>0.01519</v>
                </pt>
                <pt idx="6">
                  <v>0.01473</v>
                </pt>
                <pt idx="7">
                  <v>0.01429</v>
                </pt>
                <pt idx="8">
                  <v>0.01387</v>
                </pt>
                <pt idx="9">
                  <v>0.01348</v>
                </pt>
                <pt idx="10">
                  <v>0.0131</v>
                </pt>
                <pt idx="11">
                  <v>0.01274</v>
                </pt>
                <pt idx="12">
                  <v>0.01239</v>
                </pt>
                <pt idx="13">
                  <v>0.01206</v>
                </pt>
                <pt idx="14">
                  <v>0.01175</v>
                </pt>
                <pt idx="15">
                  <v>0.01145</v>
                </pt>
                <pt idx="16">
                  <v>0.01116</v>
                </pt>
                <pt idx="17">
                  <v>0.01088</v>
                </pt>
                <pt idx="18">
                  <v>0.0106</v>
                </pt>
                <pt idx="19">
                  <v>0.01034</v>
                </pt>
                <pt idx="20">
                  <v>0.01009</v>
                </pt>
                <pt idx="21">
                  <v>0.00984</v>
                </pt>
                <pt idx="22">
                  <v>0.00961</v>
                </pt>
                <pt idx="23">
                  <v>0.009379999999999999</v>
                </pt>
                <pt idx="24">
                  <v>0.00916</v>
                </pt>
                <pt idx="25">
                  <v>0.00895</v>
                </pt>
                <pt idx="26">
                  <v>0.008750000000000001</v>
                </pt>
                <pt idx="27">
                  <v>0.00855</v>
                </pt>
                <pt idx="28">
                  <v>0.008359999999999999</v>
                </pt>
                <pt idx="29">
                  <v>0.00818</v>
                </pt>
                <pt idx="30">
                  <v>0.008</v>
                </pt>
                <pt idx="31">
                  <v>0.00783</v>
                </pt>
                <pt idx="32">
                  <v>0.00767</v>
                </pt>
                <pt idx="33">
                  <v>0.00751</v>
                </pt>
                <pt idx="34">
                  <v>0.00736</v>
                </pt>
                <pt idx="35">
                  <v>0.00721</v>
                </pt>
                <pt idx="36">
                  <v>0.00706</v>
                </pt>
                <pt idx="37">
                  <v>0.00692</v>
                </pt>
                <pt idx="38">
                  <v>0.00679</v>
                </pt>
                <pt idx="39">
                  <v>0.00666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190991296"/>
        <axId val="190989632"/>
      </scatterChart>
      <valAx>
        <axId val="19099129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89632"/>
        <crosses val="autoZero"/>
        <crossBetween val="midCat"/>
      </valAx>
      <valAx>
        <axId val="190989632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91296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08152827477428419"/>
          <w val="0.866606868107004"/>
          <h val="0.7729734471630617"/>
        </manualLayout>
      </layout>
      <scatterChart>
        <scatterStyle val="smoothMarker"/>
        <varyColors val="0"/>
        <ser>
          <idx val="0"/>
          <order val="0"/>
          <tx>
            <strRef>
              <f>PLOT!$C$3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PLOT!$D$3:$X$3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PLOT!$Y$3:$AS$3</f>
              <numCache>
                <formatCode>0.00</formatCode>
                <ptCount val="21"/>
                <pt idx="0">
                  <v>92.92</v>
                </pt>
                <pt idx="1">
                  <v>88.86</v>
                </pt>
                <pt idx="2">
                  <v>84.63</v>
                </pt>
                <pt idx="3">
                  <v>76.18000000000001</v>
                </pt>
                <pt idx="4">
                  <v>74.93000000000001</v>
                </pt>
                <pt idx="5">
                  <v>71.27</v>
                </pt>
                <pt idx="6">
                  <v>62.25000000000001</v>
                </pt>
                <pt idx="7">
                  <v>56.64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PLOT!$C$4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PLOT!$D$4:$X$4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PLOT!$Y$4:$AS$4</f>
              <numCache>
                <formatCode>0.00</formatCode>
                <ptCount val="21"/>
                <pt idx="0">
                  <v>100</v>
                </pt>
                <pt idx="1">
                  <v>99.94499999999999</v>
                </pt>
                <pt idx="2">
                  <v>99.83</v>
                </pt>
                <pt idx="3">
                  <v>99.04000000000001</v>
                </pt>
                <pt idx="4">
                  <v>98.79000000000001</v>
                </pt>
                <pt idx="5">
                  <v>97.83499999999999</v>
                </pt>
                <pt idx="6">
                  <v>91.33</v>
                </pt>
                <pt idx="7">
                  <v>77.75999999999999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PLOT!$C$5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PLOT!$D$5:$X$5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PLOT!$Y$5:$AS$5</f>
              <numCache>
                <formatCode>0.00</formatCode>
                <ptCount val="21"/>
                <pt idx="0">
                  <v>100</v>
                </pt>
                <pt idx="1">
                  <v>99.58</v>
                </pt>
                <pt idx="2">
                  <v>97.13</v>
                </pt>
                <pt idx="3">
                  <v>73.50999999999999</v>
                </pt>
                <pt idx="4">
                  <v>70.86</v>
                </pt>
                <pt idx="5">
                  <v>65.43000000000001</v>
                </pt>
                <pt idx="6">
                  <v>44.22</v>
                </pt>
                <pt idx="7">
                  <v>32.27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PLOT!$C$6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PLOT!$D$6:$X$6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PLOT!$Y$6:$AS$6</f>
              <numCache>
                <formatCode>0.00</formatCode>
                <ptCount val="21"/>
                <pt idx="0">
                  <v>86.19</v>
                </pt>
                <pt idx="1">
                  <v>84.81999999999999</v>
                </pt>
                <pt idx="2">
                  <v>83.68000000000001</v>
                </pt>
                <pt idx="3">
                  <v>77.48999999999999</v>
                </pt>
                <pt idx="4">
                  <v>76.34</v>
                </pt>
                <pt idx="5">
                  <v>72.98</v>
                </pt>
                <pt idx="6">
                  <v>61.85000000000001</v>
                </pt>
                <pt idx="7">
                  <v>56.845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PLOT!$C$7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PLOT!$D$7:$X$7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PLOT!$Y$7:$AS$7</f>
              <numCache>
                <formatCode>0.00</formatCode>
                <ptCount val="21"/>
                <pt idx="0">
                  <v>100</v>
                </pt>
                <pt idx="1">
                  <v>99.14</v>
                </pt>
                <pt idx="2">
                  <v>95.04000000000001</v>
                </pt>
                <pt idx="3">
                  <v>57.47</v>
                </pt>
                <pt idx="4">
                  <v>53.83</v>
                </pt>
                <pt idx="5">
                  <v>48.27</v>
                </pt>
                <pt idx="6">
                  <v>34.36999999999999</v>
                </pt>
                <pt idx="7">
                  <v>25.41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PLOT!$C$8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PLOT!$D$8:$X$8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PLOT!$Y$8:$AS$8</f>
              <numCache>
                <formatCode>0.00</formatCode>
                <ptCount val="21"/>
                <pt idx="0">
                  <v>99.37</v>
                </pt>
                <pt idx="1">
                  <v>97.435</v>
                </pt>
                <pt idx="2">
                  <v>95.54000000000001</v>
                </pt>
                <pt idx="3">
                  <v>85.8</v>
                </pt>
                <pt idx="4">
                  <v>83.965</v>
                </pt>
                <pt idx="5">
                  <v>79.14</v>
                </pt>
                <pt idx="6">
                  <v>66.765</v>
                </pt>
                <pt idx="7">
                  <v>53.02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PLOT!$C$9</f>
              <strCache>
                <ptCount val="1"/>
                <pt idx="0">
                  <v>10.00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PLOT!$D$9:$X$9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PLOT!$Y$9:$AS$9</f>
              <numCache>
                <formatCode>0.00</formatCode>
                <ptCount val="21"/>
                <pt idx="0">
                  <v>98.16</v>
                </pt>
                <pt idx="1">
                  <v>97.25</v>
                </pt>
                <pt idx="2">
                  <v>94.44</v>
                </pt>
                <pt idx="3">
                  <v>77.94</v>
                </pt>
                <pt idx="4">
                  <v>69.72999999999999</v>
                </pt>
                <pt idx="5">
                  <v>41.69</v>
                </pt>
                <pt idx="6">
                  <v>20.19</v>
                </pt>
                <pt idx="7">
                  <v>16.52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PLOT!$C$10</f>
              <strCache>
                <ptCount val="1"/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PLOT!$D$10:$X$10</f>
              <numCache>
                <formatCode>0.000</formatCode>
                <ptCount val="21"/>
              </numCache>
            </numRef>
          </xVal>
          <yVal>
            <numRef>
              <f>PLOT!$Y$10:$AS$10</f>
              <numCache>
                <formatCode>0.00</formatCode>
                <ptCount val="21"/>
              </numCache>
            </numRef>
          </yVal>
          <smooth val="1"/>
        </ser>
        <ser>
          <idx val="8"/>
          <order val="8"/>
          <tx>
            <strRef>
              <f>PLOT!$C$11</f>
              <strCache>
                <ptCount val="1"/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PLOT!$D$11:$X$11</f>
              <numCache>
                <formatCode>0.000</formatCode>
                <ptCount val="21"/>
              </numCache>
            </numRef>
          </xVal>
          <yVal>
            <numRef>
              <f>PLOT!$Y$11:$AS$11</f>
              <numCache>
                <formatCode>0.00</formatCode>
                <ptCount val="21"/>
              </numCache>
            </numRef>
          </yVal>
          <smooth val="1"/>
        </ser>
        <ser>
          <idx val="9"/>
          <order val="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0.07369665640644198</v>
                </pt>
                <pt idx="9">
                  <formatCode>0.00000</formatCode>
                  <v>0.05211140549577015</v>
                </pt>
                <pt idx="10">
                  <formatCode>0.00000</formatCode>
                  <v>0.03684832820322099</v>
                </pt>
                <pt idx="11">
                  <formatCode>0.00000</formatCode>
                  <v>0.02659858819421742</v>
                </pt>
                <pt idx="12">
                  <formatCode>0.00000</formatCode>
                  <v>0.01961285266169755</v>
                </pt>
                <pt idx="13">
                  <formatCode>0.00000</formatCode>
                  <v>0.01432320242644932</v>
                </pt>
                <pt idx="14">
                  <formatCode>0.00000</formatCode>
                  <v>0.01003351287728084</v>
                </pt>
                <pt idx="15">
                  <formatCode>0.00000</formatCode>
                  <v>0.007094764994647833</v>
                </pt>
                <pt idx="16">
                  <formatCode>0.00000</formatCode>
                  <v>0.005064016782024962</v>
                </pt>
                <pt idx="17">
                  <formatCode>0.00000</formatCode>
                  <v>0.00358080060661233</v>
                </pt>
                <pt idx="18">
                  <formatCode>0.00000</formatCode>
                  <v>0.002532008391012481</v>
                </pt>
                <pt idx="19">
                  <formatCode>0.00000</formatCode>
                  <v>0.001790400303306165</v>
                </pt>
                <pt idx="20">
                  <formatCode>0.00000</formatCode>
                  <v>0.001475372460675063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94.34999999999999</v>
                </pt>
                <pt idx="1">
                  <v>92.015</v>
                </pt>
                <pt idx="2">
                  <v>91.395</v>
                </pt>
                <pt idx="3">
                  <v>90.075</v>
                </pt>
                <pt idx="4">
                  <v>85.40000000000001</v>
                </pt>
                <pt idx="5">
                  <v>79.09999999999999</v>
                </pt>
                <pt idx="6">
                  <v>63.33499999999999</v>
                </pt>
                <pt idx="7">
                  <v>59.35999999999999</v>
                </pt>
                <pt idx="8">
                  <v>22.7726270285786</v>
                </pt>
                <pt idx="9">
                  <v>22.7726270285786</v>
                </pt>
                <pt idx="10">
                  <v>22.7726270285786</v>
                </pt>
                <pt idx="11">
                  <v>15.97533517615595</v>
                </pt>
                <pt idx="12">
                  <v>15.97533517615595</v>
                </pt>
                <pt idx="13">
                  <v>15.97533517615595</v>
                </pt>
                <pt idx="14">
                  <v>19.37398110236766</v>
                </pt>
                <pt idx="15">
                  <v>19.37398110236766</v>
                </pt>
                <pt idx="16">
                  <v>15.97533517615595</v>
                </pt>
                <pt idx="17">
                  <v>15.97533517615595</v>
                </pt>
                <pt idx="18">
                  <v>15.97533517615595</v>
                </pt>
                <pt idx="19">
                  <v>15.97533517615595</v>
                </pt>
                <pt idx="20">
                  <v>12.57668924994501</v>
                </pt>
              </numCache>
            </numRef>
          </yVal>
          <smooth val="1"/>
        </ser>
        <ser>
          <idx val="10"/>
          <order val="1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0.06956567714302901</v>
                </pt>
                <pt idx="9">
                  <formatCode>0.00000</formatCode>
                  <v>0.04919036204566983</v>
                </pt>
                <pt idx="10">
                  <formatCode>0.00000</formatCode>
                  <v>0.03518036963388686</v>
                </pt>
                <pt idx="11">
                  <formatCode>0.00000</formatCode>
                  <v>0.0248762779327707</v>
                </pt>
                <pt idx="12">
                  <formatCode>0.00000</formatCode>
                  <v>0.0184255336791377</v>
                </pt>
                <pt idx="13">
                  <formatCode>0.00000</formatCode>
                  <v>0.01359320278143468</v>
                </pt>
                <pt idx="14">
                  <formatCode>0.00000</formatCode>
                  <v>0.009802852683101234</v>
                </pt>
                <pt idx="15">
                  <formatCode>0.00000</formatCode>
                  <v>0.006998217295339453</v>
                </pt>
                <pt idx="16">
                  <formatCode>0.00000</formatCode>
                  <v>0.004948486905751507</v>
                </pt>
                <pt idx="17">
                  <formatCode>0.00000</formatCode>
                  <v>0.003532071993259911</v>
                </pt>
                <pt idx="18">
                  <formatCode>0.00000</formatCode>
                  <v>0.002497552058073168</v>
                </pt>
                <pt idx="19">
                  <formatCode>0.00000</formatCode>
                  <v>0.001766035996629955</v>
                </pt>
                <pt idx="20">
                  <formatCode>0.00000</formatCode>
                  <v>0.001455295147781884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93.09</v>
                </pt>
                <pt idx="1">
                  <v>84.23</v>
                </pt>
                <pt idx="2">
                  <v>83.43000000000001</v>
                </pt>
                <pt idx="3">
                  <v>82.46000000000001</v>
                </pt>
                <pt idx="4">
                  <v>81.7</v>
                </pt>
                <pt idx="5">
                  <v>81.22</v>
                </pt>
                <pt idx="6">
                  <v>72.72999999999999</v>
                </pt>
                <pt idx="7">
                  <v>64.63</v>
                </pt>
                <pt idx="8">
                  <v>35.96265285576313</v>
                </pt>
                <pt idx="9">
                  <v>35.96265285576313</v>
                </pt>
                <pt idx="10">
                  <v>32.60181431029708</v>
                </pt>
                <pt idx="11">
                  <v>32.60181431029708</v>
                </pt>
                <pt idx="12">
                  <v>32.60181431029708</v>
                </pt>
                <pt idx="13">
                  <v>29.24097576483028</v>
                </pt>
                <pt idx="14">
                  <v>22.51929867389742</v>
                </pt>
                <pt idx="15">
                  <v>19.15846012843136</v>
                </pt>
                <pt idx="16">
                  <v>19.15846012843136</v>
                </pt>
                <pt idx="17">
                  <v>15.79762158296457</v>
                </pt>
                <pt idx="18">
                  <v>15.79762158296457</v>
                </pt>
                <pt idx="19">
                  <v>15.79762158296457</v>
                </pt>
                <pt idx="20">
                  <v>12.43678303749851</v>
                </pt>
              </numCache>
            </numRef>
          </yVal>
          <smooth val="1"/>
        </ser>
        <ser>
          <idx val="11"/>
          <order val="11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93.56</v>
                </pt>
                <pt idx="1">
                  <v>89.545</v>
                </pt>
                <pt idx="2">
                  <v>88.575</v>
                </pt>
                <pt idx="3">
                  <v>86.38500000000001</v>
                </pt>
                <pt idx="4">
                  <v>81.55500000000001</v>
                </pt>
                <pt idx="5">
                  <v>76.015</v>
                </pt>
                <pt idx="6">
                  <v>54.895</v>
                </pt>
                <pt idx="7">
                  <v>51.97999999999999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8"/>
          <order val="18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9"/>
          <order val="1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20"/>
          <order val="2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7766697543936233"/>
          <y val="0.5293844888138058"/>
          <w val="0.1670725533553155"/>
          <h val="0.314679879924192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29</col>
      <colOff>424253</colOff>
      <row>3</row>
      <rowOff>224960</rowOff>
    </from>
    <to>
      <col>44</col>
      <colOff>501540</colOff>
      <row>11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533400</colOff>
      <row>9</row>
      <rowOff>128587</rowOff>
    </from>
    <to>
      <col>20</col>
      <colOff>381000</colOff>
      <row>30</row>
      <rowOff>66675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51</col>
      <colOff>28575</colOff>
      <row>3</row>
      <rowOff>161925</rowOff>
    </from>
    <to>
      <col>66</col>
      <colOff>121143</colOff>
      <row>20</row>
      <rowOff>112346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C11"/>
  <sheetViews>
    <sheetView tabSelected="1" view="pageBreakPreview" zoomScale="130" zoomScaleNormal="85" zoomScaleSheetLayoutView="130" zoomScalePageLayoutView="85" workbookViewId="0">
      <selection activeCell="K3" sqref="K3"/>
    </sheetView>
  </sheetViews>
  <sheetFormatPr baseColWidth="8" defaultColWidth="9" defaultRowHeight="15"/>
  <cols>
    <col width="6.5703125" customWidth="1" style="1" min="1" max="1"/>
    <col width="4.85546875" customWidth="1" style="1" min="2" max="2"/>
    <col width="5.5703125" customWidth="1" style="1" min="3" max="4"/>
    <col width="7.7109375" customWidth="1" style="1" min="5" max="5"/>
    <col width="7.7109375" customWidth="1" style="12" min="6" max="6"/>
    <col width="9.7109375" customWidth="1" style="1" min="7" max="7"/>
    <col width="11.28515625" customWidth="1" style="1" min="8" max="8"/>
    <col width="13" customWidth="1" style="1" min="9" max="9"/>
    <col width="7.7109375" customWidth="1" style="1" min="10" max="18"/>
    <col width="9" customWidth="1" style="1" min="19" max="26"/>
    <col width="9" customWidth="1" style="1" min="27" max="16384"/>
  </cols>
  <sheetData>
    <row r="1" ht="25.15" customHeight="1" s="41">
      <c r="A1" s="57" t="inlineStr">
        <is>
          <t>Grain Size Analysis (Sieve Analysis)</t>
        </is>
      </c>
      <c r="B1" s="89" t="n"/>
      <c r="C1" s="89" t="n"/>
      <c r="D1" s="89" t="n"/>
      <c r="E1" s="89" t="n"/>
      <c r="F1" s="89" t="n"/>
      <c r="G1" s="89" t="n"/>
      <c r="H1" s="89" t="n"/>
      <c r="I1" s="89" t="n"/>
      <c r="J1" s="89" t="n"/>
      <c r="K1" s="89" t="n"/>
      <c r="L1" s="89" t="n"/>
      <c r="M1" s="89" t="n"/>
      <c r="N1" s="89" t="n"/>
      <c r="O1" s="89" t="n"/>
      <c r="P1" s="89" t="n"/>
      <c r="Q1" s="89" t="n"/>
      <c r="R1" s="89" t="n"/>
      <c r="S1" s="89" t="n"/>
      <c r="T1" s="89" t="n"/>
      <c r="U1" s="89" t="n"/>
      <c r="V1" s="89" t="n"/>
      <c r="W1" s="89" t="n"/>
      <c r="X1" s="89" t="n"/>
      <c r="Y1" s="89" t="n"/>
      <c r="Z1" s="89" t="n"/>
      <c r="AA1" s="89" t="n"/>
      <c r="AB1" s="89" t="n"/>
      <c r="AC1" s="89" t="n"/>
    </row>
    <row r="2" ht="24.6" customHeight="1" s="41">
      <c r="A2" s="90" t="inlineStr">
        <is>
          <t>Sr No.</t>
        </is>
      </c>
      <c r="B2" s="91" t="inlineStr">
        <is>
          <t>BH ID</t>
        </is>
      </c>
      <c r="C2" s="91" t="inlineStr">
        <is>
          <t>Chainage</t>
        </is>
      </c>
      <c r="D2" s="91" t="inlineStr">
        <is>
          <t>Sample ID</t>
        </is>
      </c>
      <c r="E2" s="64" t="inlineStr">
        <is>
          <t>Sample Type</t>
        </is>
      </c>
      <c r="F2" s="64" t="inlineStr">
        <is>
          <t>Depth</t>
        </is>
      </c>
      <c r="G2" s="64" t="inlineStr">
        <is>
          <t>Container No.</t>
        </is>
      </c>
      <c r="H2" s="64" t="inlineStr">
        <is>
          <t>Weight of Sample taken for Sieve Analysis</t>
        </is>
      </c>
      <c r="I2" s="92" t="inlineStr">
        <is>
          <t>Weight of Sample Remain after washing through 75µ sieve</t>
        </is>
      </c>
      <c r="J2" s="68" t="inlineStr">
        <is>
          <t>Weight Retained on IS Sieve</t>
        </is>
      </c>
      <c r="K2" s="93" t="n"/>
      <c r="L2" s="93" t="n"/>
      <c r="M2" s="93" t="n"/>
      <c r="N2" s="93" t="n"/>
      <c r="O2" s="93" t="n"/>
      <c r="P2" s="93" t="n"/>
      <c r="Q2" s="93" t="n"/>
      <c r="R2" s="94" t="n"/>
      <c r="S2" s="68" t="inlineStr">
        <is>
          <t>% Passing</t>
        </is>
      </c>
      <c r="T2" s="93" t="n"/>
      <c r="U2" s="93" t="n"/>
      <c r="V2" s="93" t="n"/>
      <c r="W2" s="93" t="n"/>
      <c r="X2" s="93" t="n"/>
      <c r="Y2" s="93" t="n"/>
      <c r="Z2" s="94" t="n"/>
      <c r="AA2" s="67" t="inlineStr">
        <is>
          <t xml:space="preserve">Gravel </t>
        </is>
      </c>
      <c r="AB2" s="67" t="inlineStr">
        <is>
          <t>Sand</t>
        </is>
      </c>
      <c r="AC2" s="67" t="inlineStr">
        <is>
          <t>Fines</t>
        </is>
      </c>
    </row>
    <row r="3" ht="40.5" customHeight="1" s="41">
      <c r="A3" s="95" t="n"/>
      <c r="B3" s="95" t="n"/>
      <c r="C3" s="95" t="n"/>
      <c r="D3" s="95" t="n"/>
      <c r="E3" s="96" t="n"/>
      <c r="F3" s="96" t="n"/>
      <c r="G3" s="96" t="n"/>
      <c r="H3" s="96" t="n"/>
      <c r="I3" s="97" t="n"/>
      <c r="J3" s="66" t="n">
        <v>4.75</v>
      </c>
      <c r="K3" s="3" t="n">
        <v>2</v>
      </c>
      <c r="L3" s="3" t="n">
        <v>1.18</v>
      </c>
      <c r="M3" s="98" t="n">
        <v>0.6</v>
      </c>
      <c r="N3" s="66" t="n">
        <v>0.425</v>
      </c>
      <c r="O3" s="98" t="n">
        <v>0.3</v>
      </c>
      <c r="P3" s="98" t="n">
        <v>0.15</v>
      </c>
      <c r="Q3" s="66" t="n">
        <v>0.075</v>
      </c>
      <c r="R3" s="66" t="inlineStr">
        <is>
          <t>Pan</t>
        </is>
      </c>
      <c r="S3" s="64" t="n">
        <v>4.75</v>
      </c>
      <c r="T3" s="6" t="n">
        <v>2</v>
      </c>
      <c r="U3" s="6" t="n">
        <v>1.18</v>
      </c>
      <c r="V3" s="99" t="n">
        <v>0.6</v>
      </c>
      <c r="W3" s="64" t="n">
        <v>0.425</v>
      </c>
      <c r="X3" s="99" t="n">
        <v>0.3</v>
      </c>
      <c r="Y3" s="99" t="n">
        <v>0.15</v>
      </c>
      <c r="Z3" s="99" t="n">
        <v>0.075</v>
      </c>
      <c r="AA3" s="96" t="n"/>
      <c r="AB3" s="96" t="n"/>
      <c r="AC3" s="96" t="n"/>
    </row>
    <row r="4" ht="21.6" customHeight="1" s="41">
      <c r="A4" s="97" t="n"/>
      <c r="B4" s="97" t="n"/>
      <c r="C4" s="97" t="n"/>
      <c r="D4" s="97" t="n"/>
      <c r="E4" s="66" t="inlineStr">
        <is>
          <t>-</t>
        </is>
      </c>
      <c r="F4" s="68" t="inlineStr">
        <is>
          <t>(m)</t>
        </is>
      </c>
      <c r="G4" s="68" t="inlineStr">
        <is>
          <t>-</t>
        </is>
      </c>
      <c r="H4" s="68" t="inlineStr">
        <is>
          <t>(gm)</t>
        </is>
      </c>
      <c r="I4" s="68" t="inlineStr">
        <is>
          <t>(gm)</t>
        </is>
      </c>
      <c r="J4" s="68" t="inlineStr">
        <is>
          <t>(gm)</t>
        </is>
      </c>
      <c r="K4" s="93" t="n"/>
      <c r="L4" s="93" t="n"/>
      <c r="M4" s="93" t="n"/>
      <c r="N4" s="93" t="n"/>
      <c r="O4" s="93" t="n"/>
      <c r="P4" s="93" t="n"/>
      <c r="Q4" s="93" t="n"/>
      <c r="R4" s="94" t="n"/>
      <c r="S4" s="68" t="inlineStr">
        <is>
          <t>(gm)</t>
        </is>
      </c>
      <c r="T4" s="93" t="n"/>
      <c r="U4" s="93" t="n"/>
      <c r="V4" s="93" t="n"/>
      <c r="W4" s="93" t="n"/>
      <c r="X4" s="93" t="n"/>
      <c r="Y4" s="93" t="n"/>
      <c r="Z4" s="94" t="n"/>
      <c r="AA4" s="69" t="inlineStr">
        <is>
          <t>%</t>
        </is>
      </c>
      <c r="AB4" s="93" t="n"/>
      <c r="AC4" s="94" t="n"/>
    </row>
    <row r="5" ht="30" customHeight="1" s="41">
      <c r="A5" s="69" t="n">
        <v>1</v>
      </c>
      <c r="B5" s="71" t="inlineStr">
        <is>
          <t>SHBH-12</t>
        </is>
      </c>
      <c r="C5" s="71" t="n"/>
      <c r="D5" s="72" t="n"/>
      <c r="E5" s="47" t="inlineStr">
        <is>
          <t>SPT</t>
        </is>
      </c>
      <c r="F5" s="43" t="n">
        <v>0.5</v>
      </c>
      <c r="G5" s="47" t="inlineStr">
        <is>
          <t>A075</t>
        </is>
      </c>
      <c r="H5" s="72" t="n">
        <v>100</v>
      </c>
      <c r="I5" s="43">
        <f>H5-SUM(J5:Q5)</f>
        <v/>
      </c>
      <c r="J5" s="43" t="n">
        <v>7.08</v>
      </c>
      <c r="K5" s="43" t="n">
        <v>4.06</v>
      </c>
      <c r="L5" s="43" t="n">
        <v>4.23</v>
      </c>
      <c r="M5" s="43" t="n">
        <v>8.449999999999999</v>
      </c>
      <c r="N5" s="43" t="n">
        <v>1.25</v>
      </c>
      <c r="O5" s="43" t="n">
        <v>3.66</v>
      </c>
      <c r="P5" s="43" t="n">
        <v>9.02</v>
      </c>
      <c r="Q5" s="43" t="n">
        <v>5.61</v>
      </c>
      <c r="R5" s="44" t="n"/>
      <c r="S5" s="11">
        <f>((H5-(SUM(J5)))/H5)*100</f>
        <v/>
      </c>
      <c r="T5" s="11">
        <f>((H5-(SUM(J5:K5)))/H5)*100</f>
        <v/>
      </c>
      <c r="U5" s="11">
        <f>((H5-(SUM(J5:L5)))/H5)*100</f>
        <v/>
      </c>
      <c r="V5" s="11">
        <f>((H5-(SUM(J5:M5)))/H5)*100</f>
        <v/>
      </c>
      <c r="W5" s="11">
        <f>((H5-(SUM(J5:N5)))/H5)*100</f>
        <v/>
      </c>
      <c r="X5" s="11">
        <f>((H5-(SUM(J5:O5)))/H5)*100</f>
        <v/>
      </c>
      <c r="Y5" s="11">
        <f>((H5-(SUM(J5:P5)))/H5)*100</f>
        <v/>
      </c>
      <c r="Z5" s="11">
        <f>((H5-(SUM(J5:Q5)))/H5)*100</f>
        <v/>
      </c>
      <c r="AA5" s="11">
        <f>100-S5</f>
        <v/>
      </c>
      <c r="AB5" s="11">
        <f>S5-Z5</f>
        <v/>
      </c>
      <c r="AC5" s="11">
        <f>Z5</f>
        <v/>
      </c>
    </row>
    <row r="6" ht="30" customHeight="1" s="41">
      <c r="A6" s="69" t="n">
        <v>2</v>
      </c>
      <c r="B6" s="100" t="n"/>
      <c r="C6" s="100" t="n"/>
      <c r="D6" s="100" t="n"/>
      <c r="E6" s="47" t="inlineStr">
        <is>
          <t>UDS</t>
        </is>
      </c>
      <c r="F6" s="43" t="n">
        <v>1.5</v>
      </c>
      <c r="G6" s="47" t="inlineStr">
        <is>
          <t>A148</t>
        </is>
      </c>
      <c r="H6" s="72" t="n">
        <v>200</v>
      </c>
      <c r="I6" s="43">
        <f>H6-SUM(J6:Q6)</f>
        <v/>
      </c>
      <c r="J6" s="43" t="n">
        <v>0</v>
      </c>
      <c r="K6" s="43" t="n">
        <v>0.11</v>
      </c>
      <c r="L6" s="43" t="n">
        <v>0.23</v>
      </c>
      <c r="M6" s="43" t="n">
        <v>1.58</v>
      </c>
      <c r="N6" s="43" t="n">
        <v>0.5</v>
      </c>
      <c r="O6" s="43" t="n">
        <v>1.91</v>
      </c>
      <c r="P6" s="43" t="n">
        <v>13.01</v>
      </c>
      <c r="Q6" s="43" t="n">
        <v>27.14</v>
      </c>
      <c r="R6" s="44" t="n"/>
      <c r="S6" s="11">
        <f>((H6-(SUM(J6)))/H6)*100</f>
        <v/>
      </c>
      <c r="T6" s="11">
        <f>((H6-(SUM(J6:K6)))/H6)*100</f>
        <v/>
      </c>
      <c r="U6" s="11">
        <f>((H6-(SUM(J6:L6)))/H6)*100</f>
        <v/>
      </c>
      <c r="V6" s="11">
        <f>((H6-(SUM(J6:M6)))/H6)*100</f>
        <v/>
      </c>
      <c r="W6" s="11">
        <f>((H6-(SUM(J6:N6)))/H6)*100</f>
        <v/>
      </c>
      <c r="X6" s="11">
        <f>((H6-(SUM(J6:O6)))/H6)*100</f>
        <v/>
      </c>
      <c r="Y6" s="11">
        <f>((H6-(SUM(J6:P6)))/H6)*100</f>
        <v/>
      </c>
      <c r="Z6" s="11">
        <f>((H6-(SUM(J6:Q6)))/H6)*100</f>
        <v/>
      </c>
      <c r="AA6" s="11">
        <f>100-S6</f>
        <v/>
      </c>
      <c r="AB6" s="11">
        <f>S6-Z6</f>
        <v/>
      </c>
      <c r="AC6" s="11">
        <f>Z6</f>
        <v/>
      </c>
    </row>
    <row r="7" ht="30" customHeight="1" s="41">
      <c r="A7" s="69" t="n">
        <v>3</v>
      </c>
      <c r="B7" s="100" t="n"/>
      <c r="C7" s="100" t="n"/>
      <c r="D7" s="100" t="n"/>
      <c r="E7" s="47" t="inlineStr">
        <is>
          <t>SPT</t>
        </is>
      </c>
      <c r="F7" s="56" t="n">
        <v>3.5</v>
      </c>
      <c r="G7" s="47" t="inlineStr">
        <is>
          <t>A127</t>
        </is>
      </c>
      <c r="H7" s="72" t="n">
        <v>100</v>
      </c>
      <c r="I7" s="43">
        <f>H7-SUM(J7:Q7)</f>
        <v/>
      </c>
      <c r="J7" s="43" t="n">
        <v>0</v>
      </c>
      <c r="K7" s="43" t="n">
        <v>0.42</v>
      </c>
      <c r="L7" s="43" t="n">
        <v>2.45</v>
      </c>
      <c r="M7" s="43" t="n">
        <v>23.62</v>
      </c>
      <c r="N7" s="43" t="n">
        <v>2.65</v>
      </c>
      <c r="O7" s="43" t="n">
        <v>5.43</v>
      </c>
      <c r="P7" s="43" t="n">
        <v>21.21</v>
      </c>
      <c r="Q7" s="43" t="n">
        <v>11.95</v>
      </c>
      <c r="R7" s="44" t="n"/>
      <c r="S7" s="11">
        <f>((H7-(SUM(J7)))/H7)*100</f>
        <v/>
      </c>
      <c r="T7" s="11">
        <f>((H7-(SUM(J7:K7)))/H7)*100</f>
        <v/>
      </c>
      <c r="U7" s="11">
        <f>((H7-(SUM(J7:L7)))/H7)*100</f>
        <v/>
      </c>
      <c r="V7" s="11">
        <f>((H7-(SUM(J7:M7)))/H7)*100</f>
        <v/>
      </c>
      <c r="W7" s="11">
        <f>((H7-(SUM(J7:N7)))/H7)*100</f>
        <v/>
      </c>
      <c r="X7" s="11">
        <f>((H7-(SUM(J7:O7)))/H7)*100</f>
        <v/>
      </c>
      <c r="Y7" s="11">
        <f>((H7-(SUM(J7:P7)))/H7)*100</f>
        <v/>
      </c>
      <c r="Z7" s="11">
        <f>((H7-(SUM(J7:Q7)))/H7)*100</f>
        <v/>
      </c>
      <c r="AA7" s="11">
        <f>100-S7</f>
        <v/>
      </c>
      <c r="AB7" s="11">
        <f>S7-Z7</f>
        <v/>
      </c>
      <c r="AC7" s="11">
        <f>Z7</f>
        <v/>
      </c>
    </row>
    <row r="8" ht="30" customHeight="1" s="41">
      <c r="A8" s="69" t="n">
        <v>4</v>
      </c>
      <c r="B8" s="100" t="n"/>
      <c r="C8" s="100" t="n"/>
      <c r="D8" s="100" t="n"/>
      <c r="E8" s="47" t="inlineStr">
        <is>
          <t>UDS</t>
        </is>
      </c>
      <c r="F8" s="43" t="n">
        <v>4.5</v>
      </c>
      <c r="G8" s="47" t="inlineStr">
        <is>
          <t>A130</t>
        </is>
      </c>
      <c r="H8" s="72" t="n">
        <v>200</v>
      </c>
      <c r="I8" s="43">
        <f>H8-SUM(J8:Q8)</f>
        <v/>
      </c>
      <c r="J8" s="43" t="n">
        <v>27.62</v>
      </c>
      <c r="K8" s="43" t="n">
        <v>2.74</v>
      </c>
      <c r="L8" s="43" t="n">
        <v>2.28</v>
      </c>
      <c r="M8" s="43" t="n">
        <v>12.38</v>
      </c>
      <c r="N8" s="56" t="n">
        <v>2.3</v>
      </c>
      <c r="O8" s="43" t="n">
        <v>6.72</v>
      </c>
      <c r="P8" s="43" t="n">
        <v>22.26</v>
      </c>
      <c r="Q8" s="43" t="n">
        <v>10.01</v>
      </c>
      <c r="R8" s="44" t="n"/>
      <c r="S8" s="11">
        <f>((H8-(SUM(J8)))/H8)*100</f>
        <v/>
      </c>
      <c r="T8" s="11">
        <f>((H8-(SUM(J8:K8)))/H8)*100</f>
        <v/>
      </c>
      <c r="U8" s="11">
        <f>((H8-(SUM(J8:L8)))/H8)*100</f>
        <v/>
      </c>
      <c r="V8" s="11">
        <f>((H8-(SUM(J8:M8)))/H8)*100</f>
        <v/>
      </c>
      <c r="W8" s="11">
        <f>((H8-(SUM(J8:N8)))/H8)*100</f>
        <v/>
      </c>
      <c r="X8" s="11">
        <f>((H8-(SUM(J8:O8)))/H8)*100</f>
        <v/>
      </c>
      <c r="Y8" s="11">
        <f>((H8-(SUM(J8:P8)))/H8)*100</f>
        <v/>
      </c>
      <c r="Z8" s="11">
        <f>((H8-(SUM(J8:Q8)))/H8)*100</f>
        <v/>
      </c>
      <c r="AA8" s="11">
        <f>100-S8</f>
        <v/>
      </c>
      <c r="AB8" s="11">
        <f>S8-Z8</f>
        <v/>
      </c>
      <c r="AC8" s="11">
        <f>Z8</f>
        <v/>
      </c>
    </row>
    <row r="9" ht="30" customHeight="1" s="41">
      <c r="A9" s="69" t="n">
        <v>5</v>
      </c>
      <c r="B9" s="100" t="n"/>
      <c r="C9" s="100" t="n"/>
      <c r="D9" s="100" t="n"/>
      <c r="E9" s="47" t="inlineStr">
        <is>
          <t>SPT</t>
        </is>
      </c>
      <c r="F9" s="43" t="n">
        <v>6.5</v>
      </c>
      <c r="G9" s="47" t="inlineStr">
        <is>
          <t>A037</t>
        </is>
      </c>
      <c r="H9" s="72" t="n">
        <v>100</v>
      </c>
      <c r="I9" s="43">
        <f>H9-SUM(J9:Q9)</f>
        <v/>
      </c>
      <c r="J9" s="43" t="n">
        <v>0</v>
      </c>
      <c r="K9" s="43" t="n">
        <v>0.86</v>
      </c>
      <c r="L9" s="43" t="n">
        <v>4.1</v>
      </c>
      <c r="M9" s="43" t="n">
        <v>37.57</v>
      </c>
      <c r="N9" s="43" t="n">
        <v>3.64</v>
      </c>
      <c r="O9" s="43" t="n">
        <v>5.56</v>
      </c>
      <c r="P9" s="43" t="n">
        <v>13.9</v>
      </c>
      <c r="Q9" s="43" t="n">
        <v>8.960000000000001</v>
      </c>
      <c r="R9" s="44" t="n"/>
      <c r="S9" s="11">
        <f>((H9-(SUM(J9)))/H9)*100</f>
        <v/>
      </c>
      <c r="T9" s="11">
        <f>((H9-(SUM(J9:K9)))/H9)*100</f>
        <v/>
      </c>
      <c r="U9" s="11">
        <f>((H9-(SUM(J9:L9)))/H9)*100</f>
        <v/>
      </c>
      <c r="V9" s="11">
        <f>((H9-(SUM(J9:M9)))/H9)*100</f>
        <v/>
      </c>
      <c r="W9" s="11">
        <f>((H9-(SUM(J9:N9)))/H9)*100</f>
        <v/>
      </c>
      <c r="X9" s="11">
        <f>((H9-(SUM(J9:O9)))/H9)*100</f>
        <v/>
      </c>
      <c r="Y9" s="11">
        <f>((H9-(SUM(J9:P9)))/H9)*100</f>
        <v/>
      </c>
      <c r="Z9" s="11">
        <f>((H9-(SUM(J9:Q9)))/H9)*100</f>
        <v/>
      </c>
      <c r="AA9" s="11">
        <f>100-S9</f>
        <v/>
      </c>
      <c r="AB9" s="11">
        <f>S9-Z9</f>
        <v/>
      </c>
      <c r="AC9" s="11">
        <f>Z9</f>
        <v/>
      </c>
    </row>
    <row r="10" ht="30" customFormat="1" customHeight="1" s="34">
      <c r="A10" s="42" t="n"/>
      <c r="B10" s="100" t="n"/>
      <c r="C10" s="100" t="n"/>
      <c r="D10" s="100" t="n"/>
      <c r="E10" s="47" t="inlineStr">
        <is>
          <t>UDS</t>
        </is>
      </c>
      <c r="F10" s="43" t="n">
        <v>7.5</v>
      </c>
      <c r="G10" s="47" t="inlineStr">
        <is>
          <t>A055</t>
        </is>
      </c>
      <c r="H10" s="72" t="n">
        <v>200</v>
      </c>
      <c r="I10" s="43">
        <f>H10-SUM(J10:Q10)</f>
        <v/>
      </c>
      <c r="J10" s="43" t="n">
        <v>1.26</v>
      </c>
      <c r="K10" s="43" t="n">
        <v>3.87</v>
      </c>
      <c r="L10" s="43" t="n">
        <v>3.79</v>
      </c>
      <c r="M10" s="43" t="n">
        <v>19.48</v>
      </c>
      <c r="N10" s="43" t="n">
        <v>3.67</v>
      </c>
      <c r="O10" s="43" t="n">
        <v>9.65</v>
      </c>
      <c r="P10" s="43" t="n">
        <v>24.75</v>
      </c>
      <c r="Q10" s="43" t="n">
        <v>27.49</v>
      </c>
      <c r="R10" s="44" t="n"/>
      <c r="S10" s="45">
        <f>((H10-(SUM(J10)))/H10)*100</f>
        <v/>
      </c>
      <c r="T10" s="45">
        <f>((H10-(SUM(J10:K10)))/H10)*100</f>
        <v/>
      </c>
      <c r="U10" s="45">
        <f>((H10-(SUM(J10:L10)))/H10)*100</f>
        <v/>
      </c>
      <c r="V10" s="45">
        <f>((H10-(SUM(J10:M10)))/H10)*100</f>
        <v/>
      </c>
      <c r="W10" s="45">
        <f>((H10-(SUM(J10:N10)))/H10)*100</f>
        <v/>
      </c>
      <c r="X10" s="45">
        <f>((H10-(SUM(J10:O10)))/H10)*100</f>
        <v/>
      </c>
      <c r="Y10" s="45">
        <f>((H10-(SUM(J10:P10)))/H10)*100</f>
        <v/>
      </c>
      <c r="Z10" s="45">
        <f>((H10-(SUM(J10:Q10)))/H10)*100</f>
        <v/>
      </c>
      <c r="AA10" s="45">
        <f>100-S10</f>
        <v/>
      </c>
      <c r="AB10" s="45">
        <f>S10-Z10</f>
        <v/>
      </c>
      <c r="AC10" s="45">
        <f>Z10</f>
        <v/>
      </c>
    </row>
    <row r="11" ht="30" customHeight="1" s="41">
      <c r="A11" s="69" t="n">
        <v>7</v>
      </c>
      <c r="B11" s="96" t="n"/>
      <c r="C11" s="96" t="n"/>
      <c r="D11" s="96" t="n"/>
      <c r="E11" s="47" t="inlineStr">
        <is>
          <t>SPT</t>
        </is>
      </c>
      <c r="F11" s="43" t="n">
        <v>10</v>
      </c>
      <c r="G11" s="47" t="inlineStr">
        <is>
          <t>A150</t>
        </is>
      </c>
      <c r="H11" s="72" t="n">
        <v>100</v>
      </c>
      <c r="I11" s="43">
        <f>H11-SUM(J11:Q11)</f>
        <v/>
      </c>
      <c r="J11" s="43" t="n">
        <v>1.84</v>
      </c>
      <c r="K11" s="43" t="n">
        <v>0.91</v>
      </c>
      <c r="L11" s="43" t="n">
        <v>2.81</v>
      </c>
      <c r="M11" s="43" t="n">
        <v>16.5</v>
      </c>
      <c r="N11" s="43" t="n">
        <v>8.210000000000001</v>
      </c>
      <c r="O11" s="43" t="n">
        <v>28.04</v>
      </c>
      <c r="P11" s="43" t="n">
        <v>21.5</v>
      </c>
      <c r="Q11" s="43" t="n">
        <v>3.67</v>
      </c>
      <c r="R11" s="44" t="n"/>
      <c r="S11" s="11">
        <f>((H11-(SUM(J11)))/H11)*100</f>
        <v/>
      </c>
      <c r="T11" s="11">
        <f>((H11-(SUM(J11:K11)))/H11)*100</f>
        <v/>
      </c>
      <c r="U11" s="11">
        <f>((H11-(SUM(J11:L11)))/H11)*100</f>
        <v/>
      </c>
      <c r="V11" s="11">
        <f>((H11-(SUM(J11:M11)))/H11)*100</f>
        <v/>
      </c>
      <c r="W11" s="11">
        <f>((H11-(SUM(J11:N11)))/H11)*100</f>
        <v/>
      </c>
      <c r="X11" s="11">
        <f>((H11-(SUM(J11:O11)))/H11)*100</f>
        <v/>
      </c>
      <c r="Y11" s="11">
        <f>((H11-(SUM(J11:P11)))/H11)*100</f>
        <v/>
      </c>
      <c r="Z11" s="11">
        <f>((H11-(SUM(J11:Q11)))/H11)*100</f>
        <v/>
      </c>
      <c r="AA11" s="11">
        <f>100-S11</f>
        <v/>
      </c>
      <c r="AB11" s="11">
        <f>S11-Z11</f>
        <v/>
      </c>
      <c r="AC11" s="11">
        <f>Z11</f>
        <v/>
      </c>
    </row>
  </sheetData>
  <mergeCells count="21">
    <mergeCell ref="A2:A4"/>
    <mergeCell ref="C2:C4"/>
    <mergeCell ref="AA4:AC4"/>
    <mergeCell ref="F2:F3"/>
    <mergeCell ref="H2:H3"/>
    <mergeCell ref="J4:R4"/>
    <mergeCell ref="B5:B11"/>
    <mergeCell ref="D5:D11"/>
    <mergeCell ref="A1:AC1"/>
    <mergeCell ref="S2:Z2"/>
    <mergeCell ref="AB2:AB3"/>
    <mergeCell ref="E2:E3"/>
    <mergeCell ref="J2:R2"/>
    <mergeCell ref="I2:I3"/>
    <mergeCell ref="AA2:AA3"/>
    <mergeCell ref="B2:B4"/>
    <mergeCell ref="AC2:AC3"/>
    <mergeCell ref="D2:D4"/>
    <mergeCell ref="C5:C11"/>
    <mergeCell ref="G2:G3"/>
    <mergeCell ref="S4:Z4"/>
  </mergeCells>
  <printOptions horizontalCentered="1"/>
  <pageMargins left="0" right="0" top="0.03937007874015748" bottom="0" header="0.1968503937007874" footer="0.1968503937007874"/>
  <pageSetup orientation="portrait" paperSize="9" scale="4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8">
    <outlinePr summaryBelow="1" summaryRight="1"/>
    <pageSetUpPr/>
  </sheetPr>
  <dimension ref="A1:BA11"/>
  <sheetViews>
    <sheetView zoomScale="145" zoomScaleNormal="145" zoomScaleSheetLayoutView="145" workbookViewId="0">
      <selection activeCell="C13" sqref="C13"/>
    </sheetView>
  </sheetViews>
  <sheetFormatPr baseColWidth="8" defaultRowHeight="15"/>
  <cols>
    <col width="9.7109375" customWidth="1" style="41" min="5" max="12"/>
    <col width="9.7109375" bestFit="1" customWidth="1" style="41" min="13" max="36"/>
    <col width="9.7109375" bestFit="1" customWidth="1" style="41" min="39" max="49"/>
    <col width="10.5703125" bestFit="1" customWidth="1" style="41" min="50" max="50"/>
  </cols>
  <sheetData>
    <row r="1">
      <c r="A1" s="101" t="inlineStr">
        <is>
          <t>Sr No.</t>
        </is>
      </c>
      <c r="B1" s="102" t="inlineStr">
        <is>
          <t>BH ID</t>
        </is>
      </c>
      <c r="C1" s="102" t="inlineStr">
        <is>
          <t>Depth</t>
        </is>
      </c>
      <c r="D1" s="101" t="inlineStr">
        <is>
          <t>Sample Type</t>
        </is>
      </c>
      <c r="E1" s="101" t="inlineStr">
        <is>
          <t xml:space="preserve">Temperature </t>
        </is>
      </c>
      <c r="F1" s="101" t="inlineStr">
        <is>
          <t xml:space="preserve">Coefficent of Viscosity </t>
        </is>
      </c>
      <c r="G1" s="101" t="inlineStr">
        <is>
          <t>SPGR</t>
        </is>
      </c>
      <c r="H1" s="101" t="inlineStr">
        <is>
          <t xml:space="preserve"> Meniscus Correction (Cm)</t>
        </is>
      </c>
      <c r="I1" s="82" t="inlineStr">
        <is>
          <t>Hydrometer No.</t>
        </is>
      </c>
      <c r="J1" s="101" t="inlineStr">
        <is>
          <t>Cylinder Type</t>
        </is>
      </c>
      <c r="K1" s="101" t="inlineStr">
        <is>
          <t>Mt (temperature correction)</t>
        </is>
      </c>
      <c r="L1" s="101" t="inlineStr">
        <is>
          <t>X (dispersion correction)</t>
        </is>
      </c>
      <c r="M1" s="80" t="inlineStr">
        <is>
          <t xml:space="preserve"> Hydrometer Reading at Elapsed Time (min)</t>
        </is>
      </c>
      <c r="N1" s="93" t="n"/>
      <c r="O1" s="93" t="n"/>
      <c r="P1" s="93" t="n"/>
      <c r="Q1" s="93" t="n"/>
      <c r="R1" s="93" t="n"/>
      <c r="S1" s="93" t="n"/>
      <c r="T1" s="93" t="n"/>
      <c r="U1" s="93" t="n"/>
      <c r="V1" s="93" t="n"/>
      <c r="W1" s="93" t="n"/>
      <c r="X1" s="93" t="n"/>
      <c r="Y1" s="94" t="n"/>
      <c r="Z1" s="80" t="inlineStr">
        <is>
          <t>Diameter of the particle at Elapsed Time</t>
        </is>
      </c>
      <c r="AA1" s="93" t="n"/>
      <c r="AB1" s="93" t="n"/>
      <c r="AC1" s="93" t="n"/>
      <c r="AD1" s="93" t="n"/>
      <c r="AE1" s="93" t="n"/>
      <c r="AF1" s="93" t="n"/>
      <c r="AG1" s="93" t="n"/>
      <c r="AH1" s="93" t="n"/>
      <c r="AI1" s="93" t="n"/>
      <c r="AJ1" s="93" t="n"/>
      <c r="AK1" s="93" t="n"/>
      <c r="AL1" s="94" t="n"/>
      <c r="AM1" s="81" t="inlineStr">
        <is>
          <t>Percentge finer than Diameter of the particle at Elapsed Time</t>
        </is>
      </c>
      <c r="AN1" s="93" t="n"/>
      <c r="AO1" s="93" t="n"/>
      <c r="AP1" s="93" t="n"/>
      <c r="AQ1" s="93" t="n"/>
      <c r="AR1" s="93" t="n"/>
      <c r="AS1" s="93" t="n"/>
      <c r="AT1" s="93" t="n"/>
      <c r="AU1" s="93" t="n"/>
      <c r="AV1" s="93" t="n"/>
      <c r="AW1" s="93" t="n"/>
      <c r="AX1" s="93" t="n"/>
      <c r="AY1" s="94" t="n"/>
      <c r="AZ1" s="22" t="n"/>
      <c r="BA1" s="22" t="n"/>
    </row>
    <row r="2">
      <c r="A2" s="95" t="n"/>
      <c r="B2" s="95" t="n"/>
      <c r="C2" s="95" t="n"/>
      <c r="D2" s="95" t="n"/>
      <c r="E2" s="95" t="n"/>
      <c r="F2" s="95" t="n"/>
      <c r="G2" s="95" t="n"/>
      <c r="H2" s="95" t="n"/>
      <c r="I2" s="100" t="n"/>
      <c r="J2" s="95" t="n"/>
      <c r="K2" s="95" t="n"/>
      <c r="L2" s="95" t="n"/>
      <c r="M2" s="103" t="n">
        <v>0.5</v>
      </c>
      <c r="N2" s="79" t="n">
        <v>1</v>
      </c>
      <c r="O2" s="79" t="n">
        <v>2</v>
      </c>
      <c r="P2" s="79" t="n">
        <v>4</v>
      </c>
      <c r="Q2" s="79" t="n">
        <v>8</v>
      </c>
      <c r="R2" s="79" t="n">
        <v>15</v>
      </c>
      <c r="S2" s="79" t="n">
        <v>30</v>
      </c>
      <c r="T2" s="79" t="n">
        <v>60</v>
      </c>
      <c r="U2" s="79" t="n">
        <v>120</v>
      </c>
      <c r="V2" s="79" t="n">
        <v>240</v>
      </c>
      <c r="W2" s="79" t="n">
        <v>480</v>
      </c>
      <c r="X2" s="79" t="n">
        <v>960</v>
      </c>
      <c r="Y2" s="79" t="n">
        <v>1440</v>
      </c>
      <c r="Z2" s="103" t="n">
        <v>0.5</v>
      </c>
      <c r="AA2" s="79" t="n">
        <v>1</v>
      </c>
      <c r="AB2" s="79" t="n">
        <v>2</v>
      </c>
      <c r="AC2" s="79" t="n">
        <v>4</v>
      </c>
      <c r="AD2" s="79" t="n">
        <v>8</v>
      </c>
      <c r="AE2" s="79" t="n">
        <v>15</v>
      </c>
      <c r="AF2" s="79" t="n">
        <v>30</v>
      </c>
      <c r="AG2" s="79" t="n">
        <v>60</v>
      </c>
      <c r="AH2" s="79" t="n">
        <v>120</v>
      </c>
      <c r="AI2" s="79" t="n">
        <v>240</v>
      </c>
      <c r="AJ2" s="79" t="n">
        <v>480</v>
      </c>
      <c r="AK2" s="79" t="n">
        <v>960</v>
      </c>
      <c r="AL2" s="79" t="n">
        <v>1440</v>
      </c>
      <c r="AM2" s="103" t="n">
        <v>0.5</v>
      </c>
      <c r="AN2" s="79" t="n">
        <v>1</v>
      </c>
      <c r="AO2" s="79" t="n">
        <v>2</v>
      </c>
      <c r="AP2" s="79" t="n">
        <v>4</v>
      </c>
      <c r="AQ2" s="79" t="n">
        <v>8</v>
      </c>
      <c r="AR2" s="79" t="n">
        <v>15</v>
      </c>
      <c r="AS2" s="79" t="n">
        <v>30</v>
      </c>
      <c r="AT2" s="79" t="n">
        <v>60</v>
      </c>
      <c r="AU2" s="79" t="n">
        <v>120</v>
      </c>
      <c r="AV2" s="79" t="n">
        <v>240</v>
      </c>
      <c r="AW2" s="79" t="n">
        <v>480</v>
      </c>
      <c r="AX2" s="79" t="n">
        <v>960</v>
      </c>
      <c r="AY2" s="79" t="n">
        <v>1440</v>
      </c>
      <c r="AZ2" s="22" t="n"/>
      <c r="BA2" s="22" t="n"/>
    </row>
    <row r="3">
      <c r="A3" s="95" t="n"/>
      <c r="B3" s="95" t="n"/>
      <c r="C3" s="95" t="n"/>
      <c r="D3" s="97" t="n"/>
      <c r="E3" s="97" t="n"/>
      <c r="F3" s="97" t="n"/>
      <c r="G3" s="97" t="n"/>
      <c r="H3" s="97" t="n"/>
      <c r="I3" s="96" t="n"/>
      <c r="J3" s="97" t="n"/>
      <c r="K3" s="97" t="n"/>
      <c r="L3" s="97" t="n"/>
      <c r="M3" s="96" t="n"/>
      <c r="N3" s="96" t="n"/>
      <c r="O3" s="96" t="n"/>
      <c r="P3" s="96" t="n"/>
      <c r="Q3" s="96" t="n"/>
      <c r="R3" s="96" t="n"/>
      <c r="S3" s="96" t="n"/>
      <c r="T3" s="96" t="n"/>
      <c r="U3" s="96" t="n"/>
      <c r="V3" s="96" t="n"/>
      <c r="W3" s="96" t="n"/>
      <c r="X3" s="96" t="n"/>
      <c r="Y3" s="96" t="n"/>
      <c r="Z3" s="96" t="n"/>
      <c r="AA3" s="96" t="n"/>
      <c r="AB3" s="96" t="n"/>
      <c r="AC3" s="96" t="n"/>
      <c r="AD3" s="96" t="n"/>
      <c r="AE3" s="96" t="n"/>
      <c r="AF3" s="96" t="n"/>
      <c r="AG3" s="96" t="n"/>
      <c r="AH3" s="96" t="n"/>
      <c r="AI3" s="96" t="n"/>
      <c r="AJ3" s="96" t="n"/>
      <c r="AK3" s="96" t="n"/>
      <c r="AL3" s="96" t="n"/>
      <c r="AM3" s="96" t="n"/>
      <c r="AN3" s="96" t="n"/>
      <c r="AO3" s="96" t="n"/>
      <c r="AP3" s="96" t="n"/>
      <c r="AQ3" s="96" t="n"/>
      <c r="AR3" s="96" t="n"/>
      <c r="AS3" s="96" t="n"/>
      <c r="AT3" s="96" t="n"/>
      <c r="AU3" s="96" t="n"/>
      <c r="AV3" s="96" t="n"/>
      <c r="AW3" s="96" t="n"/>
      <c r="AX3" s="96" t="n"/>
      <c r="AY3" s="96" t="n"/>
      <c r="AZ3" s="22" t="n"/>
      <c r="BA3" s="22" t="n"/>
    </row>
    <row r="4">
      <c r="A4" s="97" t="n"/>
      <c r="B4" s="97" t="n"/>
      <c r="C4" s="97" t="n"/>
      <c r="D4" s="75" t="inlineStr">
        <is>
          <t>-</t>
        </is>
      </c>
      <c r="E4" s="75" t="inlineStr">
        <is>
          <t>(°C)</t>
        </is>
      </c>
      <c r="F4" s="75" t="inlineStr">
        <is>
          <t>Poise</t>
        </is>
      </c>
      <c r="G4" s="75" t="inlineStr">
        <is>
          <t>-</t>
        </is>
      </c>
      <c r="H4" s="75" t="inlineStr">
        <is>
          <t>-</t>
        </is>
      </c>
      <c r="I4" s="82" t="inlineStr">
        <is>
          <t>-</t>
        </is>
      </c>
      <c r="J4" s="84" t="n"/>
      <c r="K4" s="84" t="inlineStr">
        <is>
          <t>-</t>
        </is>
      </c>
      <c r="L4" s="84" t="inlineStr">
        <is>
          <t>-</t>
        </is>
      </c>
      <c r="M4" s="82" t="n"/>
      <c r="N4" s="93" t="n"/>
      <c r="O4" s="93" t="n"/>
      <c r="P4" s="93" t="n"/>
      <c r="Q4" s="93" t="n"/>
      <c r="R4" s="93" t="n"/>
      <c r="S4" s="93" t="n"/>
      <c r="T4" s="93" t="n"/>
      <c r="U4" s="93" t="n"/>
      <c r="V4" s="93" t="n"/>
      <c r="W4" s="93" t="n"/>
      <c r="X4" s="93" t="n"/>
      <c r="Y4" s="94" t="n"/>
      <c r="Z4" s="82" t="inlineStr">
        <is>
          <t>(mm)</t>
        </is>
      </c>
      <c r="AA4" s="93" t="n"/>
      <c r="AB4" s="93" t="n"/>
      <c r="AC4" s="93" t="n"/>
      <c r="AD4" s="93" t="n"/>
      <c r="AE4" s="93" t="n"/>
      <c r="AF4" s="93" t="n"/>
      <c r="AG4" s="93" t="n"/>
      <c r="AH4" s="93" t="n"/>
      <c r="AI4" s="93" t="n"/>
      <c r="AJ4" s="93" t="n"/>
      <c r="AK4" s="93" t="n"/>
      <c r="AL4" s="94" t="n"/>
      <c r="AM4" s="82" t="inlineStr">
        <is>
          <t>(%)</t>
        </is>
      </c>
      <c r="AN4" s="93" t="n"/>
      <c r="AO4" s="93" t="n"/>
      <c r="AP4" s="93" t="n"/>
      <c r="AQ4" s="93" t="n"/>
      <c r="AR4" s="93" t="n"/>
      <c r="AS4" s="93" t="n"/>
      <c r="AT4" s="93" t="n"/>
      <c r="AU4" s="93" t="n"/>
      <c r="AV4" s="93" t="n"/>
      <c r="AW4" s="93" t="n"/>
      <c r="AX4" s="93" t="n"/>
      <c r="AY4" s="94" t="n"/>
      <c r="AZ4" s="20" t="n"/>
      <c r="BA4" s="20" t="n"/>
    </row>
    <row r="5">
      <c r="A5" s="35" t="n">
        <v>1</v>
      </c>
      <c r="B5" s="35">
        <f>GSD!B5</f>
        <v/>
      </c>
      <c r="C5" s="32">
        <f>GSD!F5</f>
        <v/>
      </c>
      <c r="D5" s="35">
        <f>GSD!E5</f>
        <v/>
      </c>
      <c r="E5" s="36" t="n">
        <v>27</v>
      </c>
      <c r="F5" s="104" t="n">
        <v>0.008559421270000001</v>
      </c>
      <c r="G5" s="105" t="n">
        <v>2.68</v>
      </c>
      <c r="H5" s="35" t="n">
        <v>0.0005</v>
      </c>
      <c r="I5" s="35" t="n">
        <v>1</v>
      </c>
      <c r="J5" s="35" t="n">
        <v>2</v>
      </c>
      <c r="K5" s="36" t="n">
        <v>0</v>
      </c>
      <c r="L5" s="35" t="n">
        <v>0.3</v>
      </c>
      <c r="M5" s="105" t="n">
        <v>1.018</v>
      </c>
      <c r="N5" s="105" t="n">
        <v>1.018</v>
      </c>
      <c r="O5" s="105" t="n">
        <v>1.017</v>
      </c>
      <c r="P5" s="105" t="n">
        <v>1.017</v>
      </c>
      <c r="Q5" s="105" t="n">
        <v>1.016</v>
      </c>
      <c r="R5" s="105" t="n">
        <v>1.015</v>
      </c>
      <c r="S5" s="105" t="n">
        <v>1.014</v>
      </c>
      <c r="T5" s="105" t="n">
        <v>1.013</v>
      </c>
      <c r="U5" s="105" t="n">
        <v>1.013</v>
      </c>
      <c r="V5" s="105" t="n">
        <v>1.011</v>
      </c>
      <c r="W5" s="105" t="n">
        <v>1.01</v>
      </c>
      <c r="X5" s="105" t="n">
        <v>1.01</v>
      </c>
      <c r="Y5" s="105" t="n">
        <v>1.01</v>
      </c>
      <c r="Z5" s="31" t="n"/>
      <c r="AA5" s="31" t="n"/>
      <c r="AB5" s="31" t="n"/>
      <c r="AC5" s="31" t="n"/>
      <c r="AD5" s="31" t="n"/>
      <c r="AE5" s="31" t="n"/>
      <c r="AF5" s="31" t="n"/>
      <c r="AG5" s="31" t="n"/>
      <c r="AH5" s="31" t="n"/>
      <c r="AI5" s="31" t="n"/>
      <c r="AJ5" s="31" t="n"/>
      <c r="AK5" s="31" t="n"/>
      <c r="AL5" s="31" t="n"/>
      <c r="AM5" s="32" t="n"/>
      <c r="AN5" s="32" t="n"/>
      <c r="AO5" s="32" t="n"/>
      <c r="AP5" s="32" t="n"/>
      <c r="AQ5" s="32" t="n"/>
      <c r="AR5" s="32" t="n"/>
      <c r="AS5" s="32" t="n"/>
      <c r="AT5" s="32" t="n"/>
      <c r="AU5" s="32" t="n"/>
      <c r="AV5" s="32" t="n"/>
      <c r="AW5" s="32" t="n"/>
      <c r="AX5" s="32" t="n"/>
      <c r="AY5" s="32" t="n"/>
      <c r="AZ5" s="40" t="n"/>
      <c r="BA5" s="40" t="n"/>
    </row>
    <row r="6">
      <c r="A6" s="35" t="n">
        <v>2</v>
      </c>
      <c r="B6" s="35">
        <f>B5</f>
        <v/>
      </c>
      <c r="C6" s="32">
        <f>GSD!F6</f>
        <v/>
      </c>
      <c r="D6" s="35">
        <f>GSD!E6</f>
        <v/>
      </c>
      <c r="E6" s="36" t="n">
        <v>27</v>
      </c>
      <c r="F6" s="104" t="n">
        <v>0.008559421270000001</v>
      </c>
      <c r="G6" s="105" t="n">
        <v>2.71</v>
      </c>
      <c r="H6" s="35" t="n">
        <v>0.0005</v>
      </c>
      <c r="I6" s="35" t="n">
        <v>1</v>
      </c>
      <c r="J6" s="35" t="n">
        <v>2</v>
      </c>
      <c r="K6" s="36" t="n">
        <v>0</v>
      </c>
      <c r="L6" s="35" t="n">
        <v>0.3</v>
      </c>
      <c r="M6" s="105" t="n">
        <v>1.025</v>
      </c>
      <c r="N6" s="105" t="n">
        <v>1.024</v>
      </c>
      <c r="O6" s="105" t="n">
        <v>1.023</v>
      </c>
      <c r="P6" s="105" t="n">
        <v>1.022</v>
      </c>
      <c r="Q6" s="105" t="n">
        <v>1.022</v>
      </c>
      <c r="R6" s="105" t="n">
        <v>1.021</v>
      </c>
      <c r="S6" s="105" t="n">
        <v>1.02</v>
      </c>
      <c r="T6" s="105" t="n">
        <v>1.018</v>
      </c>
      <c r="U6" s="105" t="n">
        <v>1.017</v>
      </c>
      <c r="V6" s="105" t="n">
        <v>1.016</v>
      </c>
      <c r="W6" s="105" t="n">
        <v>1.014</v>
      </c>
      <c r="X6" s="105" t="n">
        <v>1.014</v>
      </c>
      <c r="Y6" s="105" t="n">
        <v>1.014</v>
      </c>
      <c r="Z6" s="31" t="n"/>
      <c r="AA6" s="31" t="n"/>
      <c r="AB6" s="31" t="n"/>
      <c r="AC6" s="31" t="n"/>
      <c r="AD6" s="31" t="n"/>
      <c r="AE6" s="31" t="n"/>
      <c r="AF6" s="31" t="n"/>
      <c r="AG6" s="31" t="n"/>
      <c r="AH6" s="31" t="n"/>
      <c r="AI6" s="31" t="n"/>
      <c r="AJ6" s="31" t="n"/>
      <c r="AK6" s="31" t="n"/>
      <c r="AL6" s="31" t="n"/>
      <c r="AM6" s="32" t="n"/>
      <c r="AN6" s="32" t="n"/>
      <c r="AO6" s="32" t="n"/>
      <c r="AP6" s="32" t="n"/>
      <c r="AQ6" s="32" t="n"/>
      <c r="AR6" s="32" t="n"/>
      <c r="AS6" s="32" t="n"/>
      <c r="AT6" s="32" t="n"/>
      <c r="AU6" s="32" t="n"/>
      <c r="AV6" s="32" t="n"/>
      <c r="AW6" s="32" t="n"/>
      <c r="AX6" s="32" t="n"/>
      <c r="AY6" s="32" t="n"/>
      <c r="AZ6" s="40" t="n"/>
      <c r="BA6" s="40" t="n"/>
    </row>
    <row r="7">
      <c r="A7" s="35" t="n">
        <v>3</v>
      </c>
      <c r="B7" s="35">
        <f>B6</f>
        <v/>
      </c>
      <c r="C7" s="32">
        <f>GSD!F7</f>
        <v/>
      </c>
      <c r="D7" s="35">
        <f>GSD!E7</f>
        <v/>
      </c>
      <c r="E7" s="36" t="n">
        <v>27</v>
      </c>
      <c r="F7" s="104" t="n">
        <v>0.008559421270000001</v>
      </c>
      <c r="G7" s="105" t="n">
        <v>2.67</v>
      </c>
      <c r="H7" s="35" t="n">
        <v>0.0005</v>
      </c>
      <c r="I7" s="35" t="n">
        <v>1</v>
      </c>
      <c r="J7" s="35" t="n">
        <v>2</v>
      </c>
      <c r="K7" s="36" t="n">
        <v>0</v>
      </c>
      <c r="L7" s="35" t="n">
        <v>0.3</v>
      </c>
      <c r="M7" s="105" t="n">
        <v>1.01</v>
      </c>
      <c r="N7" s="105" t="n">
        <v>1.01</v>
      </c>
      <c r="O7" s="105" t="n">
        <v>1.01</v>
      </c>
      <c r="P7" s="105" t="n">
        <v>1.01</v>
      </c>
      <c r="Q7" s="105" t="n">
        <v>1.009</v>
      </c>
      <c r="R7" s="105" t="n">
        <v>1.009</v>
      </c>
      <c r="S7" s="105" t="n">
        <v>1.008</v>
      </c>
      <c r="T7" s="105" t="n">
        <v>1.008</v>
      </c>
      <c r="U7" s="105" t="n">
        <v>1.007</v>
      </c>
      <c r="V7" s="105" t="n">
        <v>1.007</v>
      </c>
      <c r="W7" s="105" t="n">
        <v>1.006</v>
      </c>
      <c r="X7" s="105" t="n">
        <v>1.006</v>
      </c>
      <c r="Y7" s="105" t="n">
        <v>1.006</v>
      </c>
      <c r="Z7" s="31" t="n"/>
      <c r="AA7" s="31" t="n"/>
      <c r="AB7" s="31" t="n"/>
      <c r="AC7" s="31" t="n"/>
      <c r="AD7" s="31" t="n"/>
      <c r="AE7" s="31" t="n"/>
      <c r="AF7" s="31" t="n"/>
      <c r="AG7" s="31" t="n"/>
      <c r="AH7" s="31" t="n"/>
      <c r="AI7" s="31" t="n"/>
      <c r="AJ7" s="31" t="n"/>
      <c r="AK7" s="31" t="n"/>
      <c r="AL7" s="31" t="n"/>
      <c r="AM7" s="32" t="n"/>
      <c r="AN7" s="32" t="n"/>
      <c r="AO7" s="32" t="n"/>
      <c r="AP7" s="32" t="n"/>
      <c r="AQ7" s="32" t="n"/>
      <c r="AR7" s="32" t="n"/>
      <c r="AS7" s="32" t="n"/>
      <c r="AT7" s="32" t="n"/>
      <c r="AU7" s="32" t="n"/>
      <c r="AV7" s="32" t="n"/>
      <c r="AW7" s="32" t="n"/>
      <c r="AX7" s="32" t="n"/>
      <c r="AY7" s="32" t="n"/>
      <c r="AZ7" s="40" t="n"/>
      <c r="BA7" s="40" t="n"/>
    </row>
    <row r="8">
      <c r="A8" s="35" t="n">
        <v>4</v>
      </c>
      <c r="B8" s="35">
        <f>B7</f>
        <v/>
      </c>
      <c r="C8" s="32">
        <f>GSD!F8</f>
        <v/>
      </c>
      <c r="D8" s="35">
        <f>GSD!E8</f>
        <v/>
      </c>
      <c r="E8" s="36" t="n">
        <v>27</v>
      </c>
      <c r="F8" s="104" t="n">
        <v>0.008559421270000001</v>
      </c>
      <c r="G8" s="105" t="n">
        <v>2.69</v>
      </c>
      <c r="H8" s="35" t="n">
        <v>0.0005</v>
      </c>
      <c r="I8" s="35" t="n">
        <v>2</v>
      </c>
      <c r="J8" s="35" t="n">
        <v>1</v>
      </c>
      <c r="K8" s="36" t="n">
        <v>0</v>
      </c>
      <c r="L8" s="35" t="n">
        <v>0.3</v>
      </c>
      <c r="M8" s="105" t="n">
        <v>1.018</v>
      </c>
      <c r="N8" s="105" t="n">
        <v>1.018</v>
      </c>
      <c r="O8" s="105" t="n">
        <v>1.017</v>
      </c>
      <c r="P8" s="105" t="n">
        <v>1.017</v>
      </c>
      <c r="Q8" s="105" t="n">
        <v>1.016</v>
      </c>
      <c r="R8" s="105" t="n">
        <v>1.015</v>
      </c>
      <c r="S8" s="105" t="n">
        <v>1.014</v>
      </c>
      <c r="T8" s="105" t="n">
        <v>1.013</v>
      </c>
      <c r="U8" s="105" t="n">
        <v>1.013</v>
      </c>
      <c r="V8" s="105" t="n">
        <v>1.011</v>
      </c>
      <c r="W8" s="105" t="n">
        <v>1.01</v>
      </c>
      <c r="X8" s="105" t="n">
        <v>1.01</v>
      </c>
      <c r="Y8" s="105" t="n">
        <v>1.01</v>
      </c>
      <c r="Z8" s="31" t="n"/>
      <c r="AA8" s="31" t="n"/>
      <c r="AB8" s="31" t="n"/>
      <c r="AC8" s="31" t="n"/>
      <c r="AD8" s="31" t="n"/>
      <c r="AE8" s="31" t="n"/>
      <c r="AF8" s="31" t="n"/>
      <c r="AG8" s="31" t="n"/>
      <c r="AH8" s="31" t="n"/>
      <c r="AI8" s="31" t="n"/>
      <c r="AJ8" s="31" t="n"/>
      <c r="AK8" s="31" t="n"/>
      <c r="AL8" s="31" t="n"/>
      <c r="AM8" s="32" t="n"/>
      <c r="AN8" s="32" t="n"/>
      <c r="AO8" s="32" t="n"/>
      <c r="AP8" s="32" t="n"/>
      <c r="AQ8" s="32" t="n"/>
      <c r="AR8" s="32" t="n"/>
      <c r="AS8" s="32" t="n"/>
      <c r="AT8" s="32" t="n"/>
      <c r="AU8" s="32" t="n"/>
      <c r="AV8" s="32" t="n"/>
      <c r="AW8" s="32" t="n"/>
      <c r="AX8" s="32" t="n"/>
      <c r="AY8" s="32" t="n"/>
      <c r="AZ8" s="40" t="n"/>
      <c r="BA8" s="40" t="n"/>
    </row>
    <row r="9">
      <c r="A9" s="35" t="n">
        <v>5</v>
      </c>
      <c r="B9" s="35">
        <f>B8</f>
        <v/>
      </c>
      <c r="C9" s="32">
        <f>GSD!F9</f>
        <v/>
      </c>
      <c r="D9" s="35">
        <f>GSD!E9</f>
        <v/>
      </c>
      <c r="E9" s="36" t="n">
        <v>27</v>
      </c>
      <c r="F9" s="104" t="n">
        <v>0.008559421270000001</v>
      </c>
      <c r="G9" s="105" t="n">
        <v>2.66</v>
      </c>
      <c r="H9" s="35" t="n">
        <v>0.0005</v>
      </c>
      <c r="I9" s="35" t="n">
        <v>2</v>
      </c>
      <c r="J9" s="35" t="n">
        <v>1</v>
      </c>
      <c r="K9" s="36" t="n">
        <v>0</v>
      </c>
      <c r="L9" s="35" t="n">
        <v>0.3</v>
      </c>
      <c r="M9" s="105" t="n">
        <v>1.008</v>
      </c>
      <c r="N9" s="105" t="n">
        <v>1.008</v>
      </c>
      <c r="O9" s="105" t="n">
        <v>1.008</v>
      </c>
      <c r="P9" s="105" t="n">
        <v>1.008</v>
      </c>
      <c r="Q9" s="105" t="n">
        <v>1.007</v>
      </c>
      <c r="R9" s="105" t="n">
        <v>1.007</v>
      </c>
      <c r="S9" s="105" t="n">
        <v>1.007</v>
      </c>
      <c r="T9" s="105" t="n">
        <v>1.006</v>
      </c>
      <c r="U9" s="105" t="n">
        <v>1.006</v>
      </c>
      <c r="V9" s="105" t="n">
        <v>1.005</v>
      </c>
      <c r="W9" s="105" t="n">
        <v>1.005</v>
      </c>
      <c r="X9" s="105" t="n">
        <v>1.005</v>
      </c>
      <c r="Y9" s="105" t="n">
        <v>1.005</v>
      </c>
      <c r="Z9" s="31" t="n"/>
      <c r="AA9" s="31" t="n"/>
      <c r="AB9" s="31" t="n"/>
      <c r="AC9" s="31" t="n"/>
      <c r="AD9" s="31" t="n"/>
      <c r="AE9" s="31" t="n"/>
      <c r="AF9" s="31" t="n"/>
      <c r="AG9" s="31" t="n"/>
      <c r="AH9" s="31" t="n"/>
      <c r="AI9" s="31" t="n"/>
      <c r="AJ9" s="31" t="n"/>
      <c r="AK9" s="31" t="n"/>
      <c r="AL9" s="31" t="n"/>
      <c r="AM9" s="32" t="n"/>
      <c r="AN9" s="32" t="n"/>
      <c r="AO9" s="32" t="n"/>
      <c r="AP9" s="32" t="n"/>
      <c r="AQ9" s="32" t="n"/>
      <c r="AR9" s="32" t="n"/>
      <c r="AS9" s="32" t="n"/>
      <c r="AT9" s="32" t="n"/>
      <c r="AU9" s="32" t="n"/>
      <c r="AV9" s="32" t="n"/>
      <c r="AW9" s="32" t="n"/>
      <c r="AX9" s="32" t="n"/>
      <c r="AY9" s="32" t="n"/>
      <c r="AZ9" s="40" t="n"/>
      <c r="BA9" s="40" t="n"/>
    </row>
    <row r="10" s="41">
      <c r="A10" s="35" t="n">
        <v>6</v>
      </c>
      <c r="B10" s="35">
        <f>B9</f>
        <v/>
      </c>
      <c r="C10" s="36">
        <f>GSD!F10</f>
        <v/>
      </c>
      <c r="D10" s="35">
        <f>GSD!E10</f>
        <v/>
      </c>
      <c r="E10" s="36" t="n">
        <v>27</v>
      </c>
      <c r="F10" s="104" t="n">
        <v>0.008559421270000001</v>
      </c>
      <c r="G10" s="105" t="n">
        <v>2.68</v>
      </c>
      <c r="H10" s="35" t="n">
        <v>0.0005</v>
      </c>
      <c r="I10" s="35" t="n">
        <v>2</v>
      </c>
      <c r="J10" s="35" t="n">
        <v>1</v>
      </c>
      <c r="K10" s="36" t="n">
        <v>0</v>
      </c>
      <c r="L10" s="35" t="n">
        <v>0.3</v>
      </c>
      <c r="M10" s="105" t="n">
        <v>1.017</v>
      </c>
      <c r="N10" s="105" t="n">
        <v>1.017</v>
      </c>
      <c r="O10" s="105" t="n">
        <v>1.016</v>
      </c>
      <c r="P10" s="105" t="n">
        <v>1.016</v>
      </c>
      <c r="Q10" s="105" t="n">
        <v>1.015</v>
      </c>
      <c r="R10" s="105" t="n">
        <v>1.014</v>
      </c>
      <c r="S10" s="105" t="n">
        <v>1.014</v>
      </c>
      <c r="T10" s="105" t="n">
        <v>1.013</v>
      </c>
      <c r="U10" s="105" t="n">
        <v>1.012</v>
      </c>
      <c r="V10" s="105" t="n">
        <v>1.011</v>
      </c>
      <c r="W10" s="105" t="n">
        <v>1.01</v>
      </c>
      <c r="X10" s="105" t="n">
        <v>1.01</v>
      </c>
      <c r="Y10" s="105" t="n">
        <v>1.01</v>
      </c>
      <c r="Z10" s="39" t="n"/>
      <c r="AA10" s="39" t="n"/>
      <c r="AB10" s="39" t="n"/>
      <c r="AC10" s="39" t="n"/>
      <c r="AD10" s="39" t="n"/>
      <c r="AE10" s="39" t="n"/>
      <c r="AF10" s="39" t="n"/>
      <c r="AG10" s="39" t="n"/>
      <c r="AH10" s="39" t="n"/>
      <c r="AI10" s="39" t="n"/>
      <c r="AJ10" s="39" t="n"/>
      <c r="AK10" s="39" t="n"/>
      <c r="AL10" s="39" t="n"/>
      <c r="AM10" s="36" t="n"/>
      <c r="AN10" s="36" t="n"/>
      <c r="AO10" s="36" t="n"/>
      <c r="AP10" s="36" t="n"/>
      <c r="AQ10" s="36" t="n"/>
      <c r="AR10" s="36" t="n"/>
      <c r="AS10" s="36" t="n"/>
      <c r="AT10" s="36" t="n"/>
      <c r="AU10" s="36" t="n"/>
      <c r="AV10" s="36" t="n"/>
      <c r="AW10" s="36" t="n"/>
      <c r="AX10" s="36" t="n"/>
      <c r="AY10" s="36" t="n"/>
      <c r="AZ10" s="40" t="n"/>
      <c r="BA10" s="40" t="n"/>
    </row>
    <row r="11" s="41">
      <c r="A11" s="35" t="n">
        <v>7</v>
      </c>
      <c r="B11" s="35">
        <f>B10</f>
        <v/>
      </c>
      <c r="C11" s="36">
        <f>GSD!F11</f>
        <v/>
      </c>
      <c r="D11" s="35">
        <f>GSD!E11</f>
        <v/>
      </c>
      <c r="E11" s="36" t="n">
        <v>27</v>
      </c>
      <c r="F11" s="104">
        <f>(0.000000002615*E11^4) - (0.00000030607*E11^3) + (0.000016427499*E11^2) - (0.000618546309*E11) + 0.017919182437</f>
        <v/>
      </c>
      <c r="G11" s="105" t="n"/>
      <c r="H11" s="35" t="n">
        <v>0.0005</v>
      </c>
      <c r="I11" s="35" t="n">
        <v>1</v>
      </c>
      <c r="J11" s="35" t="n">
        <v>2</v>
      </c>
      <c r="K11" s="36">
        <f>(E11-27)*0.25</f>
        <v/>
      </c>
      <c r="L11" s="35" t="n">
        <v>0.3</v>
      </c>
      <c r="M11" s="105" t="n"/>
      <c r="N11" s="105" t="n"/>
      <c r="O11" s="105" t="n"/>
      <c r="P11" s="105" t="n"/>
      <c r="Q11" s="105" t="n"/>
      <c r="R11" s="105" t="n"/>
      <c r="S11" s="105" t="n"/>
      <c r="T11" s="105" t="n"/>
      <c r="U11" s="105" t="n"/>
      <c r="V11" s="105" t="n"/>
      <c r="W11" s="105" t="n"/>
      <c r="X11" s="105" t="n"/>
      <c r="Y11" s="105" t="n"/>
      <c r="Z11" s="39" t="n"/>
      <c r="AA11" s="39" t="n"/>
      <c r="AB11" s="39" t="n"/>
      <c r="AC11" s="39" t="n"/>
      <c r="AD11" s="39" t="n"/>
      <c r="AE11" s="39" t="n"/>
      <c r="AF11" s="39" t="n"/>
      <c r="AG11" s="39" t="n"/>
      <c r="AH11" s="39" t="n"/>
      <c r="AI11" s="39" t="n"/>
      <c r="AJ11" s="39" t="n"/>
      <c r="AK11" s="39" t="n"/>
      <c r="AL11" s="39" t="n"/>
      <c r="AM11" s="36" t="n"/>
      <c r="AN11" s="36" t="n"/>
      <c r="AO11" s="36" t="n"/>
      <c r="AP11" s="36" t="n"/>
      <c r="AQ11" s="36" t="n"/>
      <c r="AR11" s="36" t="n"/>
      <c r="AS11" s="36" t="n"/>
      <c r="AT11" s="36" t="n"/>
      <c r="AU11" s="36" t="n"/>
      <c r="AV11" s="36" t="n"/>
      <c r="AW11" s="36" t="n"/>
      <c r="AX11" s="36" t="n"/>
      <c r="AY11" s="36" t="n"/>
      <c r="AZ11" s="40" t="n"/>
      <c r="BA11" s="40" t="n"/>
    </row>
  </sheetData>
  <mergeCells count="57">
    <mergeCell ref="G1:G3"/>
    <mergeCell ref="AM4:AY4"/>
    <mergeCell ref="M2:M3"/>
    <mergeCell ref="Z4:AL4"/>
    <mergeCell ref="A1:A4"/>
    <mergeCell ref="N2:N3"/>
    <mergeCell ref="U2:U3"/>
    <mergeCell ref="AE2:AE3"/>
    <mergeCell ref="AG2:AG3"/>
    <mergeCell ref="AV2:AV3"/>
    <mergeCell ref="AX2:AX3"/>
    <mergeCell ref="I1:I3"/>
    <mergeCell ref="P2:P3"/>
    <mergeCell ref="Y2:Y3"/>
    <mergeCell ref="AQ2:AQ3"/>
    <mergeCell ref="Z1:AL1"/>
    <mergeCell ref="AS2:AS3"/>
    <mergeCell ref="D1:D3"/>
    <mergeCell ref="F1:F3"/>
    <mergeCell ref="M4:Y4"/>
    <mergeCell ref="Z2:Z3"/>
    <mergeCell ref="AB2:AB3"/>
    <mergeCell ref="T2:T3"/>
    <mergeCell ref="AD2:AD3"/>
    <mergeCell ref="AF2:AF3"/>
    <mergeCell ref="B1:B4"/>
    <mergeCell ref="AJ2:AJ3"/>
    <mergeCell ref="AY2:AY3"/>
    <mergeCell ref="AN2:AN3"/>
    <mergeCell ref="AH2:AH3"/>
    <mergeCell ref="W2:W3"/>
    <mergeCell ref="AP2:AP3"/>
    <mergeCell ref="J1:J3"/>
    <mergeCell ref="K1:K3"/>
    <mergeCell ref="H1:H3"/>
    <mergeCell ref="M1:Y1"/>
    <mergeCell ref="O2:O3"/>
    <mergeCell ref="AR2:AR3"/>
    <mergeCell ref="AA2:AA3"/>
    <mergeCell ref="Q2:Q3"/>
    <mergeCell ref="AT2:AT3"/>
    <mergeCell ref="AI2:AI3"/>
    <mergeCell ref="AC2:AC3"/>
    <mergeCell ref="R2:R3"/>
    <mergeCell ref="AK2:AK3"/>
    <mergeCell ref="E1:E3"/>
    <mergeCell ref="AM2:AM3"/>
    <mergeCell ref="AO2:AO3"/>
    <mergeCell ref="AU2:AU3"/>
    <mergeCell ref="AW2:AW3"/>
    <mergeCell ref="C1:C4"/>
    <mergeCell ref="AM1:AY1"/>
    <mergeCell ref="V2:V3"/>
    <mergeCell ref="X2:X3"/>
    <mergeCell ref="S2:S3"/>
    <mergeCell ref="L1:L3"/>
    <mergeCell ref="AL2:AL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F41"/>
  <sheetViews>
    <sheetView zoomScale="145" zoomScaleNormal="145" workbookViewId="0">
      <selection activeCell="C27" sqref="C27"/>
    </sheetView>
  </sheetViews>
  <sheetFormatPr baseColWidth="8" defaultRowHeight="15"/>
  <sheetData>
    <row r="1" ht="30" customHeight="1" s="41">
      <c r="A1" s="17" t="inlineStr">
        <is>
          <t>Temperature (°C)</t>
        </is>
      </c>
      <c r="B1" s="17" t="inlineStr">
        <is>
          <t>Viscosity (mP)</t>
        </is>
      </c>
      <c r="C1" s="17" t="inlineStr">
        <is>
          <t>Viscosity (P)</t>
        </is>
      </c>
    </row>
    <row r="2">
      <c r="A2" s="16" t="n">
        <v>0</v>
      </c>
      <c r="B2" s="16" t="n">
        <v>17.94</v>
      </c>
      <c r="C2" s="16" t="n">
        <v>0.01794</v>
      </c>
      <c r="D2" s="53">
        <f>-((10^-7)*(A2^3))+((10^-5)*(A2^2))-(0.0006*A2)+0.0178</f>
        <v/>
      </c>
      <c r="E2">
        <f>C2-D2</f>
        <v/>
      </c>
      <c r="F2" s="19">
        <f>E2/D2</f>
        <v/>
      </c>
    </row>
    <row r="3">
      <c r="A3" s="16" t="n">
        <v>1</v>
      </c>
      <c r="B3" s="16" t="n">
        <v>17.32</v>
      </c>
      <c r="C3" s="16" t="n">
        <v>0.01732</v>
      </c>
      <c r="D3" s="53">
        <f>-((10^-7)*(A3^3))+((10^-5)*(A3^2))-(0.0006*A3)+0.0178</f>
        <v/>
      </c>
      <c r="E3">
        <f>C3-D3</f>
        <v/>
      </c>
      <c r="F3" s="19">
        <f>E3/D3</f>
        <v/>
      </c>
    </row>
    <row r="4">
      <c r="A4" s="16" t="n">
        <v>2</v>
      </c>
      <c r="B4" s="16" t="n">
        <v>16.74</v>
      </c>
      <c r="C4" s="16" t="n">
        <v>0.01674</v>
      </c>
      <c r="D4" s="53">
        <f>-((10^-7)*(A4^3))+((10^-5)*(A4^2))-(0.0006*A4)+0.0178</f>
        <v/>
      </c>
      <c r="E4">
        <f>C4-D4</f>
        <v/>
      </c>
      <c r="F4" s="19">
        <f>E4/D4</f>
        <v/>
      </c>
    </row>
    <row r="5">
      <c r="A5" s="16" t="n">
        <v>3</v>
      </c>
      <c r="B5" s="16" t="n">
        <v>16.19</v>
      </c>
      <c r="C5" s="16" t="n">
        <v>0.01619</v>
      </c>
      <c r="D5" s="53">
        <f>-((10^-7)*(A5^3))+((10^-5)*(A5^2))-(0.0006*A5)+0.0178</f>
        <v/>
      </c>
      <c r="E5">
        <f>C5-D5</f>
        <v/>
      </c>
      <c r="F5" s="19">
        <f>E5/D5</f>
        <v/>
      </c>
    </row>
    <row r="6">
      <c r="A6" s="16" t="n">
        <v>4</v>
      </c>
      <c r="B6" s="16" t="n">
        <v>15.68</v>
      </c>
      <c r="C6" s="16" t="n">
        <v>0.01568</v>
      </c>
      <c r="D6" s="53">
        <f>-((10^-7)*(A6^3))+((10^-5)*(A6^2))-(0.0006*A6)+0.0178</f>
        <v/>
      </c>
      <c r="E6">
        <f>C6-D6</f>
        <v/>
      </c>
      <c r="F6" s="19">
        <f>E6/D6</f>
        <v/>
      </c>
    </row>
    <row r="7">
      <c r="A7" s="16" t="n">
        <v>5</v>
      </c>
      <c r="B7" s="16" t="n">
        <v>15.19</v>
      </c>
      <c r="C7" s="16" t="n">
        <v>0.01519</v>
      </c>
      <c r="D7" s="53">
        <f>-((10^-7)*(A7^3))+((10^-5)*(A7^2))-(0.0006*A7)+0.0178</f>
        <v/>
      </c>
      <c r="E7">
        <f>C7-D7</f>
        <v/>
      </c>
      <c r="F7" s="19">
        <f>E7/D7</f>
        <v/>
      </c>
    </row>
    <row r="8">
      <c r="A8" s="16" t="n">
        <v>6</v>
      </c>
      <c r="B8" s="16" t="n">
        <v>14.73</v>
      </c>
      <c r="C8" s="16" t="n">
        <v>0.01473</v>
      </c>
      <c r="D8" s="53">
        <f>-((10^-7)*(A8^3))+((10^-5)*(A8^2))-(0.0006*A8)+0.0178</f>
        <v/>
      </c>
      <c r="E8">
        <f>C8-D8</f>
        <v/>
      </c>
      <c r="F8" s="19">
        <f>E8/D8</f>
        <v/>
      </c>
    </row>
    <row r="9">
      <c r="A9" s="16" t="n">
        <v>7</v>
      </c>
      <c r="B9" s="16" t="n">
        <v>14.29</v>
      </c>
      <c r="C9" s="16" t="n">
        <v>0.01429</v>
      </c>
      <c r="D9" s="53">
        <f>-((10^-7)*(A9^3))+((10^-5)*(A9^2))-(0.0006*A9)+0.0178</f>
        <v/>
      </c>
      <c r="E9">
        <f>C9-D9</f>
        <v/>
      </c>
      <c r="F9" s="19">
        <f>E9/D9</f>
        <v/>
      </c>
    </row>
    <row r="10">
      <c r="A10" s="16" t="n">
        <v>8</v>
      </c>
      <c r="B10" s="16" t="n">
        <v>13.87</v>
      </c>
      <c r="C10" s="16" t="n">
        <v>0.01387</v>
      </c>
      <c r="D10" s="53">
        <f>-((10^-7)*(A10^3))+((10^-5)*(A10^2))-(0.0006*A10)+0.0178</f>
        <v/>
      </c>
      <c r="E10">
        <f>C10-D10</f>
        <v/>
      </c>
      <c r="F10" s="19">
        <f>E10/D10</f>
        <v/>
      </c>
    </row>
    <row r="11">
      <c r="A11" s="16" t="n">
        <v>9</v>
      </c>
      <c r="B11" s="16" t="n">
        <v>13.48</v>
      </c>
      <c r="C11" s="16" t="n">
        <v>0.01348</v>
      </c>
      <c r="D11" s="53">
        <f>-((10^-7)*(A11^3))+((10^-5)*(A11^2))-(0.0006*A11)+0.0178</f>
        <v/>
      </c>
      <c r="E11">
        <f>C11-D11</f>
        <v/>
      </c>
      <c r="F11" s="19">
        <f>E11/D11</f>
        <v/>
      </c>
    </row>
    <row r="12">
      <c r="A12" s="16" t="n">
        <v>10</v>
      </c>
      <c r="B12" s="16" t="n">
        <v>13.1</v>
      </c>
      <c r="C12" s="16" t="n">
        <v>0.0131</v>
      </c>
      <c r="D12" s="53">
        <f>-((10^-7)*(A12^3))+((10^-5)*(A12^2))-(0.0006*A12)+0.0178</f>
        <v/>
      </c>
      <c r="E12">
        <f>C12-D12</f>
        <v/>
      </c>
      <c r="F12" s="19">
        <f>E12/D12</f>
        <v/>
      </c>
    </row>
    <row r="13">
      <c r="A13" s="16" t="n">
        <v>11</v>
      </c>
      <c r="B13" s="16" t="n">
        <v>12.74</v>
      </c>
      <c r="C13" s="16" t="n">
        <v>0.01274</v>
      </c>
      <c r="D13" s="53">
        <f>-((10^-7)*(A13^3))+((10^-5)*(A13^2))-(0.0006*A13)+0.0178</f>
        <v/>
      </c>
      <c r="E13">
        <f>C13-D13</f>
        <v/>
      </c>
      <c r="F13" s="19">
        <f>E13/D13</f>
        <v/>
      </c>
    </row>
    <row r="14">
      <c r="A14" s="16" t="n">
        <v>12</v>
      </c>
      <c r="B14" s="16" t="n">
        <v>12.39</v>
      </c>
      <c r="C14" s="16" t="n">
        <v>0.01239</v>
      </c>
      <c r="D14" s="53">
        <f>-((10^-7)*(A14^3))+((10^-5)*(A14^2))-(0.0006*A14)+0.0178</f>
        <v/>
      </c>
      <c r="E14">
        <f>C14-D14</f>
        <v/>
      </c>
      <c r="F14" s="19">
        <f>E14/D14</f>
        <v/>
      </c>
    </row>
    <row r="15">
      <c r="A15" s="16" t="n">
        <v>13</v>
      </c>
      <c r="B15" s="16" t="n">
        <v>12.06</v>
      </c>
      <c r="C15" s="16" t="n">
        <v>0.01206</v>
      </c>
      <c r="D15" s="53">
        <f>-((10^-7)*(A15^3))+((10^-5)*(A15^2))-(0.0006*A15)+0.0178</f>
        <v/>
      </c>
      <c r="E15">
        <f>C15-D15</f>
        <v/>
      </c>
      <c r="F15" s="19">
        <f>E15/D15</f>
        <v/>
      </c>
    </row>
    <row r="16">
      <c r="A16" s="16" t="n">
        <v>14</v>
      </c>
      <c r="B16" s="16" t="n">
        <v>11.75</v>
      </c>
      <c r="C16" s="16" t="n">
        <v>0.01175</v>
      </c>
      <c r="D16" s="53">
        <f>-((10^-7)*(A16^3))+((10^-5)*(A16^2))-(0.0006*A16)+0.0178</f>
        <v/>
      </c>
      <c r="E16">
        <f>C16-D16</f>
        <v/>
      </c>
      <c r="F16" s="19">
        <f>E16/D16</f>
        <v/>
      </c>
    </row>
    <row r="17">
      <c r="A17" s="16" t="n">
        <v>15</v>
      </c>
      <c r="B17" s="16" t="n">
        <v>11.45</v>
      </c>
      <c r="C17" s="16" t="n">
        <v>0.01145</v>
      </c>
      <c r="D17" s="53">
        <f>-((10^-7)*(A17^3))+((10^-5)*(A17^2))-(0.0006*A17)+0.0178</f>
        <v/>
      </c>
      <c r="E17">
        <f>C17-D17</f>
        <v/>
      </c>
      <c r="F17" s="19">
        <f>E17/D17</f>
        <v/>
      </c>
    </row>
    <row r="18">
      <c r="A18" s="16" t="n">
        <v>16</v>
      </c>
      <c r="B18" s="16" t="n">
        <v>11.16</v>
      </c>
      <c r="C18" s="16" t="n">
        <v>0.01116</v>
      </c>
      <c r="D18" s="53">
        <f>-((10^-7)*(A18^3))+((10^-5)*(A18^2))-(0.0006*A18)+0.0178</f>
        <v/>
      </c>
      <c r="E18">
        <f>C18-D18</f>
        <v/>
      </c>
      <c r="F18" s="19">
        <f>E18/D18</f>
        <v/>
      </c>
    </row>
    <row r="19">
      <c r="A19" s="16" t="n">
        <v>17</v>
      </c>
      <c r="B19" s="16" t="n">
        <v>10.88</v>
      </c>
      <c r="C19" s="16" t="n">
        <v>0.01088</v>
      </c>
      <c r="D19" s="53">
        <f>-((10^-7)*(A19^3))+((10^-5)*(A19^2))-(0.0006*A19)+0.0178</f>
        <v/>
      </c>
      <c r="E19">
        <f>C19-D19</f>
        <v/>
      </c>
      <c r="F19" s="19">
        <f>E19/D19</f>
        <v/>
      </c>
    </row>
    <row r="20">
      <c r="A20" s="16" t="n">
        <v>18</v>
      </c>
      <c r="B20" s="16" t="n">
        <v>10.6</v>
      </c>
      <c r="C20" s="16" t="n">
        <v>0.0106</v>
      </c>
      <c r="D20" s="53">
        <f>-((10^-7)*(A20^3))+((10^-5)*(A20^2))-(0.0006*A20)+0.0178</f>
        <v/>
      </c>
      <c r="E20">
        <f>C20-D20</f>
        <v/>
      </c>
      <c r="F20" s="19">
        <f>E20/D20</f>
        <v/>
      </c>
    </row>
    <row r="21">
      <c r="A21" s="16" t="n">
        <v>19</v>
      </c>
      <c r="B21" s="16" t="n">
        <v>10.34</v>
      </c>
      <c r="C21" s="16" t="n">
        <v>0.01034</v>
      </c>
      <c r="D21" s="53">
        <f>-((10^-7)*(A21^3))+((10^-5)*(A21^2))-(0.0006*A21)+0.0178</f>
        <v/>
      </c>
      <c r="E21">
        <f>C21-D21</f>
        <v/>
      </c>
      <c r="F21" s="19">
        <f>E21/D21</f>
        <v/>
      </c>
    </row>
    <row r="22">
      <c r="A22" s="16" t="n">
        <v>20</v>
      </c>
      <c r="B22" s="16" t="n">
        <v>10.09</v>
      </c>
      <c r="C22" s="16" t="n">
        <v>0.01009</v>
      </c>
      <c r="D22" s="53">
        <f>-((10^-7)*(A22^3))+((10^-5)*(A22^2))-(0.0006*A22)+0.0178</f>
        <v/>
      </c>
      <c r="E22">
        <f>C22-D22</f>
        <v/>
      </c>
      <c r="F22" s="19">
        <f>E22/D22</f>
        <v/>
      </c>
    </row>
    <row r="23">
      <c r="A23" s="16" t="n">
        <v>21</v>
      </c>
      <c r="B23" s="16" t="n">
        <v>9.84</v>
      </c>
      <c r="C23" s="16" t="n">
        <v>0.00984</v>
      </c>
      <c r="D23" s="53">
        <f>-((10^-7)*(A23^3))+((10^-5)*(A23^2))-(0.0006*A23)+0.0178</f>
        <v/>
      </c>
      <c r="E23">
        <f>C23-D23</f>
        <v/>
      </c>
      <c r="F23" s="19">
        <f>E23/D23</f>
        <v/>
      </c>
    </row>
    <row r="24">
      <c r="A24" s="16" t="n">
        <v>22</v>
      </c>
      <c r="B24" s="16" t="n">
        <v>9.609999999999999</v>
      </c>
      <c r="C24" s="16" t="n">
        <v>0.00961</v>
      </c>
      <c r="D24" s="53">
        <f>-((10^-7)*(A24^3))+((10^-5)*(A24^2))-(0.0006*A24)+0.0178</f>
        <v/>
      </c>
      <c r="E24">
        <f>C24-D24</f>
        <v/>
      </c>
      <c r="F24" s="19">
        <f>E24/D24</f>
        <v/>
      </c>
    </row>
    <row r="25">
      <c r="A25" s="16" t="n">
        <v>23</v>
      </c>
      <c r="B25" s="16" t="n">
        <v>9.380000000000001</v>
      </c>
      <c r="C25" s="16" t="n">
        <v>0.009379999999999999</v>
      </c>
      <c r="D25" s="53">
        <f>-((10^-7)*(A25^3))+((10^-5)*(A25^2))-(0.0006*A25)+0.0178</f>
        <v/>
      </c>
      <c r="E25">
        <f>C25-D25</f>
        <v/>
      </c>
      <c r="F25" s="19">
        <f>E25/D25</f>
        <v/>
      </c>
    </row>
    <row r="26">
      <c r="A26" s="16" t="n">
        <v>24</v>
      </c>
      <c r="B26" s="16" t="n">
        <v>9.16</v>
      </c>
      <c r="C26" s="16" t="n">
        <v>0.00916</v>
      </c>
      <c r="D26" s="53">
        <f>-((10^-7)*(A26^3))+((10^-5)*(A26^2))-(0.0006*A26)+0.0178</f>
        <v/>
      </c>
      <c r="E26">
        <f>C26-D26</f>
        <v/>
      </c>
      <c r="F26" s="19">
        <f>E26/D26</f>
        <v/>
      </c>
    </row>
    <row r="27">
      <c r="A27" s="16" t="n">
        <v>25</v>
      </c>
      <c r="B27" s="16" t="n">
        <v>8.949999999999999</v>
      </c>
      <c r="C27" s="16" t="n">
        <v>0.00895</v>
      </c>
      <c r="D27" s="53">
        <f>-((10^-7)*(A27^3))+((10^-5)*(A27^2))-(0.0006*A27)+0.0178</f>
        <v/>
      </c>
      <c r="E27">
        <f>C27-D27</f>
        <v/>
      </c>
      <c r="F27" s="19">
        <f>E27/D27</f>
        <v/>
      </c>
    </row>
    <row r="28">
      <c r="A28" s="16" t="n">
        <v>26</v>
      </c>
      <c r="B28" s="16" t="n">
        <v>8.75</v>
      </c>
      <c r="C28" s="16" t="n">
        <v>0.008750000000000001</v>
      </c>
      <c r="D28" s="53">
        <f>-((10^-7)*(A28^3))+((10^-5)*(A28^2))-(0.0006*A28)+0.0178</f>
        <v/>
      </c>
      <c r="E28">
        <f>C28-D28</f>
        <v/>
      </c>
      <c r="F28" s="19">
        <f>E28/D28</f>
        <v/>
      </c>
    </row>
    <row r="29">
      <c r="A29" s="16" t="n">
        <v>27</v>
      </c>
      <c r="B29" s="16" t="n">
        <v>8.550000000000001</v>
      </c>
      <c r="C29" s="16" t="n">
        <v>0.00855</v>
      </c>
      <c r="D29" s="53">
        <f>-((10^-7)*(A29^3))+((10^-5)*(A29^2))-(0.0006*A29)+0.0178</f>
        <v/>
      </c>
      <c r="E29">
        <f>C29-D29</f>
        <v/>
      </c>
      <c r="F29" s="19">
        <f>E29/D29</f>
        <v/>
      </c>
    </row>
    <row r="30">
      <c r="A30" s="16" t="n">
        <v>28</v>
      </c>
      <c r="B30" s="16" t="n">
        <v>8.359999999999999</v>
      </c>
      <c r="C30" s="16" t="n">
        <v>0.008359999999999999</v>
      </c>
      <c r="D30" s="53">
        <f>-((10^-7)*(A30^3))+((10^-5)*(A30^2))-(0.0006*A30)+0.0178</f>
        <v/>
      </c>
      <c r="E30">
        <f>C30-D30</f>
        <v/>
      </c>
      <c r="F30" s="19">
        <f>E30/D30</f>
        <v/>
      </c>
    </row>
    <row r="31">
      <c r="A31" s="16" t="n">
        <v>29</v>
      </c>
      <c r="B31" s="16" t="n">
        <v>8.18</v>
      </c>
      <c r="C31" s="16" t="n">
        <v>0.00818</v>
      </c>
      <c r="D31" s="53">
        <f>-((10^-7)*(A31^3))+((10^-5)*(A31^2))-(0.0006*A31)+0.0178</f>
        <v/>
      </c>
      <c r="E31">
        <f>C31-D31</f>
        <v/>
      </c>
      <c r="F31" s="19">
        <f>E31/D31</f>
        <v/>
      </c>
    </row>
    <row r="32">
      <c r="A32" s="16" t="n">
        <v>30</v>
      </c>
      <c r="B32" s="16" t="n">
        <v>8</v>
      </c>
      <c r="C32" s="16" t="n">
        <v>0.008</v>
      </c>
      <c r="D32" s="53">
        <f>-((10^-7)*(A32^3))+((10^-5)*(A32^2))-(0.0006*A32)+0.0178</f>
        <v/>
      </c>
      <c r="E32">
        <f>C32-D32</f>
        <v/>
      </c>
      <c r="F32" s="19">
        <f>E32/D32</f>
        <v/>
      </c>
    </row>
    <row r="33">
      <c r="A33" s="16" t="n">
        <v>31</v>
      </c>
      <c r="B33" s="16" t="n">
        <v>7.83</v>
      </c>
      <c r="C33" s="16" t="n">
        <v>0.00783</v>
      </c>
      <c r="D33" s="53">
        <f>-((10^-7)*(A33^3))+((10^-5)*(A33^2))-(0.0006*A33)+0.0178</f>
        <v/>
      </c>
      <c r="E33">
        <f>C33-D33</f>
        <v/>
      </c>
      <c r="F33" s="19">
        <f>E33/D33</f>
        <v/>
      </c>
    </row>
    <row r="34">
      <c r="A34" s="16" t="n">
        <v>32</v>
      </c>
      <c r="B34" s="16" t="n">
        <v>7.67</v>
      </c>
      <c r="C34" s="16" t="n">
        <v>0.00767</v>
      </c>
      <c r="D34" s="53">
        <f>-((10^-7)*(A34^3))+((10^-5)*(A34^2))-(0.0006*A34)+0.0178</f>
        <v/>
      </c>
      <c r="E34">
        <f>C34-D34</f>
        <v/>
      </c>
      <c r="F34" s="19">
        <f>E34/D34</f>
        <v/>
      </c>
    </row>
    <row r="35">
      <c r="A35" s="16" t="n">
        <v>33</v>
      </c>
      <c r="B35" s="16" t="n">
        <v>7.51</v>
      </c>
      <c r="C35" s="16" t="n">
        <v>0.00751</v>
      </c>
      <c r="D35" s="53">
        <f>-((10^-7)*(A35^3))+((10^-5)*(A35^2))-(0.0006*A35)+0.0178</f>
        <v/>
      </c>
      <c r="E35">
        <f>C35-D35</f>
        <v/>
      </c>
      <c r="F35" s="19">
        <f>E35/D35</f>
        <v/>
      </c>
    </row>
    <row r="36">
      <c r="A36" s="16" t="n">
        <v>34</v>
      </c>
      <c r="B36" s="16" t="n">
        <v>7.36</v>
      </c>
      <c r="C36" s="16" t="n">
        <v>0.00736</v>
      </c>
      <c r="D36" s="53">
        <f>-((10^-7)*(A36^3))+((10^-5)*(A36^2))-(0.0006*A36)+0.0178</f>
        <v/>
      </c>
      <c r="E36">
        <f>C36-D36</f>
        <v/>
      </c>
      <c r="F36" s="19">
        <f>E36/D36</f>
        <v/>
      </c>
    </row>
    <row r="37">
      <c r="A37" s="16" t="n">
        <v>35</v>
      </c>
      <c r="B37" s="16" t="n">
        <v>7.21</v>
      </c>
      <c r="C37" s="16" t="n">
        <v>0.00721</v>
      </c>
      <c r="D37" s="53">
        <f>-((10^-7)*(A37^3))+((10^-5)*(A37^2))-(0.0006*A37)+0.0178</f>
        <v/>
      </c>
      <c r="E37">
        <f>C37-D37</f>
        <v/>
      </c>
      <c r="F37" s="19">
        <f>E37/D37</f>
        <v/>
      </c>
    </row>
    <row r="38">
      <c r="A38" s="16" t="n">
        <v>36</v>
      </c>
      <c r="B38" s="16" t="n">
        <v>7.06</v>
      </c>
      <c r="C38" s="16" t="n">
        <v>0.00706</v>
      </c>
      <c r="D38" s="53">
        <f>-((10^-7)*(A38^3))+((10^-5)*(A38^2))-(0.0006*A38)+0.0178</f>
        <v/>
      </c>
      <c r="E38">
        <f>C38-D38</f>
        <v/>
      </c>
      <c r="F38" s="19">
        <f>E38/D38</f>
        <v/>
      </c>
    </row>
    <row r="39">
      <c r="A39" s="16" t="n">
        <v>37</v>
      </c>
      <c r="B39" s="16" t="n">
        <v>6.92</v>
      </c>
      <c r="C39" s="16" t="n">
        <v>0.00692</v>
      </c>
      <c r="D39" s="53">
        <f>-((10^-7)*(A39^3))+((10^-5)*(A39^2))-(0.0006*A39)+0.0178</f>
        <v/>
      </c>
      <c r="E39">
        <f>C39-D39</f>
        <v/>
      </c>
      <c r="F39" s="19">
        <f>E39/D39</f>
        <v/>
      </c>
    </row>
    <row r="40">
      <c r="A40" s="16" t="n">
        <v>38</v>
      </c>
      <c r="B40" s="16" t="n">
        <v>6.79</v>
      </c>
      <c r="C40" s="16" t="n">
        <v>0.00679</v>
      </c>
      <c r="D40" s="53">
        <f>-((10^-7)*(A40^3))+((10^-5)*(A40^2))-(0.0006*A40)+0.0178</f>
        <v/>
      </c>
      <c r="E40">
        <f>C40-D40</f>
        <v/>
      </c>
      <c r="F40" s="19">
        <f>E40/D40</f>
        <v/>
      </c>
    </row>
    <row r="41">
      <c r="A41" s="16" t="n">
        <v>39</v>
      </c>
      <c r="B41" s="16" t="n">
        <v>6.66</v>
      </c>
      <c r="C41" s="16" t="n">
        <v>0.00666</v>
      </c>
      <c r="D41" s="53">
        <f>-((10^-7)*(A41^3))+((10^-5)*(A41^2))-(0.0006*A41)+0.0178</f>
        <v/>
      </c>
      <c r="E41">
        <f>C41-D41</f>
        <v/>
      </c>
      <c r="F41" s="19">
        <f>E41/D41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AW11"/>
  <sheetViews>
    <sheetView zoomScale="130" zoomScaleNormal="130" workbookViewId="0">
      <selection activeCell="L11" sqref="L11"/>
    </sheetView>
  </sheetViews>
  <sheetFormatPr baseColWidth="8" defaultRowHeight="15"/>
  <sheetData>
    <row r="1">
      <c r="L1" s="23" t="n">
        <v>0.5</v>
      </c>
      <c r="M1" s="23" t="n">
        <v>1</v>
      </c>
      <c r="N1" s="23" t="n">
        <v>2</v>
      </c>
      <c r="O1" s="23" t="n">
        <v>4</v>
      </c>
      <c r="P1" s="23" t="n">
        <v>8</v>
      </c>
      <c r="Q1" s="23" t="n">
        <v>15</v>
      </c>
      <c r="R1" s="23" t="n">
        <v>30</v>
      </c>
      <c r="S1" s="23" t="n">
        <v>60</v>
      </c>
      <c r="T1" s="23" t="n">
        <v>120</v>
      </c>
      <c r="U1" s="23" t="n">
        <v>240</v>
      </c>
      <c r="V1" s="23" t="n">
        <v>480</v>
      </c>
      <c r="W1" s="23" t="n">
        <v>960</v>
      </c>
      <c r="X1" s="23" t="n">
        <v>1440</v>
      </c>
      <c r="Y1" s="23" t="n">
        <v>4.75</v>
      </c>
      <c r="Z1" s="23" t="n">
        <v>2</v>
      </c>
      <c r="AA1" s="25" t="n">
        <v>1.18</v>
      </c>
      <c r="AB1" s="25" t="n">
        <v>0.6</v>
      </c>
      <c r="AC1" s="25" t="n">
        <v>0.425</v>
      </c>
      <c r="AD1" s="25" t="n">
        <v>0.3</v>
      </c>
      <c r="AE1" s="25" t="n">
        <v>0.15</v>
      </c>
      <c r="AF1" s="25" t="n">
        <v>0.075</v>
      </c>
      <c r="AG1" s="23" t="n">
        <v>0.5</v>
      </c>
      <c r="AH1" s="23" t="n">
        <v>1</v>
      </c>
      <c r="AI1" s="23" t="n">
        <v>2</v>
      </c>
      <c r="AJ1" s="23" t="n">
        <v>4</v>
      </c>
      <c r="AK1" s="23" t="n">
        <v>8</v>
      </c>
      <c r="AL1" s="23" t="n">
        <v>15</v>
      </c>
      <c r="AM1" s="23" t="n">
        <v>30</v>
      </c>
      <c r="AN1" s="23" t="n">
        <v>60</v>
      </c>
      <c r="AO1" s="23" t="n">
        <v>120</v>
      </c>
      <c r="AP1" s="23" t="n">
        <v>240</v>
      </c>
      <c r="AQ1" s="23" t="n">
        <v>480</v>
      </c>
      <c r="AR1" s="23" t="n">
        <v>960</v>
      </c>
      <c r="AS1" s="23" t="n">
        <v>1440</v>
      </c>
    </row>
    <row r="2" ht="17.25" customHeight="1" s="41">
      <c r="A2" s="88" t="inlineStr">
        <is>
          <t>SR No.</t>
        </is>
      </c>
      <c r="B2" s="88" t="inlineStr">
        <is>
          <t>BH ID</t>
        </is>
      </c>
      <c r="C2" s="88" t="inlineStr">
        <is>
          <t>Depth</t>
        </is>
      </c>
      <c r="D2" s="87" t="inlineStr">
        <is>
          <t>Particle Size in mm (GSD)</t>
        </is>
      </c>
      <c r="E2" s="93" t="n"/>
      <c r="F2" s="93" t="n"/>
      <c r="G2" s="93" t="n"/>
      <c r="H2" s="93" t="n"/>
      <c r="I2" s="93" t="n"/>
      <c r="J2" s="93" t="n"/>
      <c r="K2" s="94" t="n"/>
      <c r="L2" s="87" t="inlineStr">
        <is>
          <t>Particle Size in mm (HYD)</t>
        </is>
      </c>
      <c r="M2" s="93" t="n"/>
      <c r="N2" s="93" t="n"/>
      <c r="O2" s="93" t="n"/>
      <c r="P2" s="93" t="n"/>
      <c r="Q2" s="93" t="n"/>
      <c r="R2" s="93" t="n"/>
      <c r="S2" s="93" t="n"/>
      <c r="T2" s="93" t="n"/>
      <c r="U2" s="93" t="n"/>
      <c r="V2" s="93" t="n"/>
      <c r="W2" s="93" t="n"/>
      <c r="X2" s="94" t="n"/>
      <c r="Y2" s="88" t="inlineStr">
        <is>
          <t>% Passing (GSD)</t>
        </is>
      </c>
      <c r="Z2" s="93" t="n"/>
      <c r="AA2" s="93" t="n"/>
      <c r="AB2" s="93" t="n"/>
      <c r="AC2" s="93" t="n"/>
      <c r="AD2" s="93" t="n"/>
      <c r="AE2" s="93" t="n"/>
      <c r="AF2" s="94" t="n"/>
      <c r="AG2" s="87" t="inlineStr">
        <is>
          <t>% Passing (HYD)</t>
        </is>
      </c>
      <c r="AH2" s="93" t="n"/>
      <c r="AI2" s="93" t="n"/>
      <c r="AJ2" s="93" t="n"/>
      <c r="AK2" s="93" t="n"/>
      <c r="AL2" s="93" t="n"/>
      <c r="AM2" s="93" t="n"/>
      <c r="AN2" s="93" t="n"/>
      <c r="AO2" s="93" t="n"/>
      <c r="AP2" s="93" t="n"/>
      <c r="AQ2" s="93" t="n"/>
      <c r="AR2" s="93" t="n"/>
      <c r="AS2" s="94" t="n"/>
      <c r="AT2" s="88" t="inlineStr">
        <is>
          <t>% Gravel</t>
        </is>
      </c>
      <c r="AU2" s="88" t="inlineStr">
        <is>
          <t>% Sand</t>
        </is>
      </c>
      <c r="AV2" s="88" t="inlineStr">
        <is>
          <t>% Silt</t>
        </is>
      </c>
      <c r="AW2" s="88" t="inlineStr">
        <is>
          <t>% Clay</t>
        </is>
      </c>
    </row>
    <row r="3" customFormat="1" s="53">
      <c r="A3" s="53" t="n">
        <v>1</v>
      </c>
      <c r="B3" s="53">
        <f>GSD!B5</f>
        <v/>
      </c>
      <c r="C3" s="49">
        <f>GSD!F5</f>
        <v/>
      </c>
      <c r="D3" s="106" t="n">
        <v>4.75</v>
      </c>
      <c r="E3" s="106" t="n">
        <v>2</v>
      </c>
      <c r="F3" s="106" t="n">
        <v>1.18</v>
      </c>
      <c r="G3" s="106" t="n">
        <v>0.6</v>
      </c>
      <c r="H3" s="106" t="n">
        <v>0.425</v>
      </c>
      <c r="I3" s="106" t="n">
        <v>0.3</v>
      </c>
      <c r="J3" s="106" t="n">
        <v>0.15</v>
      </c>
      <c r="K3" s="106" t="n">
        <v>0.075</v>
      </c>
      <c r="L3" s="107">
        <f>HYD!Z5</f>
        <v/>
      </c>
      <c r="M3" s="107">
        <f>HYD!AA5</f>
        <v/>
      </c>
      <c r="N3" s="107">
        <f>HYD!AB5</f>
        <v/>
      </c>
      <c r="O3" s="107">
        <f>HYD!AC5</f>
        <v/>
      </c>
      <c r="P3" s="107">
        <f>HYD!AD5</f>
        <v/>
      </c>
      <c r="Q3" s="107">
        <f>HYD!AE5</f>
        <v/>
      </c>
      <c r="R3" s="107">
        <f>HYD!AF5</f>
        <v/>
      </c>
      <c r="S3" s="107">
        <f>HYD!AG5</f>
        <v/>
      </c>
      <c r="T3" s="107">
        <f>HYD!AH5</f>
        <v/>
      </c>
      <c r="U3" s="107">
        <f>HYD!AI5</f>
        <v/>
      </c>
      <c r="V3" s="107">
        <f>HYD!AJ5</f>
        <v/>
      </c>
      <c r="W3" s="107">
        <f>HYD!AK5</f>
        <v/>
      </c>
      <c r="X3" s="107">
        <f>HYD!AL5</f>
        <v/>
      </c>
      <c r="Y3" s="52">
        <f>GSD!S5</f>
        <v/>
      </c>
      <c r="Z3" s="52">
        <f>GSD!T5</f>
        <v/>
      </c>
      <c r="AA3" s="52">
        <f>GSD!U5</f>
        <v/>
      </c>
      <c r="AB3" s="52">
        <f>GSD!V5</f>
        <v/>
      </c>
      <c r="AC3" s="52">
        <f>GSD!W5</f>
        <v/>
      </c>
      <c r="AD3" s="52">
        <f>GSD!X5</f>
        <v/>
      </c>
      <c r="AE3" s="52">
        <f>GSD!Y5</f>
        <v/>
      </c>
      <c r="AF3" s="52">
        <f>GSD!Z5</f>
        <v/>
      </c>
      <c r="AG3" s="52">
        <f>HYD!AM5</f>
        <v/>
      </c>
      <c r="AH3" s="52">
        <f>HYD!AN5</f>
        <v/>
      </c>
      <c r="AI3" s="52">
        <f>HYD!AO5</f>
        <v/>
      </c>
      <c r="AJ3" s="52">
        <f>HYD!AP5</f>
        <v/>
      </c>
      <c r="AK3" s="52">
        <f>HYD!AQ5</f>
        <v/>
      </c>
      <c r="AL3" s="52">
        <f>HYD!AR5</f>
        <v/>
      </c>
      <c r="AM3" s="52">
        <f>HYD!AS5</f>
        <v/>
      </c>
      <c r="AN3" s="52">
        <f>HYD!AT5</f>
        <v/>
      </c>
      <c r="AO3" s="52">
        <f>HYD!AU5</f>
        <v/>
      </c>
      <c r="AP3" s="52">
        <f>HYD!AV5</f>
        <v/>
      </c>
      <c r="AQ3" s="52">
        <f>HYD!AW5</f>
        <v/>
      </c>
      <c r="AR3" s="52">
        <f>HYD!AX5</f>
        <v/>
      </c>
      <c r="AS3" s="52">
        <f>HYD!AY5</f>
        <v/>
      </c>
      <c r="AT3" s="52" t="n"/>
      <c r="AU3" s="52" t="n"/>
      <c r="AV3" s="52" t="n"/>
      <c r="AW3" s="52" t="n"/>
    </row>
    <row r="4" s="41">
      <c r="A4" s="53" t="n">
        <v>2</v>
      </c>
      <c r="B4" s="53">
        <f>B3</f>
        <v/>
      </c>
      <c r="C4" s="49">
        <f>GSD!F6</f>
        <v/>
      </c>
      <c r="D4" s="106" t="n">
        <v>4.75</v>
      </c>
      <c r="E4" s="106" t="n">
        <v>2</v>
      </c>
      <c r="F4" s="106" t="n">
        <v>1.18</v>
      </c>
      <c r="G4" s="106" t="n">
        <v>0.6</v>
      </c>
      <c r="H4" s="106" t="n">
        <v>0.425</v>
      </c>
      <c r="I4" s="106" t="n">
        <v>0.3</v>
      </c>
      <c r="J4" s="106" t="n">
        <v>0.15</v>
      </c>
      <c r="K4" s="106" t="n">
        <v>0.075</v>
      </c>
      <c r="L4" s="107">
        <f>HYD!Z6</f>
        <v/>
      </c>
      <c r="M4" s="107">
        <f>HYD!AA6</f>
        <v/>
      </c>
      <c r="N4" s="107">
        <f>HYD!AB6</f>
        <v/>
      </c>
      <c r="O4" s="107">
        <f>HYD!AC6</f>
        <v/>
      </c>
      <c r="P4" s="107">
        <f>HYD!AD6</f>
        <v/>
      </c>
      <c r="Q4" s="107">
        <f>HYD!AE6</f>
        <v/>
      </c>
      <c r="R4" s="107">
        <f>HYD!AF6</f>
        <v/>
      </c>
      <c r="S4" s="107">
        <f>HYD!AG6</f>
        <v/>
      </c>
      <c r="T4" s="107">
        <f>HYD!AH6</f>
        <v/>
      </c>
      <c r="U4" s="107">
        <f>HYD!AI6</f>
        <v/>
      </c>
      <c r="V4" s="107">
        <f>HYD!AJ6</f>
        <v/>
      </c>
      <c r="W4" s="107">
        <f>HYD!AK6</f>
        <v/>
      </c>
      <c r="X4" s="107">
        <f>HYD!AL6</f>
        <v/>
      </c>
      <c r="Y4" s="52">
        <f>GSD!S6</f>
        <v/>
      </c>
      <c r="Z4" s="52">
        <f>GSD!T6</f>
        <v/>
      </c>
      <c r="AA4" s="52">
        <f>GSD!U6</f>
        <v/>
      </c>
      <c r="AB4" s="52">
        <f>GSD!V6</f>
        <v/>
      </c>
      <c r="AC4" s="52">
        <f>GSD!W6</f>
        <v/>
      </c>
      <c r="AD4" s="52">
        <f>GSD!X6</f>
        <v/>
      </c>
      <c r="AE4" s="52">
        <f>GSD!Y6</f>
        <v/>
      </c>
      <c r="AF4" s="52">
        <f>GSD!Z6</f>
        <v/>
      </c>
      <c r="AG4" s="52">
        <f>HYD!AM6</f>
        <v/>
      </c>
      <c r="AH4" s="52">
        <f>HYD!AN6</f>
        <v/>
      </c>
      <c r="AI4" s="52">
        <f>HYD!AO6</f>
        <v/>
      </c>
      <c r="AJ4" s="52">
        <f>HYD!AP6</f>
        <v/>
      </c>
      <c r="AK4" s="52">
        <f>HYD!AQ6</f>
        <v/>
      </c>
      <c r="AL4" s="52">
        <f>HYD!AR6</f>
        <v/>
      </c>
      <c r="AM4" s="52">
        <f>HYD!AS6</f>
        <v/>
      </c>
      <c r="AN4" s="52">
        <f>HYD!AT6</f>
        <v/>
      </c>
      <c r="AO4" s="52">
        <f>HYD!AU6</f>
        <v/>
      </c>
      <c r="AP4" s="52">
        <f>HYD!AV6</f>
        <v/>
      </c>
      <c r="AQ4" s="52">
        <f>HYD!AW6</f>
        <v/>
      </c>
      <c r="AR4" s="52">
        <f>HYD!AX6</f>
        <v/>
      </c>
      <c r="AS4" s="52">
        <f>HYD!AY6</f>
        <v/>
      </c>
      <c r="AT4" s="52" t="n"/>
      <c r="AU4" s="52" t="n"/>
      <c r="AV4" s="52" t="n"/>
      <c r="AW4" s="52" t="n"/>
    </row>
    <row r="5" s="41">
      <c r="A5" s="53" t="n">
        <v>3</v>
      </c>
      <c r="B5" s="53">
        <f>B4</f>
        <v/>
      </c>
      <c r="C5" s="49">
        <f>GSD!F7</f>
        <v/>
      </c>
      <c r="D5" s="106" t="n">
        <v>4.75</v>
      </c>
      <c r="E5" s="106" t="n">
        <v>2</v>
      </c>
      <c r="F5" s="106" t="n">
        <v>1.18</v>
      </c>
      <c r="G5" s="106" t="n">
        <v>0.6</v>
      </c>
      <c r="H5" s="106" t="n">
        <v>0.425</v>
      </c>
      <c r="I5" s="106" t="n">
        <v>0.3</v>
      </c>
      <c r="J5" s="106" t="n">
        <v>0.15</v>
      </c>
      <c r="K5" s="106" t="n">
        <v>0.075</v>
      </c>
      <c r="L5" s="107">
        <f>HYD!Z7</f>
        <v/>
      </c>
      <c r="M5" s="107">
        <f>HYD!AA7</f>
        <v/>
      </c>
      <c r="N5" s="107">
        <f>HYD!AB7</f>
        <v/>
      </c>
      <c r="O5" s="107">
        <f>HYD!AC7</f>
        <v/>
      </c>
      <c r="P5" s="107">
        <f>HYD!AD7</f>
        <v/>
      </c>
      <c r="Q5" s="107">
        <f>HYD!AE7</f>
        <v/>
      </c>
      <c r="R5" s="107">
        <f>HYD!AF7</f>
        <v/>
      </c>
      <c r="S5" s="107">
        <f>HYD!AG7</f>
        <v/>
      </c>
      <c r="T5" s="107">
        <f>HYD!AH7</f>
        <v/>
      </c>
      <c r="U5" s="107">
        <f>HYD!AI7</f>
        <v/>
      </c>
      <c r="V5" s="107">
        <f>HYD!AJ7</f>
        <v/>
      </c>
      <c r="W5" s="107">
        <f>HYD!AK7</f>
        <v/>
      </c>
      <c r="X5" s="107">
        <f>HYD!AL7</f>
        <v/>
      </c>
      <c r="Y5" s="52">
        <f>GSD!S7</f>
        <v/>
      </c>
      <c r="Z5" s="52">
        <f>GSD!T7</f>
        <v/>
      </c>
      <c r="AA5" s="52">
        <f>GSD!U7</f>
        <v/>
      </c>
      <c r="AB5" s="52">
        <f>GSD!V7</f>
        <v/>
      </c>
      <c r="AC5" s="52">
        <f>GSD!W7</f>
        <v/>
      </c>
      <c r="AD5" s="52">
        <f>GSD!X7</f>
        <v/>
      </c>
      <c r="AE5" s="52">
        <f>GSD!Y7</f>
        <v/>
      </c>
      <c r="AF5" s="52">
        <f>GSD!Z7</f>
        <v/>
      </c>
      <c r="AG5" s="52">
        <f>HYD!AM7</f>
        <v/>
      </c>
      <c r="AH5" s="52">
        <f>HYD!AN7</f>
        <v/>
      </c>
      <c r="AI5" s="52">
        <f>HYD!AO7</f>
        <v/>
      </c>
      <c r="AJ5" s="52">
        <f>HYD!AP7</f>
        <v/>
      </c>
      <c r="AK5" s="52">
        <f>HYD!AQ7</f>
        <v/>
      </c>
      <c r="AL5" s="52">
        <f>HYD!AR7</f>
        <v/>
      </c>
      <c r="AM5" s="52">
        <f>HYD!AS7</f>
        <v/>
      </c>
      <c r="AN5" s="52">
        <f>HYD!AT7</f>
        <v/>
      </c>
      <c r="AO5" s="52">
        <f>HYD!AU7</f>
        <v/>
      </c>
      <c r="AP5" s="52">
        <f>HYD!AV7</f>
        <v/>
      </c>
      <c r="AQ5" s="52">
        <f>HYD!AW7</f>
        <v/>
      </c>
      <c r="AR5" s="52">
        <f>HYD!AX7</f>
        <v/>
      </c>
      <c r="AS5" s="52">
        <f>HYD!AY7</f>
        <v/>
      </c>
      <c r="AT5" s="52" t="n"/>
      <c r="AU5" s="52" t="n"/>
      <c r="AV5" s="52" t="n"/>
      <c r="AW5" s="52" t="n"/>
    </row>
    <row r="6" s="41">
      <c r="A6" s="53" t="n">
        <v>4</v>
      </c>
      <c r="B6" s="53">
        <f>B5</f>
        <v/>
      </c>
      <c r="C6" s="49">
        <f>GSD!F8</f>
        <v/>
      </c>
      <c r="D6" s="106" t="n">
        <v>4.75</v>
      </c>
      <c r="E6" s="106" t="n">
        <v>2</v>
      </c>
      <c r="F6" s="106" t="n">
        <v>1.18</v>
      </c>
      <c r="G6" s="106" t="n">
        <v>0.6</v>
      </c>
      <c r="H6" s="106" t="n">
        <v>0.425</v>
      </c>
      <c r="I6" s="106" t="n">
        <v>0.3</v>
      </c>
      <c r="J6" s="106" t="n">
        <v>0.15</v>
      </c>
      <c r="K6" s="106" t="n">
        <v>0.075</v>
      </c>
      <c r="L6" s="107">
        <f>HYD!Z8</f>
        <v/>
      </c>
      <c r="M6" s="107">
        <f>HYD!AA8</f>
        <v/>
      </c>
      <c r="N6" s="107">
        <f>HYD!AB8</f>
        <v/>
      </c>
      <c r="O6" s="107">
        <f>HYD!AC8</f>
        <v/>
      </c>
      <c r="P6" s="107">
        <f>HYD!AD8</f>
        <v/>
      </c>
      <c r="Q6" s="107">
        <f>HYD!AE8</f>
        <v/>
      </c>
      <c r="R6" s="107">
        <f>HYD!AF8</f>
        <v/>
      </c>
      <c r="S6" s="107">
        <f>HYD!AG8</f>
        <v/>
      </c>
      <c r="T6" s="107">
        <f>HYD!AH8</f>
        <v/>
      </c>
      <c r="U6" s="107">
        <f>HYD!AI8</f>
        <v/>
      </c>
      <c r="V6" s="107">
        <f>HYD!AJ8</f>
        <v/>
      </c>
      <c r="W6" s="107">
        <f>HYD!AK8</f>
        <v/>
      </c>
      <c r="X6" s="107">
        <f>HYD!AL8</f>
        <v/>
      </c>
      <c r="Y6" s="52">
        <f>GSD!S8</f>
        <v/>
      </c>
      <c r="Z6" s="52">
        <f>GSD!T8</f>
        <v/>
      </c>
      <c r="AA6" s="52">
        <f>GSD!U8</f>
        <v/>
      </c>
      <c r="AB6" s="52">
        <f>GSD!V8</f>
        <v/>
      </c>
      <c r="AC6" s="52">
        <f>GSD!W8</f>
        <v/>
      </c>
      <c r="AD6" s="52">
        <f>GSD!X8</f>
        <v/>
      </c>
      <c r="AE6" s="52">
        <f>GSD!Y8</f>
        <v/>
      </c>
      <c r="AF6" s="52">
        <f>GSD!Z8</f>
        <v/>
      </c>
      <c r="AG6" s="52">
        <f>HYD!AM8</f>
        <v/>
      </c>
      <c r="AH6" s="52">
        <f>HYD!AN8</f>
        <v/>
      </c>
      <c r="AI6" s="52">
        <f>HYD!AO8</f>
        <v/>
      </c>
      <c r="AJ6" s="52">
        <f>HYD!AP8</f>
        <v/>
      </c>
      <c r="AK6" s="52">
        <f>HYD!AQ8</f>
        <v/>
      </c>
      <c r="AL6" s="52">
        <f>HYD!AR8</f>
        <v/>
      </c>
      <c r="AM6" s="52">
        <f>HYD!AS8</f>
        <v/>
      </c>
      <c r="AN6" s="52">
        <f>HYD!AT8</f>
        <v/>
      </c>
      <c r="AO6" s="52">
        <f>HYD!AU8</f>
        <v/>
      </c>
      <c r="AP6" s="52">
        <f>HYD!AV8</f>
        <v/>
      </c>
      <c r="AQ6" s="52">
        <f>HYD!AW8</f>
        <v/>
      </c>
      <c r="AR6" s="52">
        <f>HYD!AX8</f>
        <v/>
      </c>
      <c r="AS6" s="52">
        <f>HYD!AY8</f>
        <v/>
      </c>
      <c r="AT6" s="52" t="n"/>
      <c r="AU6" s="52" t="n"/>
      <c r="AV6" s="52" t="n"/>
      <c r="AW6" s="52" t="n"/>
    </row>
    <row r="7" s="41">
      <c r="A7" s="53" t="n">
        <v>5</v>
      </c>
      <c r="B7" s="53">
        <f>B6</f>
        <v/>
      </c>
      <c r="C7" s="49">
        <f>GSD!F9</f>
        <v/>
      </c>
      <c r="D7" s="106" t="n">
        <v>4.75</v>
      </c>
      <c r="E7" s="106" t="n">
        <v>2</v>
      </c>
      <c r="F7" s="106" t="n">
        <v>1.18</v>
      </c>
      <c r="G7" s="106" t="n">
        <v>0.6</v>
      </c>
      <c r="H7" s="106" t="n">
        <v>0.425</v>
      </c>
      <c r="I7" s="106" t="n">
        <v>0.3</v>
      </c>
      <c r="J7" s="106" t="n">
        <v>0.15</v>
      </c>
      <c r="K7" s="106" t="n">
        <v>0.075</v>
      </c>
      <c r="L7" s="107">
        <f>HYD!Z9</f>
        <v/>
      </c>
      <c r="M7" s="107">
        <f>HYD!AA9</f>
        <v/>
      </c>
      <c r="N7" s="107">
        <f>HYD!AB9</f>
        <v/>
      </c>
      <c r="O7" s="107">
        <f>HYD!AC9</f>
        <v/>
      </c>
      <c r="P7" s="107">
        <f>HYD!AD9</f>
        <v/>
      </c>
      <c r="Q7" s="107">
        <f>HYD!AE9</f>
        <v/>
      </c>
      <c r="R7" s="107">
        <f>HYD!AF9</f>
        <v/>
      </c>
      <c r="S7" s="107">
        <f>HYD!AG9</f>
        <v/>
      </c>
      <c r="T7" s="107">
        <f>HYD!AH9</f>
        <v/>
      </c>
      <c r="U7" s="107">
        <f>HYD!AI9</f>
        <v/>
      </c>
      <c r="V7" s="107">
        <f>HYD!AJ9</f>
        <v/>
      </c>
      <c r="W7" s="107">
        <f>HYD!AK9</f>
        <v/>
      </c>
      <c r="X7" s="107">
        <f>HYD!AL9</f>
        <v/>
      </c>
      <c r="Y7" s="52">
        <f>GSD!S9</f>
        <v/>
      </c>
      <c r="Z7" s="52">
        <f>GSD!T9</f>
        <v/>
      </c>
      <c r="AA7" s="52">
        <f>GSD!U9</f>
        <v/>
      </c>
      <c r="AB7" s="52">
        <f>GSD!V9</f>
        <v/>
      </c>
      <c r="AC7" s="52">
        <f>GSD!W9</f>
        <v/>
      </c>
      <c r="AD7" s="52">
        <f>GSD!X9</f>
        <v/>
      </c>
      <c r="AE7" s="52">
        <f>GSD!Y9</f>
        <v/>
      </c>
      <c r="AF7" s="52">
        <f>GSD!Z9</f>
        <v/>
      </c>
      <c r="AG7" s="52">
        <f>HYD!AM9</f>
        <v/>
      </c>
      <c r="AH7" s="52">
        <f>HYD!AN9</f>
        <v/>
      </c>
      <c r="AI7" s="52">
        <f>HYD!AO9</f>
        <v/>
      </c>
      <c r="AJ7" s="52">
        <f>HYD!AP9</f>
        <v/>
      </c>
      <c r="AK7" s="52">
        <f>HYD!AQ9</f>
        <v/>
      </c>
      <c r="AL7" s="52">
        <f>HYD!AR9</f>
        <v/>
      </c>
      <c r="AM7" s="52">
        <f>HYD!AS9</f>
        <v/>
      </c>
      <c r="AN7" s="52">
        <f>HYD!AT9</f>
        <v/>
      </c>
      <c r="AO7" s="52">
        <f>HYD!AU9</f>
        <v/>
      </c>
      <c r="AP7" s="52">
        <f>HYD!AV9</f>
        <v/>
      </c>
      <c r="AQ7" s="52">
        <f>HYD!AW9</f>
        <v/>
      </c>
      <c r="AR7" s="52">
        <f>HYD!AX9</f>
        <v/>
      </c>
      <c r="AS7" s="52">
        <f>HYD!AY9</f>
        <v/>
      </c>
      <c r="AT7" s="52" t="n"/>
      <c r="AU7" s="52" t="n"/>
      <c r="AV7" s="52" t="n"/>
      <c r="AW7" s="52" t="n"/>
    </row>
    <row r="8" s="41">
      <c r="A8" s="53" t="n">
        <v>6</v>
      </c>
      <c r="B8" s="53">
        <f>B7</f>
        <v/>
      </c>
      <c r="C8" s="49">
        <f>GSD!F10</f>
        <v/>
      </c>
      <c r="D8" s="106" t="n">
        <v>4.75</v>
      </c>
      <c r="E8" s="106" t="n">
        <v>2</v>
      </c>
      <c r="F8" s="106" t="n">
        <v>1.18</v>
      </c>
      <c r="G8" s="106" t="n">
        <v>0.6</v>
      </c>
      <c r="H8" s="106" t="n">
        <v>0.425</v>
      </c>
      <c r="I8" s="106" t="n">
        <v>0.3</v>
      </c>
      <c r="J8" s="106" t="n">
        <v>0.15</v>
      </c>
      <c r="K8" s="106" t="n">
        <v>0.075</v>
      </c>
      <c r="L8" s="107">
        <f>HYD!Z10</f>
        <v/>
      </c>
      <c r="M8" s="107">
        <f>HYD!AA10</f>
        <v/>
      </c>
      <c r="N8" s="107">
        <f>HYD!AB10</f>
        <v/>
      </c>
      <c r="O8" s="107">
        <f>HYD!AC10</f>
        <v/>
      </c>
      <c r="P8" s="107">
        <f>HYD!AD10</f>
        <v/>
      </c>
      <c r="Q8" s="107">
        <f>HYD!AE10</f>
        <v/>
      </c>
      <c r="R8" s="107">
        <f>HYD!AF10</f>
        <v/>
      </c>
      <c r="S8" s="107">
        <f>HYD!AG10</f>
        <v/>
      </c>
      <c r="T8" s="107">
        <f>HYD!AH10</f>
        <v/>
      </c>
      <c r="U8" s="107">
        <f>HYD!AI10</f>
        <v/>
      </c>
      <c r="V8" s="107">
        <f>HYD!AJ10</f>
        <v/>
      </c>
      <c r="W8" s="107">
        <f>HYD!AK10</f>
        <v/>
      </c>
      <c r="X8" s="107">
        <f>HYD!AL10</f>
        <v/>
      </c>
      <c r="Y8" s="52">
        <f>GSD!S10</f>
        <v/>
      </c>
      <c r="Z8" s="52">
        <f>GSD!T10</f>
        <v/>
      </c>
      <c r="AA8" s="52">
        <f>GSD!U10</f>
        <v/>
      </c>
      <c r="AB8" s="52">
        <f>GSD!V10</f>
        <v/>
      </c>
      <c r="AC8" s="52">
        <f>GSD!W10</f>
        <v/>
      </c>
      <c r="AD8" s="52">
        <f>GSD!X10</f>
        <v/>
      </c>
      <c r="AE8" s="52">
        <f>GSD!Y10</f>
        <v/>
      </c>
      <c r="AF8" s="52">
        <f>GSD!Z10</f>
        <v/>
      </c>
      <c r="AG8" s="52">
        <f>HYD!AM10</f>
        <v/>
      </c>
      <c r="AH8" s="52">
        <f>HYD!AN10</f>
        <v/>
      </c>
      <c r="AI8" s="52">
        <f>HYD!AO10</f>
        <v/>
      </c>
      <c r="AJ8" s="52">
        <f>HYD!AP10</f>
        <v/>
      </c>
      <c r="AK8" s="52">
        <f>HYD!AQ10</f>
        <v/>
      </c>
      <c r="AL8" s="52">
        <f>HYD!AR10</f>
        <v/>
      </c>
      <c r="AM8" s="52">
        <f>HYD!AS10</f>
        <v/>
      </c>
      <c r="AN8" s="52">
        <f>HYD!AT10</f>
        <v/>
      </c>
      <c r="AO8" s="52">
        <f>HYD!AU10</f>
        <v/>
      </c>
      <c r="AP8" s="52">
        <f>HYD!AV10</f>
        <v/>
      </c>
      <c r="AQ8" s="52">
        <f>HYD!AW10</f>
        <v/>
      </c>
      <c r="AR8" s="52">
        <f>HYD!AX10</f>
        <v/>
      </c>
      <c r="AS8" s="52">
        <f>HYD!AY10</f>
        <v/>
      </c>
      <c r="AT8" s="52" t="n"/>
      <c r="AU8" s="52" t="n"/>
      <c r="AV8" s="52" t="n"/>
      <c r="AW8" s="52" t="n"/>
    </row>
    <row r="9" s="41">
      <c r="A9" s="53" t="n">
        <v>7</v>
      </c>
      <c r="B9" s="53">
        <f>B8</f>
        <v/>
      </c>
      <c r="C9" s="49">
        <f>GSD!F11</f>
        <v/>
      </c>
      <c r="D9" s="106" t="n">
        <v>4.75</v>
      </c>
      <c r="E9" s="106" t="n">
        <v>2</v>
      </c>
      <c r="F9" s="106" t="n">
        <v>1.18</v>
      </c>
      <c r="G9" s="106" t="n">
        <v>0.6</v>
      </c>
      <c r="H9" s="106" t="n">
        <v>0.425</v>
      </c>
      <c r="I9" s="106" t="n">
        <v>0.3</v>
      </c>
      <c r="J9" s="106" t="n">
        <v>0.15</v>
      </c>
      <c r="K9" s="106" t="n">
        <v>0.075</v>
      </c>
      <c r="L9" s="107">
        <f>HYD!Z11</f>
        <v/>
      </c>
      <c r="M9" s="107">
        <f>HYD!AA11</f>
        <v/>
      </c>
      <c r="N9" s="107">
        <f>HYD!AB11</f>
        <v/>
      </c>
      <c r="O9" s="107">
        <f>HYD!AC11</f>
        <v/>
      </c>
      <c r="P9" s="107">
        <f>HYD!AD11</f>
        <v/>
      </c>
      <c r="Q9" s="107">
        <f>HYD!AE11</f>
        <v/>
      </c>
      <c r="R9" s="107">
        <f>HYD!AF11</f>
        <v/>
      </c>
      <c r="S9" s="107">
        <f>HYD!AG11</f>
        <v/>
      </c>
      <c r="T9" s="107">
        <f>HYD!AH11</f>
        <v/>
      </c>
      <c r="U9" s="107">
        <f>HYD!AI11</f>
        <v/>
      </c>
      <c r="V9" s="107">
        <f>HYD!AJ11</f>
        <v/>
      </c>
      <c r="W9" s="107">
        <f>HYD!AK11</f>
        <v/>
      </c>
      <c r="X9" s="107">
        <f>HYD!AL11</f>
        <v/>
      </c>
      <c r="Y9" s="52">
        <f>GSD!S11</f>
        <v/>
      </c>
      <c r="Z9" s="52">
        <f>GSD!T11</f>
        <v/>
      </c>
      <c r="AA9" s="52">
        <f>GSD!U11</f>
        <v/>
      </c>
      <c r="AB9" s="52">
        <f>GSD!V11</f>
        <v/>
      </c>
      <c r="AC9" s="52">
        <f>GSD!W11</f>
        <v/>
      </c>
      <c r="AD9" s="52">
        <f>GSD!X11</f>
        <v/>
      </c>
      <c r="AE9" s="52">
        <f>GSD!Y11</f>
        <v/>
      </c>
      <c r="AF9" s="52">
        <f>GSD!Z11</f>
        <v/>
      </c>
      <c r="AG9" s="52">
        <f>HYD!AM11</f>
        <v/>
      </c>
      <c r="AH9" s="52">
        <f>HYD!AN11</f>
        <v/>
      </c>
      <c r="AI9" s="52">
        <f>HYD!AO11</f>
        <v/>
      </c>
      <c r="AJ9" s="52">
        <f>HYD!AP11</f>
        <v/>
      </c>
      <c r="AK9" s="52">
        <f>HYD!AQ11</f>
        <v/>
      </c>
      <c r="AL9" s="52">
        <f>HYD!AR11</f>
        <v/>
      </c>
      <c r="AM9" s="52">
        <f>HYD!AS11</f>
        <v/>
      </c>
      <c r="AN9" s="52">
        <f>HYD!AT11</f>
        <v/>
      </c>
      <c r="AO9" s="52">
        <f>HYD!AU11</f>
        <v/>
      </c>
      <c r="AP9" s="52">
        <f>HYD!AV11</f>
        <v/>
      </c>
      <c r="AQ9" s="52">
        <f>HYD!AW11</f>
        <v/>
      </c>
      <c r="AR9" s="52">
        <f>HYD!AX11</f>
        <v/>
      </c>
      <c r="AS9" s="52">
        <f>HYD!AY11</f>
        <v/>
      </c>
      <c r="AT9" s="54" t="n"/>
      <c r="AU9" s="54" t="n"/>
      <c r="AV9" s="54" t="n"/>
      <c r="AW9" s="54" t="n"/>
    </row>
    <row r="10" s="41">
      <c r="A10" s="53" t="n"/>
      <c r="B10" s="53" t="n"/>
      <c r="C10" s="49" t="n"/>
      <c r="D10" s="106" t="n"/>
      <c r="E10" s="106" t="n"/>
      <c r="F10" s="106" t="n"/>
      <c r="G10" s="106" t="n"/>
      <c r="H10" s="106" t="n"/>
      <c r="I10" s="106" t="n"/>
      <c r="J10" s="106" t="n"/>
      <c r="K10" s="106" t="n"/>
      <c r="L10" s="107" t="n"/>
      <c r="M10" s="107" t="n"/>
      <c r="N10" s="107" t="n"/>
      <c r="O10" s="107" t="n"/>
      <c r="P10" s="107" t="n"/>
      <c r="Q10" s="107" t="n"/>
      <c r="R10" s="107" t="n"/>
      <c r="S10" s="107" t="n"/>
      <c r="T10" s="107" t="n"/>
      <c r="U10" s="107" t="n"/>
      <c r="V10" s="107" t="n"/>
      <c r="W10" s="107" t="n"/>
      <c r="X10" s="107" t="n"/>
      <c r="Y10" s="52" t="n"/>
      <c r="Z10" s="52" t="n"/>
      <c r="AA10" s="52" t="n"/>
      <c r="AB10" s="52" t="n"/>
      <c r="AC10" s="52" t="n"/>
      <c r="AD10" s="52" t="n"/>
      <c r="AE10" s="52" t="n"/>
      <c r="AF10" s="52" t="n"/>
      <c r="AG10" s="52" t="n"/>
      <c r="AH10" s="52" t="n"/>
      <c r="AI10" s="52" t="n"/>
      <c r="AJ10" s="52" t="n"/>
      <c r="AK10" s="52" t="n"/>
      <c r="AL10" s="52" t="n"/>
      <c r="AM10" s="52" t="n"/>
      <c r="AN10" s="52" t="n"/>
      <c r="AO10" s="52" t="n"/>
      <c r="AP10" s="52" t="n"/>
      <c r="AQ10" s="52" t="n"/>
      <c r="AR10" s="52" t="n"/>
      <c r="AS10" s="52" t="n"/>
      <c r="AT10" s="54" t="n"/>
      <c r="AU10" s="54" t="n"/>
      <c r="AV10" s="54" t="n"/>
      <c r="AW10" s="54" t="n"/>
    </row>
    <row r="11" s="41">
      <c r="A11" s="53" t="n"/>
      <c r="B11" s="53" t="n"/>
      <c r="C11" s="49" t="n"/>
      <c r="D11" s="106" t="n"/>
      <c r="E11" s="106" t="n"/>
      <c r="F11" s="106" t="n"/>
      <c r="G11" s="106" t="n"/>
      <c r="H11" s="106" t="n"/>
      <c r="I11" s="106" t="n"/>
      <c r="J11" s="106" t="n"/>
      <c r="K11" s="106" t="n"/>
      <c r="L11" s="107" t="n"/>
      <c r="M11" s="107" t="n"/>
      <c r="N11" s="107" t="n"/>
      <c r="O11" s="107" t="n"/>
      <c r="P11" s="107" t="n"/>
      <c r="Q11" s="107" t="n"/>
      <c r="R11" s="107" t="n"/>
      <c r="S11" s="107" t="n"/>
      <c r="T11" s="107" t="n"/>
      <c r="U11" s="107" t="n"/>
      <c r="V11" s="107" t="n"/>
      <c r="W11" s="107" t="n"/>
      <c r="X11" s="107" t="n"/>
      <c r="Y11" s="52" t="n"/>
      <c r="Z11" s="52" t="n"/>
      <c r="AA11" s="52" t="n"/>
      <c r="AB11" s="52" t="n"/>
      <c r="AC11" s="52" t="n"/>
      <c r="AD11" s="52" t="n"/>
      <c r="AE11" s="52" t="n"/>
      <c r="AF11" s="52" t="n"/>
      <c r="AG11" s="52" t="n"/>
      <c r="AH11" s="52" t="n"/>
      <c r="AI11" s="52" t="n"/>
      <c r="AJ11" s="52" t="n"/>
      <c r="AK11" s="52" t="n"/>
      <c r="AL11" s="52" t="n"/>
      <c r="AM11" s="52" t="n"/>
      <c r="AN11" s="52" t="n"/>
      <c r="AO11" s="52" t="n"/>
      <c r="AP11" s="52" t="n"/>
      <c r="AQ11" s="52" t="n"/>
      <c r="AR11" s="52" t="n"/>
      <c r="AS11" s="52" t="n"/>
      <c r="AT11" s="54" t="n"/>
      <c r="AU11" s="54" t="n"/>
      <c r="AV11" s="54" t="n"/>
      <c r="AW11" s="54" t="n"/>
    </row>
  </sheetData>
  <mergeCells count="4">
    <mergeCell ref="AG2:AS2"/>
    <mergeCell ref="D2:K2"/>
    <mergeCell ref="Y2:AF2"/>
    <mergeCell ref="L2:X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2026-06-15T06:47:07Z</dcterms:created>
  <dcterms:modified xsi:type="dcterms:W3CDTF">2026-09-19T05:38:56Z</dcterms:modified>
  <cp:lastModifiedBy>baps</cp:lastModifiedBy>
</cp:coreProperties>
</file>