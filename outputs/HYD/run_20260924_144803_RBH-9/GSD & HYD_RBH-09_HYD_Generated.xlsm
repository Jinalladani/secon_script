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75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"/>
    <numFmt numFmtId="167" formatCode="0.0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1" fillId="3" borderId="1" applyAlignment="1" pivotButton="0" quotePrefix="0" xfId="0">
      <alignment horizontal="center" vertical="center"/>
    </xf>
    <xf numFmtId="167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/>
    </xf>
    <xf numFmtId="2" fontId="9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vertical="center"/>
    </xf>
    <xf numFmtId="164" fontId="2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1" fillId="0" borderId="6" applyAlignment="1" pivotButton="0" quotePrefix="0" xfId="0">
      <alignment horizontal="center" vertical="center" textRotation="90"/>
    </xf>
    <xf numFmtId="0" fontId="1" fillId="0" borderId="7" applyAlignment="1" pivotButton="0" quotePrefix="0" xfId="0">
      <alignment horizontal="center" vertical="center" textRotation="90"/>
    </xf>
    <xf numFmtId="0" fontId="1" fillId="0" borderId="6" applyAlignment="1" pivotButton="0" quotePrefix="0" xfId="0">
      <alignment horizontal="center" vertical="center" textRotation="90" wrapText="1"/>
    </xf>
    <xf numFmtId="0" fontId="1" fillId="0" borderId="7" applyAlignment="1" pivotButton="0" quotePrefix="0" xfId="0">
      <alignment horizontal="center" vertical="center" textRotation="90" wrapText="1"/>
    </xf>
    <xf numFmtId="0" fontId="1" fillId="0" borderId="6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 textRotation="90"/>
    </xf>
    <xf numFmtId="0" fontId="1" fillId="0" borderId="0" applyAlignment="1" pivotButton="0" quotePrefix="0" xfId="0">
      <alignment horizontal="center" vertical="center" textRotation="90" wrapText="1"/>
    </xf>
    <xf numFmtId="0" fontId="1" fillId="0" borderId="0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2" applyAlignment="1" pivotButton="0" quotePrefix="0" xfId="1">
      <alignment horizontal="center" vertical="center" textRotation="90" wrapText="1"/>
    </xf>
    <xf numFmtId="0" fontId="5" fillId="0" borderId="12" applyAlignment="1" pivotButton="0" quotePrefix="0" xfId="1">
      <alignment horizontal="center" vertical="center" textRotation="90"/>
    </xf>
    <xf numFmtId="0" fontId="5" fillId="0" borderId="12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5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/>
    </xf>
    <xf numFmtId="0" fontId="0" fillId="0" borderId="14" pivotButton="0" quotePrefix="0" xfId="0"/>
    <xf numFmtId="168" fontId="7" fillId="0" borderId="1" applyAlignment="1" pivotButton="0" quotePrefix="0" xfId="0">
      <alignment horizontal="center" vertical="center" wrapText="1"/>
    </xf>
    <xf numFmtId="164" fontId="11" fillId="3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100</v>
                </pt>
                <pt idx="1">
                  <v>99.83</v>
                </pt>
                <pt idx="2">
                  <v>97.11</v>
                </pt>
                <pt idx="3">
                  <v>40.42</v>
                </pt>
                <pt idx="4">
                  <v>32.67</v>
                </pt>
                <pt idx="5">
                  <v>27.49000000000001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97.73</v>
                </pt>
                <pt idx="1">
                  <v>94.36</v>
                </pt>
                <pt idx="2">
                  <v>62.11</v>
                </pt>
                <pt idx="3">
                  <v>41.89</v>
                </pt>
                <pt idx="4">
                  <v>34.09</v>
                </pt>
                <pt idx="5">
                  <v>28.66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92.68000000000001</v>
                </pt>
                <pt idx="1">
                  <v>86.88</v>
                </pt>
                <pt idx="2">
                  <v>73.00999999999999</v>
                </pt>
                <pt idx="3">
                  <v>45.385</v>
                </pt>
                <pt idx="4">
                  <v>39.11499999999999</v>
                </pt>
                <pt idx="5">
                  <v>35.43499999999999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97.3</v>
                </pt>
                <pt idx="1">
                  <v>91.84</v>
                </pt>
                <pt idx="2">
                  <v>55.92</v>
                </pt>
                <pt idx="3">
                  <v>38.48</v>
                </pt>
                <pt idx="4">
                  <v>32.48</v>
                </pt>
                <pt idx="5">
                  <v>29.60000000000001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98.33</v>
                </pt>
                <pt idx="1">
                  <v>96.97</v>
                </pt>
                <pt idx="2">
                  <v>93.45</v>
                </pt>
                <pt idx="3">
                  <v>87.55</v>
                </pt>
                <pt idx="4">
                  <v>84.42</v>
                </pt>
                <pt idx="5">
                  <v>80.28999999999999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98.01000000000001</v>
                </pt>
                <pt idx="1">
                  <v>97.64</v>
                </pt>
                <pt idx="2">
                  <v>96.16</v>
                </pt>
                <pt idx="3">
                  <v>93.34</v>
                </pt>
                <pt idx="4">
                  <v>91.58</v>
                </pt>
                <pt idx="5">
                  <v>89.33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9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92.34999999999999</v>
                </pt>
                <pt idx="1">
                  <v>85.55</v>
                </pt>
                <pt idx="2">
                  <v>71.81</v>
                </pt>
                <pt idx="3">
                  <v>61.09</v>
                </pt>
                <pt idx="4">
                  <v>59.62499999999999</v>
                </pt>
                <pt idx="5">
                  <v>58.975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10.5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99.73999999999999</v>
                </pt>
                <pt idx="1">
                  <v>98.95</v>
                </pt>
                <pt idx="2">
                  <v>93.45999999999999</v>
                </pt>
                <pt idx="3">
                  <v>86.93000000000001</v>
                </pt>
                <pt idx="4">
                  <v>84.34999999999999</v>
                </pt>
                <pt idx="5">
                  <v>80.83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12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94.76000000000001</v>
                </pt>
                <pt idx="1">
                  <v>89.785</v>
                </pt>
                <pt idx="2">
                  <v>79.92</v>
                </pt>
                <pt idx="3">
                  <v>69.215</v>
                </pt>
                <pt idx="4">
                  <v>68.11500000000001</v>
                </pt>
                <pt idx="5">
                  <v>67.37</v>
                </pt>
              </numCache>
            </numRef>
          </yVal>
          <smooth val="1"/>
        </ser>
        <ser>
          <idx val="9"/>
          <order val="9"/>
          <tx>
            <strRef>
              <f>GSD!$F$14</f>
              <strCache>
                <ptCount val="1"/>
                <pt idx="0">
                  <v>13.5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90.73</v>
                </pt>
                <pt idx="1">
                  <v>89.63</v>
                </pt>
                <pt idx="2">
                  <v>86.66</v>
                </pt>
                <pt idx="3">
                  <v>79.06</v>
                </pt>
                <pt idx="4">
                  <v>78.2</v>
                </pt>
                <pt idx="5">
                  <v>77.24000000000001</v>
                </pt>
              </numCache>
            </numRef>
          </yVal>
          <smooth val="1"/>
        </ser>
        <ser>
          <idx val="10"/>
          <order val="10"/>
          <tx>
            <strRef>
              <f>GSD!$F$15</f>
              <strCache>
                <ptCount val="1"/>
                <pt idx="0">
                  <v>15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GSD!$Q$15:$V$15</f>
              <numCache>
                <formatCode>0.00</formatCode>
                <ptCount val="6"/>
                <pt idx="0">
                  <v>97.90000000000001</v>
                </pt>
                <pt idx="1">
                  <v>96.09</v>
                </pt>
                <pt idx="2">
                  <v>93.27</v>
                </pt>
                <pt idx="3">
                  <v>88.22</v>
                </pt>
                <pt idx="4">
                  <v>83.89</v>
                </pt>
                <pt idx="5">
                  <v>81.21000000000001</v>
                </pt>
              </numCache>
            </numRef>
          </yVal>
          <smooth val="1"/>
        </ser>
        <ser>
          <idx val="11"/>
          <order val="11"/>
          <tx>
            <strRef>
              <f>GSD!$F$16</f>
              <strCache>
                <ptCount val="1"/>
                <pt idx="0">
                  <v>16.5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GSD!$Q$16:$V$16</f>
              <numCache>
                <formatCode>0.00</formatCode>
                <ptCount val="6"/>
                <pt idx="0">
                  <v>98.88</v>
                </pt>
                <pt idx="1">
                  <v>98.22</v>
                </pt>
                <pt idx="2">
                  <v>97.66</v>
                </pt>
                <pt idx="3">
                  <v>97.40000000000001</v>
                </pt>
                <pt idx="4">
                  <v>97.3</v>
                </pt>
                <pt idx="5">
                  <v>97.14</v>
                </pt>
              </numCache>
            </numRef>
          </yVal>
          <smooth val="1"/>
        </ser>
        <ser>
          <idx val="12"/>
          <order val="12"/>
          <tx>
            <strRef>
              <f>GSD!$F$17</f>
              <strCache>
                <ptCount val="1"/>
                <pt idx="0">
                  <v>18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GSD!$Q$17:$V$17</f>
              <numCache>
                <formatCode>0.00</formatCode>
                <ptCount val="6"/>
                <pt idx="0">
                  <v>99.06</v>
                </pt>
                <pt idx="1">
                  <v>96.47</v>
                </pt>
                <pt idx="2">
                  <v>58.39</v>
                </pt>
                <pt idx="3">
                  <v>29.01</v>
                </pt>
                <pt idx="4">
                  <v>22.25</v>
                </pt>
                <pt idx="5">
                  <v>17.90000000000001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100</v>
                </pt>
                <pt idx="1">
                  <v>99.83</v>
                </pt>
                <pt idx="2">
                  <v>97.11</v>
                </pt>
                <pt idx="3">
                  <v>40.42</v>
                </pt>
                <pt idx="4">
                  <v>32.67</v>
                </pt>
                <pt idx="5">
                  <v>27.49000000000001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0.06577761083706295</v>
                </pt>
                <pt idx="7">
                  <formatCode>0.00000</formatCode>
                  <v>0.04651179467313694</v>
                </pt>
                <pt idx="8">
                  <formatCode>0.00000</formatCode>
                  <v>0.03288880541853147</v>
                </pt>
                <pt idx="9">
                  <formatCode>0.00000</formatCode>
                  <v>0.02325589733656847</v>
                </pt>
                <pt idx="10">
                  <formatCode>0.00000</formatCode>
                  <v>0.01727724053000839</v>
                </pt>
                <pt idx="11">
                  <formatCode>0.00000</formatCode>
                  <v>0.01261751249297081</v>
                </pt>
                <pt idx="12">
                  <formatCode>0.00000</formatCode>
                  <v>0.009009268884665786</v>
                </pt>
                <pt idx="13">
                  <formatCode>0.00000</formatCode>
                  <v>0.006370515121880141</v>
                </pt>
                <pt idx="14">
                  <formatCode>0.00000</formatCode>
                  <v>0.004547885248037724</v>
                </pt>
                <pt idx="15">
                  <formatCode>0.00000</formatCode>
                  <v>0.003215840498945738</v>
                </pt>
                <pt idx="16">
                  <formatCode>0.00000</formatCode>
                  <v>0.002295364295683073</v>
                </pt>
                <pt idx="17">
                  <formatCode>0.00000</formatCode>
                  <v>0.001623067658770985</v>
                </pt>
                <pt idx="18">
                  <formatCode>0.00000</formatCode>
                  <v>0.001337482640692768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97.73</v>
                </pt>
                <pt idx="1">
                  <v>94.36</v>
                </pt>
                <pt idx="2">
                  <v>62.11</v>
                </pt>
                <pt idx="3">
                  <v>41.89</v>
                </pt>
                <pt idx="4">
                  <v>34.09</v>
                </pt>
                <pt idx="5">
                  <v>28.66</v>
                </pt>
                <pt idx="6">
                  <v>27.40157471264336</v>
                </pt>
                <pt idx="7">
                  <v>27.40157471264336</v>
                </pt>
                <pt idx="8">
                  <v>27.40157471264336</v>
                </pt>
                <pt idx="9">
                  <v>27.40157471264336</v>
                </pt>
                <pt idx="10">
                  <v>24.25214942528738</v>
                </pt>
                <pt idx="11">
                  <v>24.25214942528738</v>
                </pt>
                <pt idx="12">
                  <v>21.1027241379307</v>
                </pt>
                <pt idx="13">
                  <v>21.1027241379307</v>
                </pt>
                <pt idx="14">
                  <v>17.95329885057473</v>
                </pt>
                <pt idx="15">
                  <v>17.95329885057473</v>
                </pt>
                <pt idx="16">
                  <v>14.80387356321805</v>
                </pt>
                <pt idx="17">
                  <v>14.80387356321805</v>
                </pt>
                <pt idx="18">
                  <v>11.65444827586208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0.06433319732225144</v>
                </pt>
                <pt idx="7">
                  <formatCode>0.00000</formatCode>
                  <v>0.04549044008197623</v>
                </pt>
                <pt idx="8">
                  <formatCode>0.00000</formatCode>
                  <v>0.03216659866112572</v>
                </pt>
                <pt idx="9">
                  <formatCode>0.00000</formatCode>
                  <v>0.02300197595470851</v>
                </pt>
                <pt idx="10">
                  <formatCode>0.00000</formatCode>
                  <v>0.01693390614193141</v>
                </pt>
                <pt idx="11">
                  <formatCode>0.00000</formatCode>
                  <v>0.01236677650748148</v>
                </pt>
                <pt idx="12">
                  <formatCode>0.00000</formatCode>
                  <v>0.008833724903689709</v>
                </pt>
                <pt idx="13">
                  <formatCode>0.00000</formatCode>
                  <v>0.006308756246485406</v>
                </pt>
                <pt idx="14">
                  <formatCode>0.00000</formatCode>
                  <v>0.004504634442332893</v>
                </pt>
                <pt idx="15">
                  <formatCode>0.00000</formatCode>
                  <v>0.00318525756094007</v>
                </pt>
                <pt idx="16">
                  <formatCode>0.00000</formatCode>
                  <v>0.002273942624018862</v>
                </pt>
                <pt idx="17">
                  <formatCode>0.00000</formatCode>
                  <v>0.001607920249472869</v>
                </pt>
                <pt idx="18">
                  <formatCode>0.00000</formatCode>
                  <v>0.001325229194000878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92.68000000000001</v>
                </pt>
                <pt idx="1">
                  <v>86.88</v>
                </pt>
                <pt idx="2">
                  <v>73.00999999999999</v>
                </pt>
                <pt idx="3">
                  <v>45.385</v>
                </pt>
                <pt idx="4">
                  <v>39.11499999999999</v>
                </pt>
                <pt idx="5">
                  <v>35.43499999999999</v>
                </pt>
                <pt idx="6">
                  <v>33.700425287356</v>
                </pt>
                <pt idx="7">
                  <v>33.700425287356</v>
                </pt>
                <pt idx="8">
                  <v>33.700425287356</v>
                </pt>
                <pt idx="9">
                  <v>30.55100000000003</v>
                </pt>
                <pt idx="10">
                  <v>30.55100000000003</v>
                </pt>
                <pt idx="11">
                  <v>30.55100000000003</v>
                </pt>
                <pt idx="12">
                  <v>27.40157471264336</v>
                </pt>
                <pt idx="13">
                  <v>24.25214942528738</v>
                </pt>
                <pt idx="14">
                  <v>21.1027241379307</v>
                </pt>
                <pt idx="15">
                  <v>21.1027241379307</v>
                </pt>
                <pt idx="16">
                  <v>17.95329885057473</v>
                </pt>
                <pt idx="17">
                  <v>17.95329885057473</v>
                </pt>
                <pt idx="18">
                  <v>14.80387356321805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0.06615893351466293</v>
                </pt>
                <pt idx="7">
                  <formatCode>0.00000</formatCode>
                  <v>0.0467814305242881</v>
                </pt>
                <pt idx="8">
                  <formatCode>0.00000</formatCode>
                  <v>0.03307946675733146</v>
                </pt>
                <pt idx="9">
                  <formatCode>0.00000</formatCode>
                  <v>0.02364335008805439</v>
                </pt>
                <pt idx="10">
                  <formatCode>0.00000</formatCode>
                  <v>0.01737739928519276</v>
                </pt>
                <pt idx="11">
                  <formatCode>0.00000</formatCode>
                  <v>0.01281489190741918</v>
                </pt>
                <pt idx="12">
                  <formatCode>0.00000</formatCode>
                  <v>0.009061496967908714</v>
                </pt>
                <pt idx="13">
                  <formatCode>0.00000</formatCode>
                  <v>0.006407445953709591</v>
                </pt>
                <pt idx="14">
                  <formatCode>0.00000</formatCode>
                  <v>0.004574250021068095</v>
                </pt>
                <pt idx="15">
                  <formatCode>0.00000</formatCode>
                  <v>0.003234483208739958</v>
                </pt>
                <pt idx="16">
                  <formatCode>0.00000</formatCode>
                  <v>0.002308670866842452</v>
                </pt>
                <pt idx="17">
                  <formatCode>0.00000</formatCode>
                  <v>0.001632476825472123</v>
                </pt>
                <pt idx="18">
                  <formatCode>0.00000</formatCode>
                  <v>0.00134523622820229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97.3</v>
                </pt>
                <pt idx="1">
                  <v>91.84</v>
                </pt>
                <pt idx="2">
                  <v>55.92</v>
                </pt>
                <pt idx="3">
                  <v>38.48</v>
                </pt>
                <pt idx="4">
                  <v>32.48</v>
                </pt>
                <pt idx="5">
                  <v>29.60000000000001</v>
                </pt>
                <pt idx="6">
                  <v>27.51786046511596</v>
                </pt>
                <pt idx="7">
                  <v>27.51786046511596</v>
                </pt>
                <pt idx="8">
                  <v>27.51786046511596</v>
                </pt>
                <pt idx="9">
                  <v>24.35506976744188</v>
                </pt>
                <pt idx="10">
                  <v>24.35506976744188</v>
                </pt>
                <pt idx="11">
                  <v>21.19227906976711</v>
                </pt>
                <pt idx="12">
                  <v>21.19227906976711</v>
                </pt>
                <pt idx="13">
                  <v>21.19227906976711</v>
                </pt>
                <pt idx="14">
                  <v>18.02948837209304</v>
                </pt>
                <pt idx="15">
                  <v>18.02948837209304</v>
                </pt>
                <pt idx="16">
                  <v>14.86669767441827</v>
                </pt>
                <pt idx="17">
                  <v>14.86669767441827</v>
                </pt>
                <pt idx="18">
                  <v>11.7039069767442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6.00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0.05840091911087442</v>
                </pt>
                <pt idx="7">
                  <formatCode>0.00000</formatCode>
                  <v>0.04129568593082634</v>
                </pt>
                <pt idx="8">
                  <formatCode>0.00000</formatCode>
                  <v>0.02920045955543721</v>
                </pt>
                <pt idx="9">
                  <formatCode>0.00000</formatCode>
                  <v>0.02064784296541317</v>
                </pt>
                <pt idx="10">
                  <formatCode>0.00000</formatCode>
                  <v>0.01536787929047519</v>
                </pt>
                <pt idx="11">
                  <formatCode>0.00000</formatCode>
                  <v>0.01107764198198889</v>
                </pt>
                <pt idx="12">
                  <formatCode>0.00000</formatCode>
                  <v>0.00793593874113817</v>
                </pt>
                <pt idx="13">
                  <formatCode>0.00000</formatCode>
                  <v>0.005611556098939834</v>
                </pt>
                <pt idx="14">
                  <formatCode>0.00000</formatCode>
                  <v>0.004018742697213716</v>
                </pt>
                <pt idx="15">
                  <formatCode>0.00000</formatCode>
                  <v>0.002841680213043735</v>
                </pt>
                <pt idx="16">
                  <formatCode>0.00000</formatCode>
                  <v>0.00203444125050606</v>
                </pt>
                <pt idx="17">
                  <formatCode>0.00000</formatCode>
                  <v>0.001456078498385166</v>
                </pt>
                <pt idx="18">
                  <formatCode>0.00000</formatCode>
                  <v>0.001203011107191411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98.33</v>
                </pt>
                <pt idx="1">
                  <v>96.97</v>
                </pt>
                <pt idx="2">
                  <v>93.45</v>
                </pt>
                <pt idx="3">
                  <v>87.55</v>
                </pt>
                <pt idx="4">
                  <v>84.42</v>
                </pt>
                <pt idx="5">
                  <v>80.28999999999999</v>
                </pt>
                <pt idx="6">
                  <v>62.85397619047624</v>
                </pt>
                <pt idx="7">
                  <v>62.85397619047624</v>
                </pt>
                <pt idx="8">
                  <v>62.85397619047624</v>
                </pt>
                <pt idx="9">
                  <v>62.85397619047624</v>
                </pt>
                <pt idx="10">
                  <v>62.85397619047624</v>
                </pt>
                <pt idx="11">
                  <v>66.04445238095208</v>
                </pt>
                <pt idx="12">
                  <v>62.85397619047624</v>
                </pt>
                <pt idx="13">
                  <v>62.85397619047624</v>
                </pt>
                <pt idx="14">
                  <v>59.6634999999997</v>
                </pt>
                <pt idx="15">
                  <v>59.6634999999997</v>
                </pt>
                <pt idx="16">
                  <v>56.47302380952385</v>
                </pt>
                <pt idx="17">
                  <v>53.28254761904731</v>
                </pt>
                <pt idx="18">
                  <v>50.09207142857147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0.05540612620021076</v>
                </pt>
                <pt idx="7">
                  <formatCode>0.00000</formatCode>
                  <v>0.03917804755544667</v>
                </pt>
                <pt idx="8">
                  <formatCode>0.00000</formatCode>
                  <v>0.02770306310010538</v>
                </pt>
                <pt idx="9">
                  <formatCode>0.00000</formatCode>
                  <v>0.01988321503065079</v>
                </pt>
                <pt idx="10">
                  <formatCode>0.00000</formatCode>
                  <v>0.01481993395016445</v>
                </pt>
                <pt idx="11">
                  <formatCode>0.00000</formatCode>
                  <v>0.01096507512624039</v>
                </pt>
                <pt idx="12">
                  <formatCode>0.00000</formatCode>
                  <v>0.007753478977984515</v>
                </pt>
                <pt idx="13">
                  <formatCode>0.00000</formatCode>
                  <v>0.005552690995401814</v>
                </pt>
                <pt idx="14">
                  <formatCode>0.00000</formatCode>
                  <v>0.003926345456682103</v>
                </pt>
                <pt idx="15">
                  <formatCode>0.00000</formatCode>
                  <v>0.002810984545039722</v>
                </pt>
                <pt idx="16">
                  <formatCode>0.00000</formatCode>
                  <v>0.00198766623360817</v>
                </pt>
                <pt idx="17">
                  <formatCode>0.00000</formatCode>
                  <v>0.001422600954440518</v>
                </pt>
                <pt idx="18">
                  <formatCode>0.00000</formatCode>
                  <v>0.00117535198218437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98.01000000000001</v>
                </pt>
                <pt idx="1">
                  <v>97.64</v>
                </pt>
                <pt idx="2">
                  <v>96.16</v>
                </pt>
                <pt idx="3">
                  <v>93.34</v>
                </pt>
                <pt idx="4">
                  <v>91.58</v>
                </pt>
                <pt idx="5">
                  <v>89.33</v>
                </pt>
                <pt idx="6">
                  <v>68.06065909090916</v>
                </pt>
                <pt idx="7">
                  <v>68.06065909090916</v>
                </pt>
                <pt idx="8">
                  <v>68.06065909090916</v>
                </pt>
                <pt idx="9">
                  <v>64.92429545454516</v>
                </pt>
                <pt idx="10">
                  <v>64.92429545454516</v>
                </pt>
                <pt idx="11">
                  <v>61.78793181818187</v>
                </pt>
                <pt idx="12">
                  <v>61.78793181818187</v>
                </pt>
                <pt idx="13">
                  <v>58.65156818181789</v>
                </pt>
                <pt idx="14">
                  <v>58.65156818181789</v>
                </pt>
                <pt idx="15">
                  <v>55.51520454545459</v>
                </pt>
                <pt idx="16">
                  <v>55.51520454545459</v>
                </pt>
                <pt idx="17">
                  <v>52.37884090909061</v>
                </pt>
                <pt idx="18">
                  <v>49.24247727272731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9.00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0.06196588267002735</v>
                </pt>
                <pt idx="7">
                  <formatCode>0.00000</formatCode>
                  <v>0.04381649583818631</v>
                </pt>
                <pt idx="8">
                  <formatCode>0.00000</formatCode>
                  <v>0.03098294133501368</v>
                </pt>
                <pt idx="9">
                  <formatCode>0.00000</formatCode>
                  <v>0.02219430679085063</v>
                </pt>
                <pt idx="10">
                  <formatCode>0.00000</formatCode>
                  <v>0.01643626078172392</v>
                </pt>
                <pt idx="11">
                  <formatCode>0.00000</formatCode>
                  <v>0.01200334772158358</v>
                </pt>
                <pt idx="12">
                  <formatCode>0.00000</formatCode>
                  <v>0.008586169219635518</v>
                </pt>
                <pt idx="13">
                  <formatCode>0.00000</formatCode>
                  <v>0.006071338479619481</v>
                </pt>
                <pt idx="14">
                  <formatCode>0.00000</formatCode>
                  <v>0.004341786080457257</v>
                </pt>
                <pt idx="15">
                  <formatCode>0.00000</formatCode>
                  <v>0.003070106379952687</v>
                </pt>
                <pt idx="16">
                  <formatCode>0.00000</formatCode>
                  <v>0.002194973648466581</v>
                </pt>
                <pt idx="17">
                  <formatCode>0.00000</formatCode>
                  <v>0.001552080751356496</v>
                </pt>
                <pt idx="18">
                  <formatCode>0.00000</formatCode>
                  <v>0.001281020692366347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92.34999999999999</v>
                </pt>
                <pt idx="1">
                  <v>85.55</v>
                </pt>
                <pt idx="2">
                  <v>71.81</v>
                </pt>
                <pt idx="3">
                  <v>61.09</v>
                </pt>
                <pt idx="4">
                  <v>59.62499999999999</v>
                </pt>
                <pt idx="5">
                  <v>58.975</v>
                </pt>
                <pt idx="6">
                  <v>54.01890123456759</v>
                </pt>
                <pt idx="7">
                  <v>54.01890123456759</v>
                </pt>
                <pt idx="8">
                  <v>54.01890123456759</v>
                </pt>
                <pt idx="9">
                  <v>50.78433333333337</v>
                </pt>
                <pt idx="10">
                  <v>50.78433333333337</v>
                </pt>
                <pt idx="11">
                  <v>50.78433333333337</v>
                </pt>
                <pt idx="12">
                  <v>47.54976543209845</v>
                </pt>
                <pt idx="13">
                  <v>47.54976543209845</v>
                </pt>
                <pt idx="14">
                  <v>44.31519753086424</v>
                </pt>
                <pt idx="15">
                  <v>44.31519753086424</v>
                </pt>
                <pt idx="16">
                  <v>41.08062962962931</v>
                </pt>
                <pt idx="17">
                  <v>41.08062962962931</v>
                </pt>
                <pt idx="18">
                  <v>37.8460617283951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0.05757319334095422</v>
                </pt>
                <pt idx="7">
                  <formatCode>0.00000</formatCode>
                  <v>0.04071039542595292</v>
                </pt>
                <pt idx="8">
                  <formatCode>0.00000</formatCode>
                  <v>0.02834768227625757</v>
                </pt>
                <pt idx="9">
                  <formatCode>0.00000</formatCode>
                  <v>0.02066089549489331</v>
                </pt>
                <pt idx="10">
                  <formatCode>0.00000</formatCode>
                  <v>0.01519466078169873</v>
                </pt>
                <pt idx="11">
                  <formatCode>0.00000</formatCode>
                  <v>0.01139394564348237</v>
                </pt>
                <pt idx="12">
                  <formatCode>0.00000</formatCode>
                  <v>0.008056736228977303</v>
                </pt>
                <pt idx="13">
                  <formatCode>0.00000</formatCode>
                  <v>0.005769870123849735</v>
                </pt>
                <pt idx="14">
                  <formatCode>0.00000</formatCode>
                  <v>0.004079914291139812</v>
                </pt>
                <pt idx="15">
                  <formatCode>0.00000</formatCode>
                  <v>0.002884935061924868</v>
                </pt>
                <pt idx="16">
                  <formatCode>0.00000</formatCode>
                  <v>0.00206540865086457</v>
                </pt>
                <pt idx="17">
                  <formatCode>0.00000</formatCode>
                  <v>0.001478242306655223</v>
                </pt>
                <pt idx="18">
                  <formatCode>0.00000</formatCode>
                  <v>0.001221322831151425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99.73999999999999</v>
                </pt>
                <pt idx="1">
                  <v>98.95</v>
                </pt>
                <pt idx="2">
                  <v>93.45999999999999</v>
                </pt>
                <pt idx="3">
                  <v>86.93000000000001</v>
                </pt>
                <pt idx="4">
                  <v>84.34999999999999</v>
                </pt>
                <pt idx="5">
                  <v>80.83</v>
                </pt>
                <pt idx="6">
                  <v>70.02738036809822</v>
                </pt>
                <pt idx="7">
                  <v>70.02738036809822</v>
                </pt>
                <pt idx="8">
                  <v>73.25437423312853</v>
                </pt>
                <pt idx="9">
                  <v>66.80038650306719</v>
                </pt>
                <pt idx="10">
                  <v>70.02738036809822</v>
                </pt>
                <pt idx="11">
                  <v>63.57339263803686</v>
                </pt>
                <pt idx="12">
                  <v>63.57339263803686</v>
                </pt>
                <pt idx="13">
                  <v>60.34639877300584</v>
                </pt>
                <pt idx="14">
                  <v>60.34639877300584</v>
                </pt>
                <pt idx="15">
                  <v>60.34639877300584</v>
                </pt>
                <pt idx="16">
                  <v>57.1194049079755</v>
                </pt>
                <pt idx="17">
                  <v>53.89241104294447</v>
                </pt>
                <pt idx="18">
                  <v>50.66541717791415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12.00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0.05898314769156404</v>
                </pt>
                <pt idx="7">
                  <formatCode>0.00000</formatCode>
                  <v>0.04170738370843259</v>
                </pt>
                <pt idx="8">
                  <formatCode>0.00000</formatCode>
                  <v>0.02949157384578202</v>
                </pt>
                <pt idx="9">
                  <formatCode>0.00000</formatCode>
                  <v>0.0211577430289854</v>
                </pt>
                <pt idx="10">
                  <formatCode>0.00000</formatCode>
                  <v>0.01574739024667094</v>
                </pt>
                <pt idx="11">
                  <formatCode>0.00000</formatCode>
                  <v>0.0116474228942643</v>
                </pt>
                <pt idx="12">
                  <formatCode>0.00000</formatCode>
                  <v>0.008235971711881727</v>
                </pt>
                <pt idx="13">
                  <formatCode>0.00000</formatCode>
                  <v>0.005896370925814416</v>
                </pt>
                <pt idx="14">
                  <formatCode>0.00000</formatCode>
                  <v>0.004220116418425046</v>
                </pt>
                <pt idx="15">
                  <formatCode>0.00000</formatCode>
                  <v>0.003019533914590661</v>
                </pt>
                <pt idx="16">
                  <formatCode>0.00000</formatCode>
                  <v>0.002159916529659901</v>
                </pt>
                <pt idx="17">
                  <formatCode>0.00000</formatCode>
                  <v>0.001544617476839251</v>
                </pt>
                <pt idx="18">
                  <formatCode>0.00000</formatCode>
                  <v>0.00127516445788128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94.76000000000001</v>
                </pt>
                <pt idx="1">
                  <v>89.785</v>
                </pt>
                <pt idx="2">
                  <v>79.92</v>
                </pt>
                <pt idx="3">
                  <v>69.215</v>
                </pt>
                <pt idx="4">
                  <v>68.11500000000001</v>
                </pt>
                <pt idx="5">
                  <v>67.37</v>
                </pt>
                <pt idx="6">
                  <v>67.2766249999997</v>
                </pt>
                <pt idx="7">
                  <v>67.2766249999997</v>
                </pt>
                <pt idx="8">
                  <v>67.2766249999997</v>
                </pt>
                <pt idx="9">
                  <v>64.02662500000005</v>
                </pt>
                <pt idx="10">
                  <v>64.02662500000005</v>
                </pt>
                <pt idx="11">
                  <v>60.7766249999997</v>
                </pt>
                <pt idx="12">
                  <v>60.7766249999997</v>
                </pt>
                <pt idx="13">
                  <v>57.52662500000004</v>
                </pt>
                <pt idx="14">
                  <v>54.27662499999968</v>
                </pt>
                <pt idx="15">
                  <v>51.02662500000004</v>
                </pt>
                <pt idx="16">
                  <v>47.77662499999968</v>
                </pt>
                <pt idx="17">
                  <v>44.52662500000004</v>
                </pt>
                <pt idx="18">
                  <v>41.27662499999968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0.05687008103618273</v>
                </pt>
                <pt idx="7">
                  <formatCode>0.00000</formatCode>
                  <v>0.04021321994731328</v>
                </pt>
                <pt idx="8">
                  <formatCode>0.00000</formatCode>
                  <v>0.02887530750224826</v>
                </pt>
                <pt idx="9">
                  <formatCode>0.00000</formatCode>
                  <v>0.02072456558571612</v>
                </pt>
                <pt idx="10">
                  <formatCode>0.00000</formatCode>
                  <v>0.01524148573331961</v>
                </pt>
                <pt idx="11">
                  <formatCode>0.00000</formatCode>
                  <v>0.01128091842312994</v>
                </pt>
                <pt idx="12">
                  <formatCode>0.00000</formatCode>
                  <v>0.007976813915007437</v>
                </pt>
                <pt idx="13">
                  <formatCode>0.00000</formatCode>
                  <v>0.005714529019973976</v>
                </pt>
                <pt idx="14">
                  <formatCode>0.00000</formatCode>
                  <v>0.004040782221310914</v>
                </pt>
                <pt idx="15">
                  <formatCode>0.00000</formatCode>
                  <v>0.002893825483806923</v>
                </pt>
                <pt idx="16">
                  <formatCode>0.00000</formatCode>
                  <v>0.002046243623170317</v>
                </pt>
                <pt idx="17">
                  <formatCode>0.00000</formatCode>
                  <v>0.001464965134519378</v>
                </pt>
                <pt idx="18">
                  <formatCode>0.00000</formatCode>
                  <v>0.001210699304267903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90.73</v>
                </pt>
                <pt idx="1">
                  <v>89.63</v>
                </pt>
                <pt idx="2">
                  <v>86.66</v>
                </pt>
                <pt idx="3">
                  <v>79.06</v>
                </pt>
                <pt idx="4">
                  <v>78.2</v>
                </pt>
                <pt idx="5">
                  <v>77.24000000000001</v>
                </pt>
                <pt idx="6">
                  <v>73.426308641975</v>
                </pt>
                <pt idx="7">
                  <v>73.426308641975</v>
                </pt>
                <pt idx="8">
                  <v>70.1917407407408</v>
                </pt>
                <pt idx="9">
                  <v>66.95717283950587</v>
                </pt>
                <pt idx="10">
                  <v>70.1917407407408</v>
                </pt>
                <pt idx="11">
                  <v>66.95717283950587</v>
                </pt>
                <pt idx="12">
                  <v>66.95717283950587</v>
                </pt>
                <pt idx="13">
                  <v>63.72260493827166</v>
                </pt>
                <pt idx="14">
                  <v>63.72260493827166</v>
                </pt>
                <pt idx="15">
                  <v>60.48803703703673</v>
                </pt>
                <pt idx="16">
                  <v>60.48803703703673</v>
                </pt>
                <pt idx="17">
                  <v>57.25346913580251</v>
                </pt>
                <pt idx="18">
                  <v>54.01890123456759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0.0548740140625194</v>
                </pt>
                <pt idx="7">
                  <formatCode>0.00000</formatCode>
                  <v>0.03880178745453344</v>
                </pt>
                <pt idx="8">
                  <formatCode>0.00000</formatCode>
                  <v>0.0274370070312597</v>
                </pt>
                <pt idx="9">
                  <formatCode>0.00000</formatCode>
                  <v>0.01970128271267428</v>
                </pt>
                <pt idx="10">
                  <formatCode>0.00000</formatCode>
                  <v>0.01470652911381904</v>
                </pt>
                <pt idx="11">
                  <formatCode>0.00000</formatCode>
                  <v>0.0108849726413282</v>
                </pt>
                <pt idx="12">
                  <formatCode>0.00000</formatCode>
                  <v>0.007696837967713217</v>
                </pt>
                <pt idx="13">
                  <formatCode>0.00000</formatCode>
                  <v>0.005513956373707595</v>
                </pt>
                <pt idx="14">
                  <formatCode>0.00000</formatCode>
                  <v>0.003898955943015425</v>
                </pt>
                <pt idx="15">
                  <formatCode>0.00000</formatCode>
                  <v>0.002756978186853797</v>
                </pt>
                <pt idx="16">
                  <formatCode>0.00000</formatCode>
                  <v>0.001974423093959522</v>
                </pt>
                <pt idx="17">
                  <formatCode>0.00000</formatCode>
                  <v>0.001413546735436705</v>
                </pt>
                <pt idx="18">
                  <formatCode>0.00000</formatCode>
                  <v>0.001168205310022515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97.90000000000001</v>
                </pt>
                <pt idx="1">
                  <v>96.09</v>
                </pt>
                <pt idx="2">
                  <v>93.27</v>
                </pt>
                <pt idx="3">
                  <v>88.22</v>
                </pt>
                <pt idx="4">
                  <v>83.89</v>
                </pt>
                <pt idx="5">
                  <v>81.21000000000001</v>
                </pt>
                <pt idx="6">
                  <v>71.49352873563188</v>
                </pt>
                <pt idx="7">
                  <v>71.49352873563188</v>
                </pt>
                <pt idx="8">
                  <v>71.49352873563188</v>
                </pt>
                <pt idx="9">
                  <v>68.34410344827592</v>
                </pt>
                <pt idx="10">
                  <v>68.34410344827592</v>
                </pt>
                <pt idx="11">
                  <v>65.19467816091924</v>
                </pt>
                <pt idx="12">
                  <v>65.19467816091924</v>
                </pt>
                <pt idx="13">
                  <v>62.04525287356327</v>
                </pt>
                <pt idx="14">
                  <v>62.04525287356327</v>
                </pt>
                <pt idx="15">
                  <v>62.04525287356327</v>
                </pt>
                <pt idx="16">
                  <v>58.8958275862066</v>
                </pt>
                <pt idx="17">
                  <v>55.74640229885061</v>
                </pt>
                <pt idx="18">
                  <v>52.59697701149395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16.50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0.05395169603780581</v>
                </pt>
                <pt idx="7">
                  <formatCode>0.00000</formatCode>
                  <v>0.03814961012484788</v>
                </pt>
                <pt idx="8">
                  <formatCode>0.00000</formatCode>
                  <v>0.02697584801890291</v>
                </pt>
                <pt idx="9">
                  <formatCode>0.00000</formatCode>
                  <v>0.01937014513387104</v>
                </pt>
                <pt idx="10">
                  <formatCode>0.00000</formatCode>
                  <v>0.01445934295267551</v>
                </pt>
                <pt idx="11">
                  <formatCode>0.00000</formatCode>
                  <v>0.01070201889469372</v>
                </pt>
                <pt idx="12">
                  <formatCode>0.00000</formatCode>
                  <v>0.007567470132824487</v>
                </pt>
                <pt idx="13">
                  <formatCode>0.00000</formatCode>
                  <v>0.005421278237474282</v>
                </pt>
                <pt idx="14">
                  <formatCode>0.00000</formatCode>
                  <v>0.003833422604417119</v>
                </pt>
                <pt idx="15">
                  <formatCode>0.00000</formatCode>
                  <v>0.002710639118737141</v>
                </pt>
                <pt idx="16">
                  <formatCode>0.00000</formatCode>
                  <v>0.001941237149044049</v>
                </pt>
                <pt idx="17">
                  <formatCode>0.00000</formatCode>
                  <v>0.001389787955344858</v>
                </pt>
                <pt idx="18">
                  <formatCode>0.00000</formatCode>
                  <v>0.001148570208920337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98.88</v>
                </pt>
                <pt idx="1">
                  <v>98.22</v>
                </pt>
                <pt idx="2">
                  <v>97.66</v>
                </pt>
                <pt idx="3">
                  <v>97.40000000000001</v>
                </pt>
                <pt idx="4">
                  <v>97.3</v>
                </pt>
                <pt idx="5">
                  <v>97.14</v>
                </pt>
                <pt idx="6">
                  <v>70.62377777777749</v>
                </pt>
                <pt idx="7">
                  <v>70.62377777777749</v>
                </pt>
                <pt idx="8">
                  <v>70.62377777777749</v>
                </pt>
                <pt idx="9">
                  <v>67.51266666666673</v>
                </pt>
                <pt idx="10">
                  <v>67.51266666666673</v>
                </pt>
                <pt idx="11">
                  <v>64.40155555555526</v>
                </pt>
                <pt idx="12">
                  <v>64.40155555555526</v>
                </pt>
                <pt idx="13">
                  <v>61.2904444444445</v>
                </pt>
                <pt idx="14">
                  <v>61.2904444444445</v>
                </pt>
                <pt idx="15">
                  <v>61.2904444444445</v>
                </pt>
                <pt idx="16">
                  <v>58.17933333333304</v>
                </pt>
                <pt idx="17">
                  <v>55.06822222222227</v>
                </pt>
                <pt idx="18">
                  <v>51.95711111111081</v>
                </pt>
              </numCache>
            </numRef>
          </yVal>
          <smooth val="1"/>
        </ser>
        <ser>
          <idx val="12"/>
          <order val="12"/>
          <tx>
            <strRef>
              <f>PLOT!$C$15</f>
              <strCache>
                <ptCount val="1"/>
                <pt idx="0">
                  <v>18.00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PLOT!$D$15:$V$15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0.06749981041860102</v>
                </pt>
                <pt idx="7">
                  <formatCode>0.00000</formatCode>
                  <v>0.04772957367579916</v>
                </pt>
                <pt idx="8">
                  <formatCode>0.00000</formatCode>
                  <v>0.03374990520930051</v>
                </pt>
                <pt idx="9">
                  <formatCode>0.00000</formatCode>
                  <v>0.02386478683789958</v>
                </pt>
                <pt idx="10">
                  <formatCode>0.00000</formatCode>
                  <v>0.01751351899873011</v>
                </pt>
                <pt idx="11">
                  <formatCode>0.00000</formatCode>
                  <v>0.0127900658891997</v>
                </pt>
                <pt idx="12">
                  <formatCode>0.00000</formatCode>
                  <v>0.009129140761529521</v>
                </pt>
                <pt idx="13">
                  <formatCode>0.00000</formatCode>
                  <v>0.006455277338884046</v>
                </pt>
                <pt idx="14">
                  <formatCode>0.00000</formatCode>
                  <v>0.004606775698973318</v>
                </pt>
                <pt idx="15">
                  <formatCode>0.00000</formatCode>
                  <v>0.003257482336149431</v>
                </pt>
                <pt idx="16">
                  <formatCode>0.00000</formatCode>
                  <v>0.002303387849486659</v>
                </pt>
                <pt idx="17">
                  <formatCode>0.00000</formatCode>
                  <v>0.001628741168074715</v>
                </pt>
                <pt idx="18">
                  <formatCode>0.00000</formatCode>
                  <v>0.001329861594949236</v>
                </pt>
              </numCache>
            </numRef>
          </xVal>
          <yVal>
            <numRef>
              <f>PLOT!$W$15:$AO$15</f>
              <numCache>
                <formatCode>0.00</formatCode>
                <ptCount val="19"/>
                <pt idx="0">
                  <v>99.06</v>
                </pt>
                <pt idx="1">
                  <v>96.47</v>
                </pt>
                <pt idx="2">
                  <v>58.39</v>
                </pt>
                <pt idx="3">
                  <v>29.01</v>
                </pt>
                <pt idx="4">
                  <v>22.25</v>
                </pt>
                <pt idx="5">
                  <v>17.90000000000001</v>
                </pt>
                <pt idx="6">
                  <v>17.87884090909093</v>
                </pt>
                <pt idx="7">
                  <v>17.87884090909093</v>
                </pt>
                <pt idx="8">
                  <v>17.87884090909093</v>
                </pt>
                <pt idx="9">
                  <v>17.87884090909093</v>
                </pt>
                <pt idx="10">
                  <v>17.87884090909093</v>
                </pt>
                <pt idx="11">
                  <v>17.87884090909093</v>
                </pt>
                <pt idx="12">
                  <v>14.74247727272694</v>
                </pt>
                <pt idx="13">
                  <v>14.74247727272694</v>
                </pt>
                <pt idx="14">
                  <v>11.60611363636365</v>
                </pt>
                <pt idx="15">
                  <v>11.60611363636365</v>
                </pt>
                <pt idx="16">
                  <v>11.60611363636365</v>
                </pt>
                <pt idx="17">
                  <v>11.60611363636365</v>
                </pt>
                <pt idx="18">
                  <v>11.60611363636365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2292699735011011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16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27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8"/>
  <sheetViews>
    <sheetView topLeftCell="A4" zoomScaleNormal="100" workbookViewId="0">
      <selection activeCell="D5" sqref="D5:D17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</row>
    <row r="2" ht="24.6" customHeight="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56" t="inlineStr">
        <is>
          <t>Sample Type</t>
        </is>
      </c>
      <c r="F2" s="56" t="inlineStr">
        <is>
          <t>Depth</t>
        </is>
      </c>
      <c r="G2" s="56" t="inlineStr">
        <is>
          <t>Container No.</t>
        </is>
      </c>
      <c r="H2" s="5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60" t="inlineStr">
        <is>
          <t>Weight Retained on IS Sieve</t>
        </is>
      </c>
      <c r="K2" s="92" t="n"/>
      <c r="L2" s="92" t="n"/>
      <c r="M2" s="92" t="n"/>
      <c r="N2" s="92" t="n"/>
      <c r="O2" s="92" t="n"/>
      <c r="P2" s="93" t="n"/>
      <c r="Q2" s="60" t="inlineStr">
        <is>
          <t>% Passing</t>
        </is>
      </c>
      <c r="R2" s="92" t="n"/>
      <c r="S2" s="92" t="n"/>
      <c r="T2" s="92" t="n"/>
      <c r="U2" s="92" t="n"/>
      <c r="V2" s="93" t="n"/>
      <c r="W2" s="59" t="inlineStr">
        <is>
          <t xml:space="preserve">Gravel </t>
        </is>
      </c>
      <c r="X2" s="59" t="inlineStr">
        <is>
          <t>Sand</t>
        </is>
      </c>
      <c r="Y2" s="59" t="inlineStr">
        <is>
          <t>Fines</t>
        </is>
      </c>
    </row>
    <row r="3" ht="40.5" customHeight="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58" t="n">
        <v>4.75</v>
      </c>
      <c r="K3" s="4" t="n">
        <v>2</v>
      </c>
      <c r="L3" s="97" t="n">
        <v>0.425</v>
      </c>
      <c r="M3" s="97" t="n">
        <v>0.212</v>
      </c>
      <c r="N3" s="97" t="n">
        <v>0.15</v>
      </c>
      <c r="O3" s="97" t="n">
        <v>0.075</v>
      </c>
      <c r="P3" s="58" t="inlineStr">
        <is>
          <t>Pan</t>
        </is>
      </c>
      <c r="Q3" s="56" t="n">
        <v>4.75</v>
      </c>
      <c r="R3" s="7" t="n">
        <v>2</v>
      </c>
      <c r="S3" s="98" t="n">
        <v>0.425</v>
      </c>
      <c r="T3" s="98" t="n">
        <v>0.212</v>
      </c>
      <c r="U3" s="98" t="n">
        <v>0.15</v>
      </c>
      <c r="V3" s="98" t="n">
        <v>0.075</v>
      </c>
      <c r="W3" s="95" t="n"/>
      <c r="X3" s="95" t="n"/>
      <c r="Y3" s="95" t="n"/>
    </row>
    <row r="4" ht="21.6" customHeight="1">
      <c r="A4" s="96" t="n"/>
      <c r="B4" s="96" t="n"/>
      <c r="C4" s="96" t="n"/>
      <c r="D4" s="96" t="n"/>
      <c r="E4" s="58" t="inlineStr">
        <is>
          <t>-</t>
        </is>
      </c>
      <c r="F4" s="60" t="inlineStr">
        <is>
          <t>(m)</t>
        </is>
      </c>
      <c r="G4" s="60" t="inlineStr">
        <is>
          <t>-</t>
        </is>
      </c>
      <c r="H4" s="60" t="inlineStr">
        <is>
          <t>(gm)</t>
        </is>
      </c>
      <c r="I4" s="60" t="inlineStr">
        <is>
          <t>(gm)</t>
        </is>
      </c>
      <c r="J4" s="60" t="inlineStr">
        <is>
          <t>(gm)</t>
        </is>
      </c>
      <c r="K4" s="92" t="n"/>
      <c r="L4" s="92" t="n"/>
      <c r="M4" s="92" t="n"/>
      <c r="N4" s="92" t="n"/>
      <c r="O4" s="92" t="n"/>
      <c r="P4" s="93" t="n"/>
      <c r="Q4" s="60" t="inlineStr">
        <is>
          <t>(gm)</t>
        </is>
      </c>
      <c r="R4" s="92" t="n"/>
      <c r="S4" s="92" t="n"/>
      <c r="T4" s="92" t="n"/>
      <c r="U4" s="92" t="n"/>
      <c r="V4" s="93" t="n"/>
      <c r="W4" s="61" t="inlineStr">
        <is>
          <t>%</t>
        </is>
      </c>
      <c r="X4" s="92" t="n"/>
      <c r="Y4" s="93" t="n"/>
    </row>
    <row r="5" ht="30" customHeight="1">
      <c r="A5" s="61" t="n">
        <v>1</v>
      </c>
      <c r="B5" s="63" t="inlineStr">
        <is>
          <t>RBH-9</t>
        </is>
      </c>
      <c r="C5" s="65" t="n">
        <v>14.76</v>
      </c>
      <c r="D5" s="67" t="n"/>
      <c r="E5" s="47" t="inlineStr">
        <is>
          <t>DS</t>
        </is>
      </c>
      <c r="F5" s="47" t="n">
        <v>0.5</v>
      </c>
      <c r="G5" s="47" t="inlineStr">
        <is>
          <t>D1</t>
        </is>
      </c>
      <c r="H5" s="47" t="n">
        <v>100</v>
      </c>
      <c r="I5" s="26">
        <f>SUM(J5:O5)</f>
        <v/>
      </c>
      <c r="J5" s="26" t="n">
        <v>0</v>
      </c>
      <c r="K5" s="26" t="n">
        <v>0.17</v>
      </c>
      <c r="L5" s="26" t="n">
        <v>2.72</v>
      </c>
      <c r="M5" s="26" t="n">
        <v>56.69</v>
      </c>
      <c r="N5" s="26" t="n">
        <v>7.75</v>
      </c>
      <c r="O5" s="26" t="n">
        <v>5.18</v>
      </c>
      <c r="P5" s="26" t="inlineStr">
        <is>
          <t>-</t>
        </is>
      </c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61" t="n">
        <v>2</v>
      </c>
      <c r="B6" s="94" t="n"/>
      <c r="C6" s="94" t="n"/>
      <c r="D6" s="94" t="n"/>
      <c r="E6" s="47" t="inlineStr">
        <is>
          <t>SPT</t>
        </is>
      </c>
      <c r="F6" s="47" t="n">
        <v>1.5</v>
      </c>
      <c r="G6" s="47" t="n">
        <v>21</v>
      </c>
      <c r="H6" s="47" t="n">
        <v>100</v>
      </c>
      <c r="I6" s="26">
        <f>SUM(J6:O6)</f>
        <v/>
      </c>
      <c r="J6" s="26" t="n">
        <v>2.27</v>
      </c>
      <c r="K6" s="26" t="n">
        <v>3.37</v>
      </c>
      <c r="L6" s="26" t="n">
        <v>32.25</v>
      </c>
      <c r="M6" s="26" t="n">
        <v>20.22</v>
      </c>
      <c r="N6" s="26" t="n">
        <v>7.8</v>
      </c>
      <c r="O6" s="26" t="n">
        <v>5.43</v>
      </c>
      <c r="P6" s="26" t="inlineStr">
        <is>
          <t>-</t>
        </is>
      </c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61" t="n">
        <v>3</v>
      </c>
      <c r="B7" s="94" t="n"/>
      <c r="C7" s="94" t="n"/>
      <c r="D7" s="94" t="n"/>
      <c r="E7" s="47" t="inlineStr">
        <is>
          <t>UDS</t>
        </is>
      </c>
      <c r="F7" s="47" t="n">
        <v>3</v>
      </c>
      <c r="G7" s="47" t="n">
        <v>72</v>
      </c>
      <c r="H7" s="47" t="n">
        <v>200</v>
      </c>
      <c r="I7" s="26">
        <f>SUM(J7:O7)</f>
        <v/>
      </c>
      <c r="J7" s="26" t="n">
        <v>14.64</v>
      </c>
      <c r="K7" s="26" t="n">
        <v>11.6</v>
      </c>
      <c r="L7" s="26" t="n">
        <v>27.74</v>
      </c>
      <c r="M7" s="26" t="n">
        <v>55.25</v>
      </c>
      <c r="N7" s="26" t="n">
        <v>12.54</v>
      </c>
      <c r="O7" s="26" t="n">
        <v>7.36</v>
      </c>
      <c r="P7" s="26" t="inlineStr">
        <is>
          <t>-</t>
        </is>
      </c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61" t="n">
        <v>4</v>
      </c>
      <c r="B8" s="94" t="n"/>
      <c r="C8" s="94" t="n"/>
      <c r="D8" s="94" t="n"/>
      <c r="E8" s="47" t="inlineStr">
        <is>
          <t>SPT</t>
        </is>
      </c>
      <c r="F8" s="47" t="n">
        <v>4.5</v>
      </c>
      <c r="G8" s="47" t="n">
        <v>45</v>
      </c>
      <c r="H8" s="47" t="n">
        <v>100</v>
      </c>
      <c r="I8" s="26">
        <f>SUM(J8:O8)</f>
        <v/>
      </c>
      <c r="J8" s="26" t="n">
        <v>2.7</v>
      </c>
      <c r="K8" s="26" t="n">
        <v>5.46</v>
      </c>
      <c r="L8" s="26" t="n">
        <v>35.92</v>
      </c>
      <c r="M8" s="26" t="n">
        <v>17.44</v>
      </c>
      <c r="N8" s="26" t="n">
        <v>6</v>
      </c>
      <c r="O8" s="26" t="n">
        <v>2.88</v>
      </c>
      <c r="P8" s="26" t="inlineStr">
        <is>
          <t>-</t>
        </is>
      </c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61" t="n">
        <v>5</v>
      </c>
      <c r="B9" s="94" t="n"/>
      <c r="C9" s="94" t="n"/>
      <c r="D9" s="94" t="n"/>
      <c r="E9" s="47" t="inlineStr">
        <is>
          <t>UDS</t>
        </is>
      </c>
      <c r="F9" s="47" t="n">
        <v>6</v>
      </c>
      <c r="G9" s="47" t="inlineStr">
        <is>
          <t>D</t>
        </is>
      </c>
      <c r="H9" s="47" t="n">
        <v>200</v>
      </c>
      <c r="I9" s="26">
        <f>SUM(J9:O9)</f>
        <v/>
      </c>
      <c r="J9" s="26" t="n">
        <v>3.34</v>
      </c>
      <c r="K9" s="26" t="n">
        <v>2.72</v>
      </c>
      <c r="L9" s="26" t="n">
        <v>7.04</v>
      </c>
      <c r="M9" s="26" t="n">
        <v>11.8</v>
      </c>
      <c r="N9" s="26" t="n">
        <v>6.26</v>
      </c>
      <c r="O9" s="26" t="n">
        <v>8.26</v>
      </c>
      <c r="P9" s="26" t="inlineStr">
        <is>
          <t>-</t>
        </is>
      </c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61" t="n">
        <v>6</v>
      </c>
      <c r="B10" s="94" t="n"/>
      <c r="C10" s="94" t="n"/>
      <c r="D10" s="94" t="n"/>
      <c r="E10" s="47" t="inlineStr">
        <is>
          <t>SPT</t>
        </is>
      </c>
      <c r="F10" s="47" t="n">
        <v>7.5</v>
      </c>
      <c r="G10" s="47" t="n">
        <v>14</v>
      </c>
      <c r="H10" s="47" t="n">
        <v>100</v>
      </c>
      <c r="I10" s="26">
        <f>SUM(J10:O10)</f>
        <v/>
      </c>
      <c r="J10" s="26" t="n">
        <v>1.99</v>
      </c>
      <c r="K10" s="26" t="n">
        <v>0.37</v>
      </c>
      <c r="L10" s="26" t="n">
        <v>1.48</v>
      </c>
      <c r="M10" s="26" t="n">
        <v>2.82</v>
      </c>
      <c r="N10" s="26" t="n">
        <v>1.76</v>
      </c>
      <c r="O10" s="26" t="n">
        <v>2.25</v>
      </c>
      <c r="P10" s="26" t="inlineStr">
        <is>
          <t>-</t>
        </is>
      </c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61" t="n">
        <v>7</v>
      </c>
      <c r="B11" s="94" t="n"/>
      <c r="C11" s="94" t="n"/>
      <c r="D11" s="94" t="n"/>
      <c r="E11" s="47" t="inlineStr">
        <is>
          <t>UDS</t>
        </is>
      </c>
      <c r="F11" s="47" t="n">
        <v>9</v>
      </c>
      <c r="G11" s="47" t="inlineStr">
        <is>
          <t>A</t>
        </is>
      </c>
      <c r="H11" s="47" t="n">
        <v>200</v>
      </c>
      <c r="I11" s="26">
        <f>SUM(J11:O11)</f>
        <v/>
      </c>
      <c r="J11" s="26" t="n">
        <v>15.3</v>
      </c>
      <c r="K11" s="26" t="n">
        <v>13.6</v>
      </c>
      <c r="L11" s="26" t="n">
        <v>27.48</v>
      </c>
      <c r="M11" s="26" t="n">
        <v>21.44</v>
      </c>
      <c r="N11" s="26" t="n">
        <v>2.93</v>
      </c>
      <c r="O11" s="26" t="n">
        <v>1.3</v>
      </c>
      <c r="P11" s="26" t="inlineStr">
        <is>
          <t>-</t>
        </is>
      </c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61" t="n">
        <v>8</v>
      </c>
      <c r="B12" s="94" t="n"/>
      <c r="C12" s="94" t="n"/>
      <c r="D12" s="94" t="n"/>
      <c r="E12" s="47" t="inlineStr">
        <is>
          <t>SPT</t>
        </is>
      </c>
      <c r="F12" s="47" t="n">
        <v>10.5</v>
      </c>
      <c r="G12" s="47" t="n">
        <v>0.27</v>
      </c>
      <c r="H12" s="47" t="n">
        <v>100</v>
      </c>
      <c r="I12" s="26">
        <f>SUM(J12:O12)</f>
        <v/>
      </c>
      <c r="J12" s="26" t="n">
        <v>0.26</v>
      </c>
      <c r="K12" s="26" t="n">
        <v>0.79</v>
      </c>
      <c r="L12" s="26" t="n">
        <v>5.49</v>
      </c>
      <c r="M12" s="26" t="n">
        <v>6.53</v>
      </c>
      <c r="N12" s="26" t="n">
        <v>2.58</v>
      </c>
      <c r="O12" s="26" t="n">
        <v>3.52</v>
      </c>
      <c r="P12" s="26" t="inlineStr">
        <is>
          <t>-</t>
        </is>
      </c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>
      <c r="A13" s="61" t="n">
        <v>9</v>
      </c>
      <c r="B13" s="94" t="n"/>
      <c r="C13" s="94" t="n"/>
      <c r="D13" s="94" t="n"/>
      <c r="E13" s="47" t="inlineStr">
        <is>
          <t>UDS</t>
        </is>
      </c>
      <c r="F13" s="47" t="n">
        <v>12</v>
      </c>
      <c r="G13" s="47" t="n">
        <v>8</v>
      </c>
      <c r="H13" s="47" t="n">
        <v>200</v>
      </c>
      <c r="I13" s="26">
        <f>SUM(J13:O13)</f>
        <v/>
      </c>
      <c r="J13" s="26" t="n">
        <v>10.48</v>
      </c>
      <c r="K13" s="26" t="n">
        <v>9.949999999999999</v>
      </c>
      <c r="L13" s="26" t="n">
        <v>19.73</v>
      </c>
      <c r="M13" s="26" t="n">
        <v>21.41</v>
      </c>
      <c r="N13" s="26" t="n">
        <v>2.2</v>
      </c>
      <c r="O13" s="26" t="n">
        <v>1.49</v>
      </c>
      <c r="P13" s="26" t="inlineStr">
        <is>
          <t>-</t>
        </is>
      </c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>
      <c r="A14" s="61" t="n">
        <v>10</v>
      </c>
      <c r="B14" s="94" t="n"/>
      <c r="C14" s="94" t="n"/>
      <c r="D14" s="94" t="n"/>
      <c r="E14" s="47" t="inlineStr">
        <is>
          <t>SPT</t>
        </is>
      </c>
      <c r="F14" s="47" t="n">
        <v>13.5</v>
      </c>
      <c r="G14" s="47" t="n">
        <v>17</v>
      </c>
      <c r="H14" s="47" t="n">
        <v>100</v>
      </c>
      <c r="I14" s="26">
        <f>SUM(J14:O14)</f>
        <v/>
      </c>
      <c r="J14" s="26" t="n">
        <v>9.27</v>
      </c>
      <c r="K14" s="26" t="n">
        <v>1.1</v>
      </c>
      <c r="L14" s="26" t="n">
        <v>2.97</v>
      </c>
      <c r="M14" s="26" t="n">
        <v>7.6</v>
      </c>
      <c r="N14" s="26" t="n">
        <v>0.86</v>
      </c>
      <c r="O14" s="26" t="n">
        <v>0.96</v>
      </c>
      <c r="P14" s="26" t="inlineStr">
        <is>
          <t>-</t>
        </is>
      </c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  <row r="15" ht="30" customHeight="1">
      <c r="A15" s="61" t="n">
        <v>11</v>
      </c>
      <c r="B15" s="94" t="n"/>
      <c r="C15" s="94" t="n"/>
      <c r="D15" s="94" t="n"/>
      <c r="E15" s="47" t="inlineStr">
        <is>
          <t>SPT</t>
        </is>
      </c>
      <c r="F15" s="47" t="n">
        <v>15</v>
      </c>
      <c r="G15" s="47" t="inlineStr">
        <is>
          <t>C</t>
        </is>
      </c>
      <c r="H15" s="47" t="n">
        <v>100</v>
      </c>
      <c r="I15" s="26">
        <f>SUM(J15:O15)</f>
        <v/>
      </c>
      <c r="J15" s="26" t="n">
        <v>2.1</v>
      </c>
      <c r="K15" s="26" t="n">
        <v>1.81</v>
      </c>
      <c r="L15" s="26" t="n">
        <v>2.82</v>
      </c>
      <c r="M15" s="26" t="n">
        <v>5.05</v>
      </c>
      <c r="N15" s="26" t="n">
        <v>4.33</v>
      </c>
      <c r="O15" s="26" t="n">
        <v>2.68</v>
      </c>
      <c r="P15" s="26" t="inlineStr">
        <is>
          <t>-</t>
        </is>
      </c>
      <c r="Q15" s="11">
        <f>((H15-(SUM(J15)))/H15)*100</f>
        <v/>
      </c>
      <c r="R15" s="11">
        <f>((H15-(SUM(J15:K15)))/H15)*100</f>
        <v/>
      </c>
      <c r="S15" s="11">
        <f>((H15-(SUM(J15:L15)))/H15)*100</f>
        <v/>
      </c>
      <c r="T15" s="11">
        <f>((H15-(SUM(J15:M15)))/H15)*100</f>
        <v/>
      </c>
      <c r="U15" s="11">
        <f>((H15-(SUM(J15:N15)))/H15)*100</f>
        <v/>
      </c>
      <c r="V15" s="11">
        <f>((H15-(SUM(J15:O15)))/H15)*100</f>
        <v/>
      </c>
      <c r="W15" s="11">
        <f>100-Q15</f>
        <v/>
      </c>
      <c r="X15" s="11">
        <f>Q15-V15</f>
        <v/>
      </c>
      <c r="Y15" s="11">
        <f>V15</f>
        <v/>
      </c>
    </row>
    <row r="16" ht="30" customHeight="1">
      <c r="A16" s="61" t="n">
        <v>12</v>
      </c>
      <c r="B16" s="94" t="n"/>
      <c r="C16" s="94" t="n"/>
      <c r="D16" s="94" t="n"/>
      <c r="E16" s="47" t="inlineStr">
        <is>
          <t>SPT</t>
        </is>
      </c>
      <c r="F16" s="47" t="n">
        <v>16.5</v>
      </c>
      <c r="G16" s="47" t="n">
        <v>4</v>
      </c>
      <c r="H16" s="47" t="n">
        <v>100</v>
      </c>
      <c r="I16" s="26">
        <f>SUM(J16:O16)</f>
        <v/>
      </c>
      <c r="J16" s="26" t="n">
        <v>1.12</v>
      </c>
      <c r="K16" s="26" t="n">
        <v>0.66</v>
      </c>
      <c r="L16" s="26" t="n">
        <v>0.5600000000000001</v>
      </c>
      <c r="M16" s="26" t="n">
        <v>0.26</v>
      </c>
      <c r="N16" s="26" t="n">
        <v>0.1</v>
      </c>
      <c r="O16" s="26" t="n">
        <v>0.16</v>
      </c>
      <c r="P16" s="26" t="inlineStr">
        <is>
          <t>-</t>
        </is>
      </c>
      <c r="Q16" s="11">
        <f>((H16-(SUM(J16)))/H16)*100</f>
        <v/>
      </c>
      <c r="R16" s="11">
        <f>((H16-(SUM(J16:K16)))/H16)*100</f>
        <v/>
      </c>
      <c r="S16" s="11">
        <f>((H16-(SUM(J16:L16)))/H16)*100</f>
        <v/>
      </c>
      <c r="T16" s="11">
        <f>((H16-(SUM(J16:M16)))/H16)*100</f>
        <v/>
      </c>
      <c r="U16" s="11">
        <f>((H16-(SUM(J16:N16)))/H16)*100</f>
        <v/>
      </c>
      <c r="V16" s="11">
        <f>((H16-(SUM(J16:O16)))/H16)*100</f>
        <v/>
      </c>
      <c r="W16" s="11">
        <f>100-Q16</f>
        <v/>
      </c>
      <c r="X16" s="11">
        <f>Q16-V16</f>
        <v/>
      </c>
      <c r="Y16" s="11">
        <f>V16</f>
        <v/>
      </c>
    </row>
    <row r="17" ht="30" customHeight="1">
      <c r="A17" s="61" t="n">
        <v>13</v>
      </c>
      <c r="B17" s="94" t="n"/>
      <c r="C17" s="94" t="n"/>
      <c r="D17" s="94" t="n"/>
      <c r="E17" s="47" t="inlineStr">
        <is>
          <t>SPT</t>
        </is>
      </c>
      <c r="F17" s="47" t="n">
        <v>18</v>
      </c>
      <c r="G17" s="47" t="n">
        <v>89</v>
      </c>
      <c r="H17" s="47" t="n">
        <v>100</v>
      </c>
      <c r="I17" s="26">
        <f>SUM(J17:O17)</f>
        <v/>
      </c>
      <c r="J17" s="26" t="n">
        <v>0.9399999999999999</v>
      </c>
      <c r="K17" s="26" t="n">
        <v>2.59</v>
      </c>
      <c r="L17" s="26" t="n">
        <v>38.08</v>
      </c>
      <c r="M17" s="26" t="n">
        <v>29.38</v>
      </c>
      <c r="N17" s="26" t="n">
        <v>6.76</v>
      </c>
      <c r="O17" s="26" t="n">
        <v>4.35</v>
      </c>
      <c r="P17" s="26" t="inlineStr">
        <is>
          <t>-</t>
        </is>
      </c>
      <c r="Q17" s="11">
        <f>((H17-(SUM(J17)))/H17)*100</f>
        <v/>
      </c>
      <c r="R17" s="11">
        <f>((H17-(SUM(J17:K17)))/H17)*100</f>
        <v/>
      </c>
      <c r="S17" s="11">
        <f>((H17-(SUM(J17:L17)))/H17)*100</f>
        <v/>
      </c>
      <c r="T17" s="11">
        <f>((H17-(SUM(J17:M17)))/H17)*100</f>
        <v/>
      </c>
      <c r="U17" s="11">
        <f>((H17-(SUM(J17:N17)))/H17)*100</f>
        <v/>
      </c>
      <c r="V17" s="11">
        <f>((H17-(SUM(J17:O17)))/H17)*100</f>
        <v/>
      </c>
      <c r="W17" s="11">
        <f>100-Q17</f>
        <v/>
      </c>
      <c r="X17" s="11">
        <f>Q17-V17</f>
        <v/>
      </c>
      <c r="Y17" s="11">
        <f>V17</f>
        <v/>
      </c>
    </row>
    <row r="18" ht="30" customHeight="1">
      <c r="A18" s="61" t="n">
        <v>14</v>
      </c>
      <c r="B18" s="85" t="n"/>
      <c r="C18" s="86" t="n"/>
      <c r="D18" s="87" t="n"/>
      <c r="E18" s="47" t="inlineStr">
        <is>
          <t>SPT</t>
        </is>
      </c>
      <c r="F18" s="47" t="n">
        <v>19.5</v>
      </c>
      <c r="G18" s="47" t="n"/>
      <c r="H18" s="47" t="n">
        <v>100</v>
      </c>
      <c r="I18" s="26">
        <f>SUM(J18:O18)</f>
        <v/>
      </c>
      <c r="J18" s="26" t="n">
        <v>0</v>
      </c>
      <c r="K18" s="26" t="n">
        <v>1.61</v>
      </c>
      <c r="L18" s="26" t="n">
        <v>2.08</v>
      </c>
      <c r="M18" s="26" t="n">
        <v>2.12</v>
      </c>
      <c r="N18" s="26" t="n">
        <v>3.15</v>
      </c>
      <c r="O18" s="26" t="n">
        <v>2.41</v>
      </c>
      <c r="P18" s="26" t="inlineStr">
        <is>
          <t>-</t>
        </is>
      </c>
      <c r="Q18" s="11">
        <f>((H18-(SUM(J18)))/H18)*100</f>
        <v/>
      </c>
      <c r="R18" s="11">
        <f>((H18-(SUM(J18:K18)))/H18)*100</f>
        <v/>
      </c>
      <c r="S18" s="11">
        <f>((H18-(SUM(J18:L18)))/H18)*100</f>
        <v/>
      </c>
      <c r="T18" s="11">
        <f>((H18-(SUM(J18:M18)))/H18)*100</f>
        <v/>
      </c>
      <c r="U18" s="11">
        <f>((H18-(SUM(J18:N18)))/H18)*100</f>
        <v/>
      </c>
      <c r="V18" s="11">
        <f>((H18-(SUM(J18:O18)))/H18)*100</f>
        <v/>
      </c>
      <c r="W18" s="11">
        <f>100-Q18</f>
        <v/>
      </c>
      <c r="X18" s="11">
        <f>Q18-V18</f>
        <v/>
      </c>
      <c r="Y18" s="11">
        <f>V18</f>
        <v/>
      </c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W2:W3"/>
    <mergeCell ref="Q2:V2"/>
    <mergeCell ref="A1:Y1"/>
    <mergeCell ref="W4:Y4"/>
    <mergeCell ref="B2:B4"/>
    <mergeCell ref="D2:D4"/>
    <mergeCell ref="B5:B17"/>
    <mergeCell ref="D5:D17"/>
    <mergeCell ref="J4:P4"/>
    <mergeCell ref="X2:X3"/>
    <mergeCell ref="I2:I3"/>
    <mergeCell ref="G2:G3"/>
    <mergeCell ref="C5:C17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31"/>
  <sheetViews>
    <sheetView zoomScaleNormal="100" workbookViewId="0">
      <selection activeCell="C18" sqref="C18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99" t="inlineStr">
        <is>
          <t>Sr No.</t>
        </is>
      </c>
      <c r="B1" s="100" t="inlineStr">
        <is>
          <t>BH ID</t>
        </is>
      </c>
      <c r="C1" s="100" t="inlineStr">
        <is>
          <t>Depth</t>
        </is>
      </c>
      <c r="D1" s="99" t="inlineStr">
        <is>
          <t>Sample Type</t>
        </is>
      </c>
      <c r="E1" s="99" t="inlineStr">
        <is>
          <t xml:space="preserve">Temperature </t>
        </is>
      </c>
      <c r="F1" s="99" t="inlineStr">
        <is>
          <t xml:space="preserve">Coefficent of Viscosity </t>
        </is>
      </c>
      <c r="G1" s="99" t="inlineStr">
        <is>
          <t>SPGR</t>
        </is>
      </c>
      <c r="H1" s="99" t="inlineStr">
        <is>
          <t xml:space="preserve"> Meniscus Correction (Cm)</t>
        </is>
      </c>
      <c r="I1" s="78" t="inlineStr">
        <is>
          <t>Hydrometer No.</t>
        </is>
      </c>
      <c r="J1" s="99" t="inlineStr">
        <is>
          <t>Cylinder Type</t>
        </is>
      </c>
      <c r="K1" s="99" t="inlineStr">
        <is>
          <t>Mt (temperature correction)</t>
        </is>
      </c>
      <c r="L1" s="99" t="inlineStr">
        <is>
          <t>X (dispersion correction)</t>
        </is>
      </c>
      <c r="M1" s="76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6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7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101" t="n"/>
      <c r="J2" s="94" t="n"/>
      <c r="K2" s="94" t="n"/>
      <c r="L2" s="94" t="n"/>
      <c r="M2" s="102" t="n">
        <v>0.5</v>
      </c>
      <c r="N2" s="75" t="n">
        <v>1</v>
      </c>
      <c r="O2" s="75" t="n">
        <v>2</v>
      </c>
      <c r="P2" s="75" t="n">
        <v>4</v>
      </c>
      <c r="Q2" s="75" t="n">
        <v>8</v>
      </c>
      <c r="R2" s="75" t="n">
        <v>15</v>
      </c>
      <c r="S2" s="75" t="n">
        <v>30</v>
      </c>
      <c r="T2" s="75" t="n">
        <v>60</v>
      </c>
      <c r="U2" s="75" t="n">
        <v>120</v>
      </c>
      <c r="V2" s="75" t="n">
        <v>240</v>
      </c>
      <c r="W2" s="75" t="n">
        <v>480</v>
      </c>
      <c r="X2" s="75" t="n">
        <v>960</v>
      </c>
      <c r="Y2" s="75" t="n">
        <v>1440</v>
      </c>
      <c r="Z2" s="102" t="n">
        <v>0.5</v>
      </c>
      <c r="AA2" s="75" t="n">
        <v>1</v>
      </c>
      <c r="AB2" s="75" t="n">
        <v>2</v>
      </c>
      <c r="AC2" s="75" t="n">
        <v>4</v>
      </c>
      <c r="AD2" s="75" t="n">
        <v>8</v>
      </c>
      <c r="AE2" s="75" t="n">
        <v>15</v>
      </c>
      <c r="AF2" s="75" t="n">
        <v>30</v>
      </c>
      <c r="AG2" s="75" t="n">
        <v>60</v>
      </c>
      <c r="AH2" s="75" t="n">
        <v>120</v>
      </c>
      <c r="AI2" s="75" t="n">
        <v>240</v>
      </c>
      <c r="AJ2" s="75" t="n">
        <v>480</v>
      </c>
      <c r="AK2" s="75" t="n">
        <v>960</v>
      </c>
      <c r="AL2" s="75" t="n">
        <v>1440</v>
      </c>
      <c r="AM2" s="102" t="n">
        <v>0.5</v>
      </c>
      <c r="AN2" s="75" t="n">
        <v>1</v>
      </c>
      <c r="AO2" s="75" t="n">
        <v>2</v>
      </c>
      <c r="AP2" s="75" t="n">
        <v>4</v>
      </c>
      <c r="AQ2" s="75" t="n">
        <v>8</v>
      </c>
      <c r="AR2" s="75" t="n">
        <v>15</v>
      </c>
      <c r="AS2" s="75" t="n">
        <v>30</v>
      </c>
      <c r="AT2" s="75" t="n">
        <v>60</v>
      </c>
      <c r="AU2" s="75" t="n">
        <v>120</v>
      </c>
      <c r="AV2" s="75" t="n">
        <v>240</v>
      </c>
      <c r="AW2" s="75" t="n">
        <v>480</v>
      </c>
      <c r="AX2" s="75" t="n">
        <v>960</v>
      </c>
      <c r="AY2" s="75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71" t="inlineStr">
        <is>
          <t>-</t>
        </is>
      </c>
      <c r="E4" s="71" t="inlineStr">
        <is>
          <t>(°C)</t>
        </is>
      </c>
      <c r="F4" s="71" t="inlineStr">
        <is>
          <t>Poise</t>
        </is>
      </c>
      <c r="G4" s="71" t="inlineStr">
        <is>
          <t>-</t>
        </is>
      </c>
      <c r="H4" s="71" t="inlineStr">
        <is>
          <t>-</t>
        </is>
      </c>
      <c r="I4" s="78" t="inlineStr">
        <is>
          <t>-</t>
        </is>
      </c>
      <c r="J4" s="80" t="n"/>
      <c r="K4" s="80" t="inlineStr">
        <is>
          <t>-</t>
        </is>
      </c>
      <c r="L4" s="80" t="inlineStr">
        <is>
          <t>-</t>
        </is>
      </c>
      <c r="M4" s="78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8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8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0" t="n">
        <v>1</v>
      </c>
      <c r="B5" s="30">
        <f>GSD!B5</f>
        <v/>
      </c>
      <c r="C5" s="34">
        <f>GSD!F5</f>
        <v/>
      </c>
      <c r="D5" s="37">
        <f>GSD!E5</f>
        <v/>
      </c>
      <c r="E5" s="34" t="n">
        <v>27</v>
      </c>
      <c r="F5" s="38">
        <f>(0.000000002615*E5^4) - (0.00000030607*E5^3) + (0.000016427499*E5^2) - (0.000618546309*E5) + 0.017919182437</f>
        <v/>
      </c>
      <c r="G5" s="103" t="n"/>
      <c r="H5" s="30" t="n">
        <v>0.0005</v>
      </c>
      <c r="I5" s="30" t="n">
        <v>1</v>
      </c>
      <c r="J5" s="30" t="n">
        <v>1</v>
      </c>
      <c r="K5" s="31">
        <f>(E5-27)*0.25</f>
        <v/>
      </c>
      <c r="L5" s="30" t="n">
        <v>0.3</v>
      </c>
      <c r="M5" s="104" t="n"/>
      <c r="N5" s="104" t="n"/>
      <c r="O5" s="104" t="n"/>
      <c r="P5" s="104" t="n"/>
      <c r="Q5" s="104" t="n"/>
      <c r="R5" s="104" t="n"/>
      <c r="S5" s="104" t="n"/>
      <c r="T5" s="104" t="n"/>
      <c r="U5" s="104" t="n"/>
      <c r="V5" s="104" t="n"/>
      <c r="W5" s="104" t="n"/>
      <c r="X5" s="104" t="n"/>
      <c r="Y5" s="104" t="n"/>
      <c r="Z5" s="33" t="n"/>
      <c r="AA5" s="33" t="n"/>
      <c r="AB5" s="33" t="n"/>
      <c r="AC5" s="33" t="n"/>
      <c r="AD5" s="33" t="n"/>
      <c r="AE5" s="33" t="n"/>
      <c r="AF5" s="33" t="n"/>
      <c r="AG5" s="33" t="n"/>
      <c r="AH5" s="33" t="n"/>
      <c r="AI5" s="33" t="n"/>
      <c r="AJ5" s="33" t="n"/>
      <c r="AK5" s="33" t="n"/>
      <c r="AL5" s="33" t="n"/>
      <c r="AM5" s="34" t="n"/>
      <c r="AN5" s="34" t="n"/>
      <c r="AO5" s="34" t="n"/>
      <c r="AP5" s="34" t="n"/>
      <c r="AQ5" s="34" t="n"/>
      <c r="AR5" s="34" t="n"/>
      <c r="AS5" s="34" t="n"/>
      <c r="AT5" s="34" t="n"/>
      <c r="AU5" s="34" t="n"/>
      <c r="AV5" s="34" t="n"/>
      <c r="AW5" s="34" t="n"/>
      <c r="AX5" s="34" t="n"/>
      <c r="AY5" s="34" t="n"/>
      <c r="AZ5" s="21" t="n"/>
      <c r="BA5" s="21" t="n"/>
    </row>
    <row r="6" customFormat="1" s="41">
      <c r="A6" s="37" t="n">
        <v>2</v>
      </c>
      <c r="B6" s="37">
        <f>B5</f>
        <v/>
      </c>
      <c r="C6" s="34">
        <f>GSD!F6</f>
        <v/>
      </c>
      <c r="D6" s="37">
        <f>GSD!E6</f>
        <v/>
      </c>
      <c r="E6" s="34" t="n">
        <v>27</v>
      </c>
      <c r="F6" s="38" t="n">
        <v>0.008559421270000001</v>
      </c>
      <c r="G6" s="103" t="n">
        <v>2.61</v>
      </c>
      <c r="H6" s="37" t="n">
        <v>0.0005</v>
      </c>
      <c r="I6" s="37" t="n">
        <v>1</v>
      </c>
      <c r="J6" s="37" t="n">
        <v>1</v>
      </c>
      <c r="K6" s="34" t="n">
        <v>0</v>
      </c>
      <c r="L6" s="37" t="n">
        <v>0.3</v>
      </c>
      <c r="M6" s="103" t="n">
        <v>1.009</v>
      </c>
      <c r="N6" s="103" t="n">
        <v>1.009</v>
      </c>
      <c r="O6" s="103" t="n">
        <v>1.008</v>
      </c>
      <c r="P6" s="103" t="n">
        <v>1.008</v>
      </c>
      <c r="Q6" s="103" t="n">
        <v>1.008</v>
      </c>
      <c r="R6" s="103" t="n">
        <v>1.007</v>
      </c>
      <c r="S6" s="103" t="n">
        <v>1.007</v>
      </c>
      <c r="T6" s="103" t="n">
        <v>1.006</v>
      </c>
      <c r="U6" s="103" t="n">
        <v>1.006</v>
      </c>
      <c r="V6" s="103" t="n">
        <v>1.006</v>
      </c>
      <c r="W6" s="103" t="n">
        <v>1.005</v>
      </c>
      <c r="X6" s="103" t="n">
        <v>1.005</v>
      </c>
      <c r="Y6" s="103" t="n">
        <v>1.005</v>
      </c>
      <c r="Z6" s="33" t="n">
        <v>0.06577761083706295</v>
      </c>
      <c r="AA6" s="33" t="n">
        <v>0.04651179467313694</v>
      </c>
      <c r="AB6" s="33" t="n">
        <v>0.03288880541853147</v>
      </c>
      <c r="AC6" s="33" t="n">
        <v>0.02325589733656847</v>
      </c>
      <c r="AD6" s="33" t="n">
        <v>0.01727724053000839</v>
      </c>
      <c r="AE6" s="33" t="n">
        <v>0.01261751249297081</v>
      </c>
      <c r="AF6" s="33" t="n">
        <v>0.009009268884665786</v>
      </c>
      <c r="AG6" s="33" t="n">
        <v>0.006370515121880141</v>
      </c>
      <c r="AH6" s="33" t="n">
        <v>0.004547885248037724</v>
      </c>
      <c r="AI6" s="33" t="n">
        <v>0.003215840498945738</v>
      </c>
      <c r="AJ6" s="33" t="n">
        <v>0.002295364295683073</v>
      </c>
      <c r="AK6" s="33" t="n">
        <v>0.001623067658770985</v>
      </c>
      <c r="AL6" s="33" t="n">
        <v>0.001337482640692768</v>
      </c>
      <c r="AM6" s="34" t="n">
        <v>27.40157471264336</v>
      </c>
      <c r="AN6" s="34" t="n">
        <v>27.40157471264336</v>
      </c>
      <c r="AO6" s="34" t="n">
        <v>27.40157471264336</v>
      </c>
      <c r="AP6" s="34" t="n">
        <v>27.40157471264336</v>
      </c>
      <c r="AQ6" s="34" t="n">
        <v>24.25214942528738</v>
      </c>
      <c r="AR6" s="34" t="n">
        <v>24.25214942528738</v>
      </c>
      <c r="AS6" s="34" t="n">
        <v>21.1027241379307</v>
      </c>
      <c r="AT6" s="34" t="n">
        <v>21.1027241379307</v>
      </c>
      <c r="AU6" s="34" t="n">
        <v>17.95329885057473</v>
      </c>
      <c r="AV6" s="34" t="n">
        <v>17.95329885057473</v>
      </c>
      <c r="AW6" s="34" t="n">
        <v>14.80387356321805</v>
      </c>
      <c r="AX6" s="34" t="n">
        <v>14.80387356321805</v>
      </c>
      <c r="AY6" s="34" t="n">
        <v>11.65444827586208</v>
      </c>
      <c r="AZ6" s="40" t="n"/>
      <c r="BA6" s="40" t="n"/>
    </row>
    <row r="7" customFormat="1" s="41">
      <c r="A7" s="37" t="n">
        <v>3</v>
      </c>
      <c r="B7" s="37">
        <f>B6</f>
        <v/>
      </c>
      <c r="C7" s="34">
        <f>GSD!F7</f>
        <v/>
      </c>
      <c r="D7" s="37">
        <f>GSD!E7</f>
        <v/>
      </c>
      <c r="E7" s="34" t="n">
        <v>27</v>
      </c>
      <c r="F7" s="38" t="n">
        <v>0.008559421270000001</v>
      </c>
      <c r="G7" s="103" t="n">
        <v>2.58</v>
      </c>
      <c r="H7" s="37" t="n">
        <v>0.0005</v>
      </c>
      <c r="I7" s="37" t="n">
        <v>1</v>
      </c>
      <c r="J7" s="37" t="n">
        <v>1</v>
      </c>
      <c r="K7" s="34" t="n">
        <v>0</v>
      </c>
      <c r="L7" s="37" t="n">
        <v>0.3</v>
      </c>
      <c r="M7" s="103" t="n">
        <v>1.011</v>
      </c>
      <c r="N7" s="103" t="n">
        <v>1.011</v>
      </c>
      <c r="O7" s="103" t="n">
        <v>1.01</v>
      </c>
      <c r="P7" s="103" t="n">
        <v>1.01</v>
      </c>
      <c r="Q7" s="103" t="n">
        <v>1.009</v>
      </c>
      <c r="R7" s="103" t="n">
        <v>1.009</v>
      </c>
      <c r="S7" s="103" t="n">
        <v>1.008</v>
      </c>
      <c r="T7" s="103" t="n">
        <v>1.008</v>
      </c>
      <c r="U7" s="103" t="n">
        <v>1.007</v>
      </c>
      <c r="V7" s="103" t="n">
        <v>1.007</v>
      </c>
      <c r="W7" s="103" t="n">
        <v>1.006</v>
      </c>
      <c r="X7" s="103" t="n">
        <v>1.006</v>
      </c>
      <c r="Y7" s="103" t="n">
        <v>1.006</v>
      </c>
      <c r="Z7" s="33" t="n">
        <v>0.06433319732225144</v>
      </c>
      <c r="AA7" s="33" t="n">
        <v>0.04549044008197623</v>
      </c>
      <c r="AB7" s="33" t="n">
        <v>0.03216659866112572</v>
      </c>
      <c r="AC7" s="33" t="n">
        <v>0.02300197595470851</v>
      </c>
      <c r="AD7" s="33" t="n">
        <v>0.01693390614193141</v>
      </c>
      <c r="AE7" s="33" t="n">
        <v>0.01236677650748148</v>
      </c>
      <c r="AF7" s="33" t="n">
        <v>0.008833724903689709</v>
      </c>
      <c r="AG7" s="33" t="n">
        <v>0.006308756246485406</v>
      </c>
      <c r="AH7" s="33" t="n">
        <v>0.004504634442332893</v>
      </c>
      <c r="AI7" s="33" t="n">
        <v>0.00318525756094007</v>
      </c>
      <c r="AJ7" s="33" t="n">
        <v>0.002273942624018862</v>
      </c>
      <c r="AK7" s="33" t="n">
        <v>0.001607920249472869</v>
      </c>
      <c r="AL7" s="33" t="n">
        <v>0.001325229194000878</v>
      </c>
      <c r="AM7" s="34" t="n">
        <v>33.700425287356</v>
      </c>
      <c r="AN7" s="34" t="n">
        <v>33.700425287356</v>
      </c>
      <c r="AO7" s="34" t="n">
        <v>33.700425287356</v>
      </c>
      <c r="AP7" s="34" t="n">
        <v>30.55100000000003</v>
      </c>
      <c r="AQ7" s="34" t="n">
        <v>30.55100000000003</v>
      </c>
      <c r="AR7" s="34" t="n">
        <v>30.55100000000003</v>
      </c>
      <c r="AS7" s="34" t="n">
        <v>27.40157471264336</v>
      </c>
      <c r="AT7" s="34" t="n">
        <v>24.25214942528738</v>
      </c>
      <c r="AU7" s="34" t="n">
        <v>21.1027241379307</v>
      </c>
      <c r="AV7" s="34" t="n">
        <v>21.1027241379307</v>
      </c>
      <c r="AW7" s="34" t="n">
        <v>17.95329885057473</v>
      </c>
      <c r="AX7" s="34" t="n">
        <v>17.95329885057473</v>
      </c>
      <c r="AY7" s="34" t="n">
        <v>14.80387356321805</v>
      </c>
      <c r="AZ7" s="40" t="n"/>
      <c r="BA7" s="40" t="n"/>
    </row>
    <row r="8" customFormat="1" s="41">
      <c r="A8" s="37" t="n">
        <v>4</v>
      </c>
      <c r="B8" s="37">
        <f>B7</f>
        <v/>
      </c>
      <c r="C8" s="34">
        <f>GSD!F8</f>
        <v/>
      </c>
      <c r="D8" s="37">
        <f>GSD!E8</f>
        <v/>
      </c>
      <c r="E8" s="34" t="n">
        <v>27</v>
      </c>
      <c r="F8" s="38" t="n">
        <v>0.008559421270000001</v>
      </c>
      <c r="G8" s="103" t="n">
        <v>2.64</v>
      </c>
      <c r="H8" s="37" t="n">
        <v>0.0005</v>
      </c>
      <c r="I8" s="37" t="n">
        <v>1</v>
      </c>
      <c r="J8" s="37" t="n">
        <v>1</v>
      </c>
      <c r="K8" s="34" t="n">
        <v>0</v>
      </c>
      <c r="L8" s="37" t="n">
        <v>0.3</v>
      </c>
      <c r="M8" s="103" t="n">
        <v>1.009</v>
      </c>
      <c r="N8" s="103" t="n">
        <v>1.009</v>
      </c>
      <c r="O8" s="103" t="n">
        <v>1.009</v>
      </c>
      <c r="P8" s="103" t="n">
        <v>1.008</v>
      </c>
      <c r="Q8" s="103" t="n">
        <v>1.008</v>
      </c>
      <c r="R8" s="103" t="n">
        <v>1.007</v>
      </c>
      <c r="S8" s="103" t="n">
        <v>1.007</v>
      </c>
      <c r="T8" s="103" t="n">
        <v>1.007</v>
      </c>
      <c r="U8" s="103" t="n">
        <v>1.006</v>
      </c>
      <c r="V8" s="103" t="n">
        <v>1.006</v>
      </c>
      <c r="W8" s="103" t="n">
        <v>1.005</v>
      </c>
      <c r="X8" s="103" t="n">
        <v>1.005</v>
      </c>
      <c r="Y8" s="103" t="n">
        <v>1.005</v>
      </c>
      <c r="Z8" s="33" t="n">
        <v>0.06615893351466293</v>
      </c>
      <c r="AA8" s="33" t="n">
        <v>0.0467814305242881</v>
      </c>
      <c r="AB8" s="33" t="n">
        <v>0.03307946675733146</v>
      </c>
      <c r="AC8" s="33" t="n">
        <v>0.02364335008805439</v>
      </c>
      <c r="AD8" s="33" t="n">
        <v>0.01737739928519276</v>
      </c>
      <c r="AE8" s="33" t="n">
        <v>0.01281489190741918</v>
      </c>
      <c r="AF8" s="33" t="n">
        <v>0.009061496967908714</v>
      </c>
      <c r="AG8" s="33" t="n">
        <v>0.006407445953709591</v>
      </c>
      <c r="AH8" s="33" t="n">
        <v>0.004574250021068095</v>
      </c>
      <c r="AI8" s="33" t="n">
        <v>0.003234483208739958</v>
      </c>
      <c r="AJ8" s="33" t="n">
        <v>0.002308670866842452</v>
      </c>
      <c r="AK8" s="33" t="n">
        <v>0.001632476825472123</v>
      </c>
      <c r="AL8" s="33" t="n">
        <v>0.00134523622820229</v>
      </c>
      <c r="AM8" s="34" t="n">
        <v>27.51786046511596</v>
      </c>
      <c r="AN8" s="34" t="n">
        <v>27.51786046511596</v>
      </c>
      <c r="AO8" s="34" t="n">
        <v>27.51786046511596</v>
      </c>
      <c r="AP8" s="34" t="n">
        <v>24.35506976744188</v>
      </c>
      <c r="AQ8" s="34" t="n">
        <v>24.35506976744188</v>
      </c>
      <c r="AR8" s="34" t="n">
        <v>21.19227906976711</v>
      </c>
      <c r="AS8" s="34" t="n">
        <v>21.19227906976711</v>
      </c>
      <c r="AT8" s="34" t="n">
        <v>21.19227906976711</v>
      </c>
      <c r="AU8" s="34" t="n">
        <v>18.02948837209304</v>
      </c>
      <c r="AV8" s="34" t="n">
        <v>18.02948837209304</v>
      </c>
      <c r="AW8" s="34" t="n">
        <v>14.86669767441827</v>
      </c>
      <c r="AX8" s="34" t="n">
        <v>14.86669767441827</v>
      </c>
      <c r="AY8" s="34" t="n">
        <v>11.7039069767442</v>
      </c>
      <c r="AZ8" s="40" t="n"/>
      <c r="BA8" s="40" t="n"/>
    </row>
    <row r="9" customFormat="1" s="41">
      <c r="A9" s="37" t="n">
        <v>5</v>
      </c>
      <c r="B9" s="37">
        <f>B8</f>
        <v/>
      </c>
      <c r="C9" s="34">
        <f>GSD!F9</f>
        <v/>
      </c>
      <c r="D9" s="37">
        <f>GSD!E9</f>
        <v/>
      </c>
      <c r="E9" s="34" t="n">
        <v>27</v>
      </c>
      <c r="F9" s="38" t="n">
        <v>0.008559421270000001</v>
      </c>
      <c r="G9" s="103" t="n">
        <v>2.73</v>
      </c>
      <c r="H9" s="37" t="n">
        <v>0.0005</v>
      </c>
      <c r="I9" s="37" t="n">
        <v>1</v>
      </c>
      <c r="J9" s="37" t="n">
        <v>1</v>
      </c>
      <c r="K9" s="34" t="n">
        <v>0</v>
      </c>
      <c r="L9" s="37" t="n">
        <v>0.3</v>
      </c>
      <c r="M9" s="103" t="n">
        <v>1.026</v>
      </c>
      <c r="N9" s="103" t="n">
        <v>1.025</v>
      </c>
      <c r="O9" s="103" t="n">
        <v>1.025</v>
      </c>
      <c r="P9" s="103" t="n">
        <v>1.024</v>
      </c>
      <c r="Q9" s="103" t="n">
        <v>1.024</v>
      </c>
      <c r="R9" s="103" t="n">
        <v>1.023</v>
      </c>
      <c r="S9" s="103" t="n">
        <v>1.022</v>
      </c>
      <c r="T9" s="103" t="n">
        <v>1.021</v>
      </c>
      <c r="U9" s="103" t="n">
        <v>1.02</v>
      </c>
      <c r="V9" s="103" t="n">
        <v>1.019</v>
      </c>
      <c r="W9" s="103" t="n">
        <v>1.018</v>
      </c>
      <c r="X9" s="103" t="n">
        <v>1.018</v>
      </c>
      <c r="Y9" s="103" t="n">
        <v>1.018</v>
      </c>
      <c r="Z9" s="33" t="n">
        <v>0.05840091911087442</v>
      </c>
      <c r="AA9" s="33" t="n">
        <v>0.04129568593082634</v>
      </c>
      <c r="AB9" s="33" t="n">
        <v>0.02920045955543721</v>
      </c>
      <c r="AC9" s="33" t="n">
        <v>0.02064784296541317</v>
      </c>
      <c r="AD9" s="33" t="n">
        <v>0.01536787929047519</v>
      </c>
      <c r="AE9" s="33" t="n">
        <v>0.01107764198198889</v>
      </c>
      <c r="AF9" s="33" t="n">
        <v>0.00793593874113817</v>
      </c>
      <c r="AG9" s="33" t="n">
        <v>0.005611556098939834</v>
      </c>
      <c r="AH9" s="33" t="n">
        <v>0.004018742697213716</v>
      </c>
      <c r="AI9" s="33" t="n">
        <v>0.002841680213043735</v>
      </c>
      <c r="AJ9" s="33" t="n">
        <v>0.00203444125050606</v>
      </c>
      <c r="AK9" s="33" t="n">
        <v>0.001456078498385166</v>
      </c>
      <c r="AL9" s="33" t="n">
        <v>0.001203011107191411</v>
      </c>
      <c r="AM9" s="34" t="n">
        <v>62.85397619047624</v>
      </c>
      <c r="AN9" s="34" t="n">
        <v>62.85397619047624</v>
      </c>
      <c r="AO9" s="34" t="n">
        <v>62.85397619047624</v>
      </c>
      <c r="AP9" s="34" t="n">
        <v>62.85397619047624</v>
      </c>
      <c r="AQ9" s="34" t="n">
        <v>62.85397619047624</v>
      </c>
      <c r="AR9" s="34" t="n">
        <v>66.04445238095208</v>
      </c>
      <c r="AS9" s="34" t="n">
        <v>62.85397619047624</v>
      </c>
      <c r="AT9" s="34" t="n">
        <v>62.85397619047624</v>
      </c>
      <c r="AU9" s="34" t="n">
        <v>59.6634999999997</v>
      </c>
      <c r="AV9" s="34" t="n">
        <v>59.6634999999997</v>
      </c>
      <c r="AW9" s="34" t="n">
        <v>56.47302380952385</v>
      </c>
      <c r="AX9" s="34" t="n">
        <v>53.28254761904731</v>
      </c>
      <c r="AY9" s="34" t="n">
        <v>50.09207142857147</v>
      </c>
      <c r="AZ9" s="40" t="n"/>
      <c r="BA9" s="40" t="n"/>
    </row>
    <row r="10" customFormat="1" s="41">
      <c r="A10" s="37" t="n">
        <v>6</v>
      </c>
      <c r="B10" s="37">
        <f>B9</f>
        <v/>
      </c>
      <c r="C10" s="34">
        <f>GSD!F10</f>
        <v/>
      </c>
      <c r="D10" s="37">
        <f>GSD!E10</f>
        <v/>
      </c>
      <c r="E10" s="34" t="n">
        <v>27</v>
      </c>
      <c r="F10" s="38" t="n">
        <v>0.008559421270000001</v>
      </c>
      <c r="G10" s="103" t="n">
        <v>2.74</v>
      </c>
      <c r="H10" s="37" t="n">
        <v>0.0005</v>
      </c>
      <c r="I10" s="37" t="n">
        <v>2</v>
      </c>
      <c r="J10" s="37" t="n">
        <v>2</v>
      </c>
      <c r="K10" s="34" t="n">
        <v>0</v>
      </c>
      <c r="L10" s="37" t="n">
        <v>0.3</v>
      </c>
      <c r="M10" s="103" t="n">
        <v>1.028</v>
      </c>
      <c r="N10" s="103" t="n">
        <v>1.028</v>
      </c>
      <c r="O10" s="103" t="n">
        <v>1.027</v>
      </c>
      <c r="P10" s="103" t="n">
        <v>1.026</v>
      </c>
      <c r="Q10" s="103" t="n">
        <v>1.026</v>
      </c>
      <c r="R10" s="103" t="n">
        <v>1.025</v>
      </c>
      <c r="S10" s="103" t="n">
        <v>1.024</v>
      </c>
      <c r="T10" s="103" t="n">
        <v>1.022</v>
      </c>
      <c r="U10" s="103" t="n">
        <v>1.021</v>
      </c>
      <c r="V10" s="103" t="n">
        <v>1.02</v>
      </c>
      <c r="W10" s="103" t="n">
        <v>1.018</v>
      </c>
      <c r="X10" s="103" t="n">
        <v>1.018</v>
      </c>
      <c r="Y10" s="103" t="n">
        <v>1.018</v>
      </c>
      <c r="Z10" s="33" t="n">
        <v>0.05540612620021076</v>
      </c>
      <c r="AA10" s="33" t="n">
        <v>0.03917804755544667</v>
      </c>
      <c r="AB10" s="33" t="n">
        <v>0.02770306310010538</v>
      </c>
      <c r="AC10" s="33" t="n">
        <v>0.01988321503065079</v>
      </c>
      <c r="AD10" s="33" t="n">
        <v>0.01481993395016445</v>
      </c>
      <c r="AE10" s="33" t="n">
        <v>0.01096507512624039</v>
      </c>
      <c r="AF10" s="33" t="n">
        <v>0.007753478977984515</v>
      </c>
      <c r="AG10" s="33" t="n">
        <v>0.005552690995401814</v>
      </c>
      <c r="AH10" s="33" t="n">
        <v>0.003926345456682103</v>
      </c>
      <c r="AI10" s="33" t="n">
        <v>0.002810984545039722</v>
      </c>
      <c r="AJ10" s="33" t="n">
        <v>0.00198766623360817</v>
      </c>
      <c r="AK10" s="33" t="n">
        <v>0.001422600954440518</v>
      </c>
      <c r="AL10" s="33" t="n">
        <v>0.00117535198218437</v>
      </c>
      <c r="AM10" s="34" t="n">
        <v>68.06065909090916</v>
      </c>
      <c r="AN10" s="34" t="n">
        <v>68.06065909090916</v>
      </c>
      <c r="AO10" s="34" t="n">
        <v>68.06065909090916</v>
      </c>
      <c r="AP10" s="34" t="n">
        <v>64.92429545454516</v>
      </c>
      <c r="AQ10" s="34" t="n">
        <v>64.92429545454516</v>
      </c>
      <c r="AR10" s="34" t="n">
        <v>61.78793181818187</v>
      </c>
      <c r="AS10" s="34" t="n">
        <v>61.78793181818187</v>
      </c>
      <c r="AT10" s="34" t="n">
        <v>58.65156818181789</v>
      </c>
      <c r="AU10" s="34" t="n">
        <v>58.65156818181789</v>
      </c>
      <c r="AV10" s="34" t="n">
        <v>55.51520454545459</v>
      </c>
      <c r="AW10" s="34" t="n">
        <v>55.51520454545459</v>
      </c>
      <c r="AX10" s="34" t="n">
        <v>52.37884090909061</v>
      </c>
      <c r="AY10" s="34" t="n">
        <v>49.24247727272731</v>
      </c>
      <c r="AZ10" s="40" t="n"/>
      <c r="BA10" s="40" t="n"/>
    </row>
    <row r="11" customFormat="1" s="41">
      <c r="A11" s="37" t="n">
        <v>7</v>
      </c>
      <c r="B11" s="37">
        <f>B10</f>
        <v/>
      </c>
      <c r="C11" s="34">
        <f>GSD!F11</f>
        <v/>
      </c>
      <c r="D11" s="37">
        <f>GSD!E11</f>
        <v/>
      </c>
      <c r="E11" s="34" t="n">
        <v>27</v>
      </c>
      <c r="F11" s="38" t="n">
        <v>0.008559421270000001</v>
      </c>
      <c r="G11" s="103" t="n">
        <v>2.68</v>
      </c>
      <c r="H11" s="37" t="n">
        <v>0.0005</v>
      </c>
      <c r="I11" s="37" t="n">
        <v>2</v>
      </c>
      <c r="J11" s="37" t="n">
        <v>2</v>
      </c>
      <c r="K11" s="34" t="n">
        <v>0</v>
      </c>
      <c r="L11" s="37" t="n">
        <v>0.3</v>
      </c>
      <c r="M11" s="103" t="n">
        <v>1.019</v>
      </c>
      <c r="N11" s="103" t="n">
        <v>1.019</v>
      </c>
      <c r="O11" s="103" t="n">
        <v>1.018</v>
      </c>
      <c r="P11" s="103" t="n">
        <v>1.018</v>
      </c>
      <c r="Q11" s="103" t="n">
        <v>1.017</v>
      </c>
      <c r="R11" s="103" t="n">
        <v>1.017</v>
      </c>
      <c r="S11" s="103" t="n">
        <v>1.016</v>
      </c>
      <c r="T11" s="103" t="n">
        <v>1.016</v>
      </c>
      <c r="U11" s="103" t="n">
        <v>1.015</v>
      </c>
      <c r="V11" s="103" t="n">
        <v>1.014</v>
      </c>
      <c r="W11" s="103" t="n">
        <v>1.013</v>
      </c>
      <c r="X11" s="103" t="n">
        <v>1.013</v>
      </c>
      <c r="Y11" s="103" t="n">
        <v>1.013</v>
      </c>
      <c r="Z11" s="33" t="n">
        <v>0.06196588267002735</v>
      </c>
      <c r="AA11" s="33" t="n">
        <v>0.04381649583818631</v>
      </c>
      <c r="AB11" s="33" t="n">
        <v>0.03098294133501368</v>
      </c>
      <c r="AC11" s="33" t="n">
        <v>0.02219430679085063</v>
      </c>
      <c r="AD11" s="33" t="n">
        <v>0.01643626078172392</v>
      </c>
      <c r="AE11" s="33" t="n">
        <v>0.01200334772158358</v>
      </c>
      <c r="AF11" s="33" t="n">
        <v>0.008586169219635518</v>
      </c>
      <c r="AG11" s="33" t="n">
        <v>0.006071338479619481</v>
      </c>
      <c r="AH11" s="33" t="n">
        <v>0.004341786080457257</v>
      </c>
      <c r="AI11" s="33" t="n">
        <v>0.003070106379952687</v>
      </c>
      <c r="AJ11" s="33" t="n">
        <v>0.002194973648466581</v>
      </c>
      <c r="AK11" s="33" t="n">
        <v>0.001552080751356496</v>
      </c>
      <c r="AL11" s="33" t="n">
        <v>0.001281020692366347</v>
      </c>
      <c r="AM11" s="34" t="n">
        <v>54.01890123456759</v>
      </c>
      <c r="AN11" s="34" t="n">
        <v>54.01890123456759</v>
      </c>
      <c r="AO11" s="34" t="n">
        <v>54.01890123456759</v>
      </c>
      <c r="AP11" s="34" t="n">
        <v>50.78433333333337</v>
      </c>
      <c r="AQ11" s="34" t="n">
        <v>50.78433333333337</v>
      </c>
      <c r="AR11" s="34" t="n">
        <v>50.78433333333337</v>
      </c>
      <c r="AS11" s="34" t="n">
        <v>47.54976543209845</v>
      </c>
      <c r="AT11" s="34" t="n">
        <v>47.54976543209845</v>
      </c>
      <c r="AU11" s="34" t="n">
        <v>44.31519753086424</v>
      </c>
      <c r="AV11" s="34" t="n">
        <v>44.31519753086424</v>
      </c>
      <c r="AW11" s="34" t="n">
        <v>41.08062962962931</v>
      </c>
      <c r="AX11" s="34" t="n">
        <v>41.08062962962931</v>
      </c>
      <c r="AY11" s="34" t="n">
        <v>37.8460617283951</v>
      </c>
      <c r="AZ11" s="40" t="n"/>
      <c r="BA11" s="40" t="n"/>
    </row>
    <row r="12" customFormat="1" s="41">
      <c r="A12" s="37" t="n">
        <v>8</v>
      </c>
      <c r="B12" s="37">
        <f>B11</f>
        <v/>
      </c>
      <c r="C12" s="34">
        <f>GSD!F12</f>
        <v/>
      </c>
      <c r="D12" s="37">
        <f>GSD!E12</f>
        <v/>
      </c>
      <c r="E12" s="34" t="n">
        <v>27</v>
      </c>
      <c r="F12" s="38" t="n">
        <v>0.008559421270000001</v>
      </c>
      <c r="G12" s="103" t="n">
        <v>2.77</v>
      </c>
      <c r="H12" s="37" t="n">
        <v>0.0005</v>
      </c>
      <c r="I12" s="37" t="n">
        <v>2</v>
      </c>
      <c r="J12" s="37" t="n">
        <v>2</v>
      </c>
      <c r="K12" s="34" t="n">
        <v>0</v>
      </c>
      <c r="L12" s="37" t="n">
        <v>0.3</v>
      </c>
      <c r="M12" s="103" t="n">
        <v>1.026</v>
      </c>
      <c r="N12" s="103" t="n">
        <v>1.026</v>
      </c>
      <c r="O12" s="103" t="n">
        <v>1.025</v>
      </c>
      <c r="P12" s="103" t="n">
        <v>1.024</v>
      </c>
      <c r="Q12" s="103" t="n">
        <v>1.024</v>
      </c>
      <c r="R12" s="103" t="n">
        <v>1.023</v>
      </c>
      <c r="S12" s="103" t="n">
        <v>1.022</v>
      </c>
      <c r="T12" s="103" t="n">
        <v>1.022</v>
      </c>
      <c r="U12" s="103" t="n">
        <v>1.021</v>
      </c>
      <c r="V12" s="103" t="n">
        <v>1.02</v>
      </c>
      <c r="W12" s="103" t="n">
        <v>1.019</v>
      </c>
      <c r="X12" s="103" t="n">
        <v>1.018</v>
      </c>
      <c r="Y12" s="103" t="n">
        <v>1.018</v>
      </c>
      <c r="Z12" s="33" t="n">
        <v>0.05757319334095422</v>
      </c>
      <c r="AA12" s="33" t="n">
        <v>0.04071039542595292</v>
      </c>
      <c r="AB12" s="33" t="n">
        <v>0.02834768227625757</v>
      </c>
      <c r="AC12" s="33" t="n">
        <v>0.02066089549489331</v>
      </c>
      <c r="AD12" s="33" t="n">
        <v>0.01519466078169873</v>
      </c>
      <c r="AE12" s="33" t="n">
        <v>0.01139394564348237</v>
      </c>
      <c r="AF12" s="33" t="n">
        <v>0.008056736228977303</v>
      </c>
      <c r="AG12" s="33" t="n">
        <v>0.005769870123849735</v>
      </c>
      <c r="AH12" s="33" t="n">
        <v>0.004079914291139812</v>
      </c>
      <c r="AI12" s="33" t="n">
        <v>0.002884935061924868</v>
      </c>
      <c r="AJ12" s="33" t="n">
        <v>0.00206540865086457</v>
      </c>
      <c r="AK12" s="33" t="n">
        <v>0.001478242306655223</v>
      </c>
      <c r="AL12" s="33" t="n">
        <v>0.001221322831151425</v>
      </c>
      <c r="AM12" s="34" t="n">
        <v>70.02738036809822</v>
      </c>
      <c r="AN12" s="34" t="n">
        <v>70.02738036809822</v>
      </c>
      <c r="AO12" s="34" t="n">
        <v>73.25437423312853</v>
      </c>
      <c r="AP12" s="34" t="n">
        <v>66.80038650306719</v>
      </c>
      <c r="AQ12" s="34" t="n">
        <v>70.02738036809822</v>
      </c>
      <c r="AR12" s="34" t="n">
        <v>63.57339263803686</v>
      </c>
      <c r="AS12" s="34" t="n">
        <v>63.57339263803686</v>
      </c>
      <c r="AT12" s="34" t="n">
        <v>60.34639877300584</v>
      </c>
      <c r="AU12" s="34" t="n">
        <v>60.34639877300584</v>
      </c>
      <c r="AV12" s="34" t="n">
        <v>60.34639877300584</v>
      </c>
      <c r="AW12" s="34" t="n">
        <v>57.1194049079755</v>
      </c>
      <c r="AX12" s="34" t="n">
        <v>53.89241104294447</v>
      </c>
      <c r="AY12" s="34" t="n">
        <v>50.66541717791415</v>
      </c>
      <c r="AZ12" s="40" t="n"/>
      <c r="BA12" s="40" t="n"/>
    </row>
    <row r="13" customFormat="1" s="41">
      <c r="A13" s="37" t="n">
        <v>9</v>
      </c>
      <c r="B13" s="37">
        <f>B12</f>
        <v/>
      </c>
      <c r="C13" s="34">
        <f>GSD!F13</f>
        <v/>
      </c>
      <c r="D13" s="37">
        <f>GSD!E13</f>
        <v/>
      </c>
      <c r="E13" s="34" t="n">
        <v>27</v>
      </c>
      <c r="F13" s="38" t="n">
        <v>0.008559421270000001</v>
      </c>
      <c r="G13" s="103" t="n">
        <v>2.7</v>
      </c>
      <c r="H13" s="37" t="n">
        <v>0.0005</v>
      </c>
      <c r="I13" s="37" t="n">
        <v>2</v>
      </c>
      <c r="J13" s="37" t="n">
        <v>2</v>
      </c>
      <c r="K13" s="34" t="n">
        <v>0</v>
      </c>
      <c r="L13" s="37" t="n">
        <v>0.3</v>
      </c>
      <c r="M13" s="103" t="n">
        <v>1.021</v>
      </c>
      <c r="N13" s="103" t="n">
        <v>1.021</v>
      </c>
      <c r="O13" s="103" t="n">
        <v>1.021</v>
      </c>
      <c r="P13" s="103" t="n">
        <v>1.02</v>
      </c>
      <c r="Q13" s="103" t="n">
        <v>1.02</v>
      </c>
      <c r="R13" s="103" t="n">
        <v>1.019</v>
      </c>
      <c r="S13" s="103" t="n">
        <v>1.019</v>
      </c>
      <c r="T13" s="103" t="n">
        <v>1.018</v>
      </c>
      <c r="U13" s="103" t="n">
        <v>1.017</v>
      </c>
      <c r="V13" s="103" t="n">
        <v>1.016</v>
      </c>
      <c r="W13" s="103" t="n">
        <v>1.015</v>
      </c>
      <c r="X13" s="103" t="n">
        <v>1.015</v>
      </c>
      <c r="Y13" s="103" t="n">
        <v>1.015</v>
      </c>
      <c r="Z13" s="33" t="n">
        <v>0.05898314769156404</v>
      </c>
      <c r="AA13" s="33" t="n">
        <v>0.04170738370843259</v>
      </c>
      <c r="AB13" s="33" t="n">
        <v>0.02949157384578202</v>
      </c>
      <c r="AC13" s="33" t="n">
        <v>0.0211577430289854</v>
      </c>
      <c r="AD13" s="33" t="n">
        <v>0.01574739024667094</v>
      </c>
      <c r="AE13" s="33" t="n">
        <v>0.0116474228942643</v>
      </c>
      <c r="AF13" s="33" t="n">
        <v>0.008235971711881727</v>
      </c>
      <c r="AG13" s="33" t="n">
        <v>0.005896370925814416</v>
      </c>
      <c r="AH13" s="33" t="n">
        <v>0.004220116418425046</v>
      </c>
      <c r="AI13" s="33" t="n">
        <v>0.003019533914590661</v>
      </c>
      <c r="AJ13" s="33" t="n">
        <v>0.002159916529659901</v>
      </c>
      <c r="AK13" s="33" t="n">
        <v>0.001544617476839251</v>
      </c>
      <c r="AL13" s="33" t="n">
        <v>0.00127516445788128</v>
      </c>
      <c r="AM13" s="34" t="n">
        <v>67.2766249999997</v>
      </c>
      <c r="AN13" s="34" t="n">
        <v>67.2766249999997</v>
      </c>
      <c r="AO13" s="34" t="n">
        <v>67.2766249999997</v>
      </c>
      <c r="AP13" s="34" t="n">
        <v>64.02662500000005</v>
      </c>
      <c r="AQ13" s="34" t="n">
        <v>64.02662500000005</v>
      </c>
      <c r="AR13" s="34" t="n">
        <v>60.7766249999997</v>
      </c>
      <c r="AS13" s="34" t="n">
        <v>60.7766249999997</v>
      </c>
      <c r="AT13" s="34" t="n">
        <v>57.52662500000004</v>
      </c>
      <c r="AU13" s="34" t="n">
        <v>54.27662499999968</v>
      </c>
      <c r="AV13" s="34" t="n">
        <v>51.02662500000004</v>
      </c>
      <c r="AW13" s="34" t="n">
        <v>47.77662499999968</v>
      </c>
      <c r="AX13" s="34" t="n">
        <v>44.52662500000004</v>
      </c>
      <c r="AY13" s="34" t="n">
        <v>41.27662499999968</v>
      </c>
      <c r="AZ13" s="40" t="n"/>
      <c r="BA13" s="40" t="n"/>
    </row>
    <row r="14" customFormat="1" s="41">
      <c r="A14" s="37" t="n">
        <v>10</v>
      </c>
      <c r="B14" s="37">
        <f>B13</f>
        <v/>
      </c>
      <c r="C14" s="34">
        <f>GSD!F14</f>
        <v/>
      </c>
      <c r="D14" s="37">
        <f>GSD!E14</f>
        <v/>
      </c>
      <c r="E14" s="34" t="n">
        <v>27</v>
      </c>
      <c r="F14" s="38" t="n">
        <v>0.008559421270000001</v>
      </c>
      <c r="G14" s="103" t="n">
        <v>2.7</v>
      </c>
      <c r="H14" s="37" t="n">
        <v>0.0005</v>
      </c>
      <c r="I14" s="37" t="n">
        <v>3</v>
      </c>
      <c r="J14" s="37" t="n">
        <v>3</v>
      </c>
      <c r="K14" s="34" t="n">
        <v>0</v>
      </c>
      <c r="L14" s="37" t="n">
        <v>0.3</v>
      </c>
      <c r="M14" s="103" t="n">
        <v>1.024</v>
      </c>
      <c r="N14" s="103" t="n">
        <v>1.024</v>
      </c>
      <c r="O14" s="103" t="n">
        <v>1.024</v>
      </c>
      <c r="P14" s="103" t="n">
        <v>1.023</v>
      </c>
      <c r="Q14" s="103" t="n">
        <v>1.023</v>
      </c>
      <c r="R14" s="103" t="n">
        <v>1.023</v>
      </c>
      <c r="S14" s="103" t="n">
        <v>1.022</v>
      </c>
      <c r="T14" s="103" t="n">
        <v>1.021</v>
      </c>
      <c r="U14" s="103" t="n">
        <v>1.021</v>
      </c>
      <c r="V14" s="103" t="n">
        <v>1.02</v>
      </c>
      <c r="W14" s="103" t="n">
        <v>1.019</v>
      </c>
      <c r="X14" s="103" t="n">
        <v>1.019</v>
      </c>
      <c r="Y14" s="103" t="n">
        <v>1.019</v>
      </c>
      <c r="Z14" s="33" t="n">
        <v>0.05687008103618273</v>
      </c>
      <c r="AA14" s="33" t="n">
        <v>0.04021321994731328</v>
      </c>
      <c r="AB14" s="33" t="n">
        <v>0.02887530750224826</v>
      </c>
      <c r="AC14" s="33" t="n">
        <v>0.02072456558571612</v>
      </c>
      <c r="AD14" s="33" t="n">
        <v>0.01524148573331961</v>
      </c>
      <c r="AE14" s="33" t="n">
        <v>0.01128091842312994</v>
      </c>
      <c r="AF14" s="33" t="n">
        <v>0.007976813915007437</v>
      </c>
      <c r="AG14" s="33" t="n">
        <v>0.005714529019973976</v>
      </c>
      <c r="AH14" s="33" t="n">
        <v>0.004040782221310914</v>
      </c>
      <c r="AI14" s="33" t="n">
        <v>0.002893825483806923</v>
      </c>
      <c r="AJ14" s="33" t="n">
        <v>0.002046243623170317</v>
      </c>
      <c r="AK14" s="33" t="n">
        <v>0.001464965134519378</v>
      </c>
      <c r="AL14" s="33" t="n">
        <v>0.001210699304267903</v>
      </c>
      <c r="AM14" s="34" t="n">
        <v>73.426308641975</v>
      </c>
      <c r="AN14" s="34" t="n">
        <v>73.426308641975</v>
      </c>
      <c r="AO14" s="34" t="n">
        <v>70.1917407407408</v>
      </c>
      <c r="AP14" s="34" t="n">
        <v>66.95717283950587</v>
      </c>
      <c r="AQ14" s="34" t="n">
        <v>70.1917407407408</v>
      </c>
      <c r="AR14" s="34" t="n">
        <v>66.95717283950587</v>
      </c>
      <c r="AS14" s="34" t="n">
        <v>66.95717283950587</v>
      </c>
      <c r="AT14" s="34" t="n">
        <v>63.72260493827166</v>
      </c>
      <c r="AU14" s="34" t="n">
        <v>63.72260493827166</v>
      </c>
      <c r="AV14" s="34" t="n">
        <v>60.48803703703673</v>
      </c>
      <c r="AW14" s="34" t="n">
        <v>60.48803703703673</v>
      </c>
      <c r="AX14" s="34" t="n">
        <v>57.25346913580251</v>
      </c>
      <c r="AY14" s="34" t="n">
        <v>54.01890123456759</v>
      </c>
      <c r="AZ14" s="40" t="n"/>
      <c r="BA14" s="40" t="n"/>
    </row>
    <row r="15" customFormat="1" s="41">
      <c r="A15" s="37" t="n">
        <v>11</v>
      </c>
      <c r="B15" s="37">
        <f>B14</f>
        <v/>
      </c>
      <c r="C15" s="34">
        <f>GSD!F15</f>
        <v/>
      </c>
      <c r="D15" s="37">
        <f>GSD!E15</f>
        <v/>
      </c>
      <c r="E15" s="34" t="n">
        <v>27</v>
      </c>
      <c r="F15" s="38" t="n">
        <v>0.008559421270000001</v>
      </c>
      <c r="G15" s="103" t="n">
        <v>2.75</v>
      </c>
      <c r="H15" s="37" t="n">
        <v>0.0005</v>
      </c>
      <c r="I15" s="37" t="n">
        <v>3</v>
      </c>
      <c r="J15" s="37" t="n">
        <v>3</v>
      </c>
      <c r="K15" s="34" t="n">
        <v>0</v>
      </c>
      <c r="L15" s="37" t="n">
        <v>0.3</v>
      </c>
      <c r="M15" s="103" t="n">
        <v>1.026</v>
      </c>
      <c r="N15" s="103" t="n">
        <v>1.026</v>
      </c>
      <c r="O15" s="103" t="n">
        <v>1.025</v>
      </c>
      <c r="P15" s="103" t="n">
        <v>1.025</v>
      </c>
      <c r="Q15" s="103" t="n">
        <v>1.024</v>
      </c>
      <c r="R15" s="103" t="n">
        <v>1.023</v>
      </c>
      <c r="S15" s="103" t="n">
        <v>1.023</v>
      </c>
      <c r="T15" s="103" t="n">
        <v>1.022</v>
      </c>
      <c r="U15" s="103" t="n">
        <v>1.021</v>
      </c>
      <c r="V15" s="103" t="n">
        <v>1.02</v>
      </c>
      <c r="W15" s="103" t="n">
        <v>1.019</v>
      </c>
      <c r="X15" s="103" t="n">
        <v>1.019</v>
      </c>
      <c r="Y15" s="103" t="n">
        <v>1.019</v>
      </c>
      <c r="Z15" s="33" t="n">
        <v>0.0548740140625194</v>
      </c>
      <c r="AA15" s="33" t="n">
        <v>0.03880178745453344</v>
      </c>
      <c r="AB15" s="33" t="n">
        <v>0.0274370070312597</v>
      </c>
      <c r="AC15" s="33" t="n">
        <v>0.01970128271267428</v>
      </c>
      <c r="AD15" s="33" t="n">
        <v>0.01470652911381904</v>
      </c>
      <c r="AE15" s="33" t="n">
        <v>0.0108849726413282</v>
      </c>
      <c r="AF15" s="33" t="n">
        <v>0.007696837967713217</v>
      </c>
      <c r="AG15" s="33" t="n">
        <v>0.005513956373707595</v>
      </c>
      <c r="AH15" s="33" t="n">
        <v>0.003898955943015425</v>
      </c>
      <c r="AI15" s="33" t="n">
        <v>0.002756978186853797</v>
      </c>
      <c r="AJ15" s="33" t="n">
        <v>0.001974423093959522</v>
      </c>
      <c r="AK15" s="33" t="n">
        <v>0.001413546735436705</v>
      </c>
      <c r="AL15" s="33" t="n">
        <v>0.001168205310022515</v>
      </c>
      <c r="AM15" s="34" t="n">
        <v>71.49352873563188</v>
      </c>
      <c r="AN15" s="34" t="n">
        <v>71.49352873563188</v>
      </c>
      <c r="AO15" s="34" t="n">
        <v>71.49352873563188</v>
      </c>
      <c r="AP15" s="34" t="n">
        <v>68.34410344827592</v>
      </c>
      <c r="AQ15" s="34" t="n">
        <v>68.34410344827592</v>
      </c>
      <c r="AR15" s="34" t="n">
        <v>65.19467816091924</v>
      </c>
      <c r="AS15" s="34" t="n">
        <v>65.19467816091924</v>
      </c>
      <c r="AT15" s="34" t="n">
        <v>62.04525287356327</v>
      </c>
      <c r="AU15" s="34" t="n">
        <v>62.04525287356327</v>
      </c>
      <c r="AV15" s="34" t="n">
        <v>62.04525287356327</v>
      </c>
      <c r="AW15" s="34" t="n">
        <v>58.8958275862066</v>
      </c>
      <c r="AX15" s="34" t="n">
        <v>55.74640229885061</v>
      </c>
      <c r="AY15" s="34" t="n">
        <v>52.59697701149395</v>
      </c>
      <c r="AZ15" s="40" t="n"/>
      <c r="BA15" s="40" t="n"/>
    </row>
    <row r="16" customFormat="1" s="41">
      <c r="A16" s="37" t="n">
        <v>12</v>
      </c>
      <c r="B16" s="37">
        <f>B15</f>
        <v/>
      </c>
      <c r="C16" s="34">
        <f>GSD!F16</f>
        <v/>
      </c>
      <c r="D16" s="37">
        <f>GSD!E16</f>
        <v/>
      </c>
      <c r="E16" s="34" t="n">
        <v>27</v>
      </c>
      <c r="F16" s="38" t="n">
        <v>0.008559421270000001</v>
      </c>
      <c r="G16" s="103" t="n">
        <v>2.74</v>
      </c>
      <c r="H16" s="37" t="n">
        <v>0.0005</v>
      </c>
      <c r="I16" s="37" t="n">
        <v>3</v>
      </c>
      <c r="J16" s="37" t="n">
        <v>3</v>
      </c>
      <c r="K16" s="34" t="n">
        <v>0</v>
      </c>
      <c r="L16" s="37" t="n">
        <v>0.3</v>
      </c>
      <c r="M16" s="103" t="n">
        <v>1.03</v>
      </c>
      <c r="N16" s="103" t="n">
        <v>1.03</v>
      </c>
      <c r="O16" s="103" t="n">
        <v>1.029</v>
      </c>
      <c r="P16" s="103" t="n">
        <v>1.028</v>
      </c>
      <c r="Q16" s="103" t="n">
        <v>1.027</v>
      </c>
      <c r="R16" s="103" t="n">
        <v>1.026</v>
      </c>
      <c r="S16" s="103" t="n">
        <v>1.025</v>
      </c>
      <c r="T16" s="103" t="n">
        <v>1.024</v>
      </c>
      <c r="U16" s="103" t="n">
        <v>1.022</v>
      </c>
      <c r="V16" s="103" t="n">
        <v>1.02</v>
      </c>
      <c r="W16" s="103" t="n">
        <v>1.019</v>
      </c>
      <c r="X16" s="103" t="n">
        <v>1.019</v>
      </c>
      <c r="Y16" s="103" t="n">
        <v>1.019</v>
      </c>
      <c r="Z16" s="33" t="n">
        <v>0.05395169603780581</v>
      </c>
      <c r="AA16" s="33" t="n">
        <v>0.03814961012484788</v>
      </c>
      <c r="AB16" s="33" t="n">
        <v>0.02697584801890291</v>
      </c>
      <c r="AC16" s="33" t="n">
        <v>0.01937014513387104</v>
      </c>
      <c r="AD16" s="33" t="n">
        <v>0.01445934295267551</v>
      </c>
      <c r="AE16" s="33" t="n">
        <v>0.01070201889469372</v>
      </c>
      <c r="AF16" s="33" t="n">
        <v>0.007567470132824487</v>
      </c>
      <c r="AG16" s="33" t="n">
        <v>0.005421278237474282</v>
      </c>
      <c r="AH16" s="33" t="n">
        <v>0.003833422604417119</v>
      </c>
      <c r="AI16" s="33" t="n">
        <v>0.002710639118737141</v>
      </c>
      <c r="AJ16" s="33" t="n">
        <v>0.001941237149044049</v>
      </c>
      <c r="AK16" s="33" t="n">
        <v>0.001389787955344858</v>
      </c>
      <c r="AL16" s="33" t="n">
        <v>0.001148570208920337</v>
      </c>
      <c r="AM16" s="34" t="n">
        <v>70.62377777777749</v>
      </c>
      <c r="AN16" s="34" t="n">
        <v>70.62377777777749</v>
      </c>
      <c r="AO16" s="34" t="n">
        <v>70.62377777777749</v>
      </c>
      <c r="AP16" s="34" t="n">
        <v>67.51266666666673</v>
      </c>
      <c r="AQ16" s="34" t="n">
        <v>67.51266666666673</v>
      </c>
      <c r="AR16" s="34" t="n">
        <v>64.40155555555526</v>
      </c>
      <c r="AS16" s="34" t="n">
        <v>64.40155555555526</v>
      </c>
      <c r="AT16" s="34" t="n">
        <v>61.2904444444445</v>
      </c>
      <c r="AU16" s="34" t="n">
        <v>61.2904444444445</v>
      </c>
      <c r="AV16" s="34" t="n">
        <v>61.2904444444445</v>
      </c>
      <c r="AW16" s="34" t="n">
        <v>58.17933333333304</v>
      </c>
      <c r="AX16" s="34" t="n">
        <v>55.06822222222227</v>
      </c>
      <c r="AY16" s="34" t="n">
        <v>51.95711111111081</v>
      </c>
      <c r="AZ16" s="40" t="n"/>
      <c r="BA16" s="40" t="n"/>
    </row>
    <row r="17" customFormat="1" s="41">
      <c r="A17" s="37" t="n">
        <v>13</v>
      </c>
      <c r="B17" s="37">
        <f>B16</f>
        <v/>
      </c>
      <c r="C17" s="34">
        <f>GSD!F17</f>
        <v/>
      </c>
      <c r="D17" s="37">
        <f>GSD!E17</f>
        <v/>
      </c>
      <c r="E17" s="34" t="n">
        <v>27</v>
      </c>
      <c r="F17" s="38" t="n">
        <v>0.008559421270000001</v>
      </c>
      <c r="G17" s="103" t="n">
        <v>2.69</v>
      </c>
      <c r="H17" s="37" t="n">
        <v>0.0005</v>
      </c>
      <c r="I17" s="37" t="n">
        <v>3</v>
      </c>
      <c r="J17" s="37" t="n">
        <v>3</v>
      </c>
      <c r="K17" s="34" t="n">
        <v>0</v>
      </c>
      <c r="L17" s="37" t="n">
        <v>0.3</v>
      </c>
      <c r="M17" s="103" t="n">
        <v>1.006</v>
      </c>
      <c r="N17" s="103" t="n">
        <v>1.006</v>
      </c>
      <c r="O17" s="103" t="n">
        <v>1.006</v>
      </c>
      <c r="P17" s="103" t="n">
        <v>1.005</v>
      </c>
      <c r="Q17" s="103" t="n">
        <v>1.005</v>
      </c>
      <c r="R17" s="103" t="n">
        <v>1.005</v>
      </c>
      <c r="S17" s="103" t="n">
        <v>1.005</v>
      </c>
      <c r="T17" s="103" t="n">
        <v>1.005</v>
      </c>
      <c r="U17" s="103" t="n">
        <v>1.004</v>
      </c>
      <c r="V17" s="103" t="n">
        <v>1.004</v>
      </c>
      <c r="W17" s="103" t="n">
        <v>1.004</v>
      </c>
      <c r="X17" s="103" t="n">
        <v>1.004</v>
      </c>
      <c r="Y17" s="103" t="n">
        <v>1.004</v>
      </c>
      <c r="Z17" s="33" t="n">
        <v>0.06749981041860102</v>
      </c>
      <c r="AA17" s="33" t="n">
        <v>0.04772957367579916</v>
      </c>
      <c r="AB17" s="33" t="n">
        <v>0.03374990520930051</v>
      </c>
      <c r="AC17" s="33" t="n">
        <v>0.02386478683789958</v>
      </c>
      <c r="AD17" s="33" t="n">
        <v>0.01751351899873011</v>
      </c>
      <c r="AE17" s="33" t="n">
        <v>0.0127900658891997</v>
      </c>
      <c r="AF17" s="33" t="n">
        <v>0.009129140761529521</v>
      </c>
      <c r="AG17" s="33" t="n">
        <v>0.006455277338884046</v>
      </c>
      <c r="AH17" s="33" t="n">
        <v>0.004606775698973318</v>
      </c>
      <c r="AI17" s="33" t="n">
        <v>0.003257482336149431</v>
      </c>
      <c r="AJ17" s="33" t="n">
        <v>0.002303387849486659</v>
      </c>
      <c r="AK17" s="33" t="n">
        <v>0.001628741168074715</v>
      </c>
      <c r="AL17" s="33" t="n">
        <v>0.001329861594949236</v>
      </c>
      <c r="AM17" s="34" t="n">
        <v>17.87884090909093</v>
      </c>
      <c r="AN17" s="34" t="n">
        <v>17.87884090909093</v>
      </c>
      <c r="AO17" s="34" t="n">
        <v>17.87884090909093</v>
      </c>
      <c r="AP17" s="34" t="n">
        <v>17.87884090909093</v>
      </c>
      <c r="AQ17" s="34" t="n">
        <v>17.87884090909093</v>
      </c>
      <c r="AR17" s="34" t="n">
        <v>17.87884090909093</v>
      </c>
      <c r="AS17" s="34" t="n">
        <v>14.74247727272694</v>
      </c>
      <c r="AT17" s="34" t="n">
        <v>14.74247727272694</v>
      </c>
      <c r="AU17" s="34" t="n">
        <v>11.60611363636365</v>
      </c>
      <c r="AV17" s="34" t="n">
        <v>11.60611363636365</v>
      </c>
      <c r="AW17" s="34" t="n">
        <v>11.60611363636365</v>
      </c>
      <c r="AX17" s="34" t="n">
        <v>11.60611363636365</v>
      </c>
      <c r="AY17" s="34" t="n">
        <v>11.60611363636365</v>
      </c>
      <c r="AZ17" s="40" t="n"/>
      <c r="BA17" s="40" t="n"/>
    </row>
    <row r="18">
      <c r="A18" s="37" t="n">
        <v>14</v>
      </c>
      <c r="B18" s="37">
        <f>B17</f>
        <v/>
      </c>
      <c r="C18" s="34">
        <f>GSD!F18</f>
        <v/>
      </c>
      <c r="D18" s="37">
        <f>GSD!E18</f>
        <v/>
      </c>
      <c r="E18" s="34" t="n">
        <v>28</v>
      </c>
      <c r="F18" s="38">
        <f>(0.000000002615*E18^4) - (0.00000030607*E18^3) + (0.000016427499*E18^2) - (0.000618546309*E18) + 0.017919182437</f>
        <v/>
      </c>
      <c r="G18" s="103" t="n">
        <v>2.76</v>
      </c>
      <c r="H18" s="37" t="n">
        <v>0.0005</v>
      </c>
      <c r="I18" s="37" t="n">
        <v>1</v>
      </c>
      <c r="J18" s="37" t="n">
        <v>1</v>
      </c>
      <c r="K18" s="34">
        <f>(E18-27)*0.25</f>
        <v/>
      </c>
      <c r="L18" s="37" t="n">
        <v>0.3</v>
      </c>
      <c r="M18" s="103" t="n">
        <v>1.006</v>
      </c>
      <c r="N18" s="103" t="n">
        <v>1.006</v>
      </c>
      <c r="O18" s="103" t="n">
        <v>1.006</v>
      </c>
      <c r="P18" s="103" t="n">
        <v>1.006</v>
      </c>
      <c r="Q18" s="103" t="n">
        <v>1.006</v>
      </c>
      <c r="R18" s="103" t="n">
        <v>1.006</v>
      </c>
      <c r="S18" s="103" t="n">
        <v>1.005</v>
      </c>
      <c r="T18" s="103" t="n">
        <v>1.005</v>
      </c>
      <c r="U18" s="103" t="n">
        <v>1.004</v>
      </c>
      <c r="V18" s="103" t="n">
        <v>1.004</v>
      </c>
      <c r="W18" s="103" t="n">
        <v>1.004</v>
      </c>
      <c r="X18" s="103" t="n">
        <v>1.004</v>
      </c>
      <c r="Y18" s="103" t="n">
        <v>1.004</v>
      </c>
      <c r="Z18" s="33" t="n">
        <v>0.06749981041860102</v>
      </c>
      <c r="AA18" s="33" t="n">
        <v>0.04772957367579916</v>
      </c>
      <c r="AB18" s="33" t="n">
        <v>0.03374990520930051</v>
      </c>
      <c r="AC18" s="33" t="n">
        <v>0.02386478683789958</v>
      </c>
      <c r="AD18" s="33" t="n">
        <v>0.01751351899873011</v>
      </c>
      <c r="AE18" s="33" t="n">
        <v>0.0127900658891997</v>
      </c>
      <c r="AF18" s="33" t="n">
        <v>0.009129140761529521</v>
      </c>
      <c r="AG18" s="33" t="n">
        <v>0.006455277338884046</v>
      </c>
      <c r="AH18" s="33" t="n">
        <v>0.004606775698973318</v>
      </c>
      <c r="AI18" s="33" t="n">
        <v>0.003257482336149431</v>
      </c>
      <c r="AJ18" s="33" t="n">
        <v>0.002303387849486659</v>
      </c>
      <c r="AK18" s="33" t="n">
        <v>0.001628741168074715</v>
      </c>
      <c r="AL18" s="33" t="n">
        <v>0.001329861594949236</v>
      </c>
      <c r="AM18" s="34" t="n">
        <v>17.87884090909093</v>
      </c>
      <c r="AN18" s="34" t="n">
        <v>17.87884090909093</v>
      </c>
      <c r="AO18" s="34" t="n">
        <v>17.87884090909093</v>
      </c>
      <c r="AP18" s="34" t="n">
        <v>17.87884090909093</v>
      </c>
      <c r="AQ18" s="34" t="n">
        <v>17.87884090909093</v>
      </c>
      <c r="AR18" s="34" t="n">
        <v>17.87884090909093</v>
      </c>
      <c r="AS18" s="34" t="n">
        <v>14.74247727272694</v>
      </c>
      <c r="AT18" s="34" t="n">
        <v>14.74247727272694</v>
      </c>
      <c r="AU18" s="34" t="n">
        <v>11.60611363636365</v>
      </c>
      <c r="AV18" s="34" t="n">
        <v>11.60611363636365</v>
      </c>
      <c r="AW18" s="34" t="n">
        <v>11.60611363636365</v>
      </c>
      <c r="AX18" s="34" t="n">
        <v>11.60611363636365</v>
      </c>
      <c r="AY18" s="34" t="n">
        <v>11.60611363636365</v>
      </c>
    </row>
    <row r="19">
      <c r="G19" t="inlineStr">
        <is>
          <t>  </t>
        </is>
      </c>
      <c r="J19" s="35" t="n"/>
    </row>
    <row r="20">
      <c r="J20" s="35" t="n"/>
    </row>
    <row r="21">
      <c r="J21" s="35" t="n"/>
    </row>
    <row r="22">
      <c r="J22" s="35" t="n"/>
    </row>
    <row r="23">
      <c r="J23" s="35" t="n"/>
    </row>
    <row r="24">
      <c r="J24" s="35" t="n"/>
    </row>
    <row r="25">
      <c r="J25" s="35" t="n"/>
    </row>
    <row r="26">
      <c r="J26" s="35" t="n"/>
    </row>
    <row r="27">
      <c r="J27" s="35" t="n"/>
    </row>
    <row r="28">
      <c r="J28" s="35" t="n"/>
    </row>
    <row r="29">
      <c r="J29" s="35" t="n"/>
    </row>
    <row r="30">
      <c r="J30" s="35" t="n"/>
    </row>
    <row r="31">
      <c r="J31" s="35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35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35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35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35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35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35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35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35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35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35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35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35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35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35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35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35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35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35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35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35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35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35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35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35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35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35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35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35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35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35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35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35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35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35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35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35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35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35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35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35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T33"/>
  <sheetViews>
    <sheetView tabSelected="1" zoomScale="85" zoomScaleNormal="85" workbookViewId="0">
      <selection activeCell="G32" sqref="G32"/>
    </sheetView>
  </sheetViews>
  <sheetFormatPr baseColWidth="8" defaultRowHeight="15"/>
  <cols>
    <col width="9.140625" customWidth="1" min="4" max="27"/>
    <col width="9.140625" customWidth="1" style="42" min="28" max="28"/>
  </cols>
  <sheetData>
    <row r="1">
      <c r="J1" s="25" t="n">
        <v>0.5</v>
      </c>
      <c r="K1" s="25" t="n">
        <v>1</v>
      </c>
      <c r="L1" s="25" t="n">
        <v>2</v>
      </c>
      <c r="M1" s="25" t="n">
        <v>4</v>
      </c>
      <c r="N1" s="25" t="n">
        <v>8</v>
      </c>
      <c r="O1" s="25" t="n">
        <v>15</v>
      </c>
      <c r="P1" s="25" t="n">
        <v>30</v>
      </c>
      <c r="Q1" s="25" t="n">
        <v>60</v>
      </c>
      <c r="R1" s="25" t="n">
        <v>120</v>
      </c>
      <c r="S1" s="25" t="n">
        <v>240</v>
      </c>
      <c r="T1" s="25" t="n">
        <v>480</v>
      </c>
      <c r="U1" s="25" t="n">
        <v>960</v>
      </c>
      <c r="V1" s="25" t="n">
        <v>1440</v>
      </c>
      <c r="W1" s="25" t="n">
        <v>4.75</v>
      </c>
      <c r="X1" s="105" t="n">
        <v>2</v>
      </c>
      <c r="Y1" s="28" t="n">
        <v>0.425</v>
      </c>
      <c r="Z1" s="28" t="n">
        <v>0.212</v>
      </c>
      <c r="AA1" s="28" t="n">
        <v>0.15</v>
      </c>
      <c r="AB1" s="25" t="n">
        <v>0.075</v>
      </c>
      <c r="AC1" s="25" t="n">
        <v>0.5</v>
      </c>
      <c r="AD1" s="25" t="n">
        <v>1</v>
      </c>
      <c r="AE1" s="25" t="n">
        <v>2</v>
      </c>
      <c r="AF1" s="25" t="n">
        <v>4</v>
      </c>
      <c r="AG1" s="25" t="n">
        <v>8</v>
      </c>
      <c r="AH1" s="25" t="n">
        <v>15</v>
      </c>
      <c r="AI1" s="25" t="n">
        <v>30</v>
      </c>
      <c r="AJ1" s="25" t="n">
        <v>60</v>
      </c>
      <c r="AK1" s="25" t="n">
        <v>120</v>
      </c>
      <c r="AL1" s="25" t="n">
        <v>240</v>
      </c>
      <c r="AM1" s="25" t="n">
        <v>480</v>
      </c>
      <c r="AN1" s="25" t="n">
        <v>960</v>
      </c>
      <c r="AO1" s="25" t="n">
        <v>1440</v>
      </c>
    </row>
    <row r="2">
      <c r="A2" s="84" t="inlineStr">
        <is>
          <t>SR No.</t>
        </is>
      </c>
      <c r="B2" s="84" t="inlineStr">
        <is>
          <t>BH ID</t>
        </is>
      </c>
      <c r="C2" s="84" t="inlineStr">
        <is>
          <t>Depth</t>
        </is>
      </c>
      <c r="D2" s="83" t="inlineStr">
        <is>
          <t>Particle Size in mm (GSD)</t>
        </is>
      </c>
      <c r="E2" s="92" t="n"/>
      <c r="F2" s="92" t="n"/>
      <c r="G2" s="92" t="n"/>
      <c r="H2" s="92" t="n"/>
      <c r="I2" s="93" t="n"/>
      <c r="J2" s="83" t="inlineStr">
        <is>
          <t>Particle Size in mm (HYD)</t>
        </is>
      </c>
      <c r="K2" s="92" t="n"/>
      <c r="L2" s="92" t="n"/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3" t="n"/>
      <c r="W2" s="84" t="inlineStr">
        <is>
          <t>% Passing (GSD)</t>
        </is>
      </c>
      <c r="X2" s="92" t="n"/>
      <c r="Y2" s="92" t="n"/>
      <c r="Z2" s="92" t="n"/>
      <c r="AA2" s="92" t="n"/>
      <c r="AB2" s="93" t="n"/>
      <c r="AC2" s="83" t="inlineStr">
        <is>
          <t>% Passing (HYD)</t>
        </is>
      </c>
      <c r="AD2" s="92" t="n"/>
      <c r="AE2" s="92" t="n"/>
      <c r="AF2" s="92" t="n"/>
      <c r="AG2" s="92" t="n"/>
      <c r="AH2" s="92" t="n"/>
      <c r="AI2" s="92" t="n"/>
      <c r="AJ2" s="92" t="n"/>
      <c r="AK2" s="92" t="n"/>
      <c r="AL2" s="92" t="n"/>
      <c r="AM2" s="92" t="n"/>
      <c r="AN2" s="92" t="n"/>
      <c r="AO2" s="93" t="n"/>
      <c r="AP2" s="84" t="inlineStr">
        <is>
          <t>% Gravel</t>
        </is>
      </c>
      <c r="AQ2" s="84" t="inlineStr">
        <is>
          <t>% Sand</t>
        </is>
      </c>
      <c r="AR2" s="84" t="inlineStr">
        <is>
          <t>% Silt</t>
        </is>
      </c>
      <c r="AS2" s="84" t="inlineStr">
        <is>
          <t>% Clay</t>
        </is>
      </c>
    </row>
    <row r="3" customFormat="1" s="35">
      <c r="A3" s="35" t="n">
        <v>1</v>
      </c>
      <c r="B3" s="35">
        <f>GSD!B5</f>
        <v/>
      </c>
      <c r="C3" s="27">
        <f>GSD!F5</f>
        <v/>
      </c>
      <c r="D3" s="106" t="n">
        <v>4.75</v>
      </c>
      <c r="E3" s="106" t="n">
        <v>2</v>
      </c>
      <c r="F3" s="106" t="n">
        <v>0.425</v>
      </c>
      <c r="G3" s="106" t="n">
        <v>0.212</v>
      </c>
      <c r="H3" s="106" t="n">
        <v>0.15</v>
      </c>
      <c r="I3" s="106" t="n">
        <v>0.075</v>
      </c>
      <c r="J3" s="107">
        <f>HYD!Z5</f>
        <v/>
      </c>
      <c r="K3" s="107">
        <f>HYD!AA5</f>
        <v/>
      </c>
      <c r="L3" s="107">
        <f>HYD!AB5</f>
        <v/>
      </c>
      <c r="M3" s="107">
        <f>HYD!AC5</f>
        <v/>
      </c>
      <c r="N3" s="107">
        <f>HYD!AD5</f>
        <v/>
      </c>
      <c r="O3" s="107">
        <f>HYD!AE5</f>
        <v/>
      </c>
      <c r="P3" s="107">
        <f>HYD!AF5</f>
        <v/>
      </c>
      <c r="Q3" s="107">
        <f>HYD!AG5</f>
        <v/>
      </c>
      <c r="R3" s="107">
        <f>HYD!AH5</f>
        <v/>
      </c>
      <c r="S3" s="107">
        <f>HYD!AI5</f>
        <v/>
      </c>
      <c r="T3" s="107">
        <f>HYD!AJ5</f>
        <v/>
      </c>
      <c r="U3" s="107">
        <f>HYD!AK5</f>
        <v/>
      </c>
      <c r="V3" s="107">
        <f>HYD!AL5</f>
        <v/>
      </c>
      <c r="W3" s="44">
        <f>GSD!Q5</f>
        <v/>
      </c>
      <c r="X3" s="44">
        <f>GSD!R5</f>
        <v/>
      </c>
      <c r="Y3" s="44">
        <f>GSD!S5</f>
        <v/>
      </c>
      <c r="Z3" s="44">
        <f>GSD!T5</f>
        <v/>
      </c>
      <c r="AA3" s="44">
        <f>GSD!U5</f>
        <v/>
      </c>
      <c r="AB3" s="45">
        <f>GSD!V5</f>
        <v/>
      </c>
      <c r="AC3" s="45">
        <f>HYD!AM5</f>
        <v/>
      </c>
      <c r="AD3" s="44">
        <f>HYD!AN5</f>
        <v/>
      </c>
      <c r="AE3" s="44">
        <f>HYD!AO5</f>
        <v/>
      </c>
      <c r="AF3" s="44">
        <f>HYD!AP5</f>
        <v/>
      </c>
      <c r="AG3" s="44">
        <f>HYD!AQ5</f>
        <v/>
      </c>
      <c r="AH3" s="44">
        <f>HYD!AR5</f>
        <v/>
      </c>
      <c r="AI3" s="44">
        <f>HYD!AS5</f>
        <v/>
      </c>
      <c r="AJ3" s="44">
        <f>HYD!AT5</f>
        <v/>
      </c>
      <c r="AK3" s="44">
        <f>HYD!AU5</f>
        <v/>
      </c>
      <c r="AL3" s="44">
        <f>HYD!AV5</f>
        <v/>
      </c>
      <c r="AM3" s="44">
        <f>HYD!AW5</f>
        <v/>
      </c>
      <c r="AN3" s="44">
        <f>HYD!AX5</f>
        <v/>
      </c>
      <c r="AO3" s="44">
        <f>HYD!AY5</f>
        <v/>
      </c>
      <c r="AP3" s="44" t="n">
        <v>0</v>
      </c>
      <c r="AQ3" s="44" t="n">
        <v>72.50999999999999</v>
      </c>
      <c r="AR3" s="44" t="n"/>
      <c r="AS3" s="44" t="n"/>
    </row>
    <row r="4">
      <c r="A4" s="35" t="n">
        <v>2</v>
      </c>
      <c r="B4" s="35">
        <f>B3</f>
        <v/>
      </c>
      <c r="C4" s="27">
        <f>GSD!F6</f>
        <v/>
      </c>
      <c r="D4" s="106" t="n">
        <v>4.75</v>
      </c>
      <c r="E4" s="106" t="n">
        <v>2</v>
      </c>
      <c r="F4" s="106" t="n">
        <v>0.425</v>
      </c>
      <c r="G4" s="106" t="n">
        <v>0.212</v>
      </c>
      <c r="H4" s="106" t="n">
        <v>0.15</v>
      </c>
      <c r="I4" s="106" t="n">
        <v>0.075</v>
      </c>
      <c r="J4" s="107">
        <f>HYD!Z6</f>
        <v/>
      </c>
      <c r="K4" s="107">
        <f>HYD!AA6</f>
        <v/>
      </c>
      <c r="L4" s="107">
        <f>HYD!AB6</f>
        <v/>
      </c>
      <c r="M4" s="107">
        <f>HYD!AC6</f>
        <v/>
      </c>
      <c r="N4" s="107">
        <f>HYD!AD6</f>
        <v/>
      </c>
      <c r="O4" s="107">
        <f>HYD!AE6</f>
        <v/>
      </c>
      <c r="P4" s="107">
        <f>HYD!AF6</f>
        <v/>
      </c>
      <c r="Q4" s="107">
        <f>HYD!AG6</f>
        <v/>
      </c>
      <c r="R4" s="107">
        <f>HYD!AH6</f>
        <v/>
      </c>
      <c r="S4" s="107">
        <f>HYD!AI6</f>
        <v/>
      </c>
      <c r="T4" s="107">
        <f>HYD!AJ6</f>
        <v/>
      </c>
      <c r="U4" s="107">
        <f>HYD!AK6</f>
        <v/>
      </c>
      <c r="V4" s="107">
        <f>HYD!AL6</f>
        <v/>
      </c>
      <c r="W4" s="44">
        <f>GSD!Q6</f>
        <v/>
      </c>
      <c r="X4" s="44">
        <f>GSD!R6</f>
        <v/>
      </c>
      <c r="Y4" s="44">
        <f>GSD!S6</f>
        <v/>
      </c>
      <c r="Z4" s="44">
        <f>GSD!T6</f>
        <v/>
      </c>
      <c r="AA4" s="44">
        <f>GSD!U6</f>
        <v/>
      </c>
      <c r="AB4" s="45">
        <f>GSD!V6</f>
        <v/>
      </c>
      <c r="AC4" s="45">
        <f>HYD!AM6</f>
        <v/>
      </c>
      <c r="AD4" s="44">
        <f>HYD!AN6</f>
        <v/>
      </c>
      <c r="AE4" s="44">
        <f>HYD!AO6</f>
        <v/>
      </c>
      <c r="AF4" s="44">
        <f>HYD!AP6</f>
        <v/>
      </c>
      <c r="AG4" s="44">
        <f>HYD!AQ6</f>
        <v/>
      </c>
      <c r="AH4" s="44">
        <f>HYD!AR6</f>
        <v/>
      </c>
      <c r="AI4" s="44">
        <f>HYD!AS6</f>
        <v/>
      </c>
      <c r="AJ4" s="44">
        <f>HYD!AT6</f>
        <v/>
      </c>
      <c r="AK4" s="44">
        <f>HYD!AU6</f>
        <v/>
      </c>
      <c r="AL4" s="44">
        <f>HYD!AV6</f>
        <v/>
      </c>
      <c r="AM4" s="44">
        <f>HYD!AW6</f>
        <v/>
      </c>
      <c r="AN4" s="44">
        <f>HYD!AX6</f>
        <v/>
      </c>
      <c r="AO4" s="44">
        <f>HYD!AY6</f>
        <v/>
      </c>
      <c r="AP4" s="44" t="n">
        <v>2.269999999999996</v>
      </c>
      <c r="AQ4" s="44" t="n">
        <v>69.07000000000001</v>
      </c>
      <c r="AR4" s="44" t="n">
        <v>13.85612643678194</v>
      </c>
      <c r="AS4" s="44" t="n">
        <v>14.80387356321805</v>
      </c>
    </row>
    <row r="5">
      <c r="A5" s="35" t="n">
        <v>3</v>
      </c>
      <c r="B5" s="35">
        <f>B4</f>
        <v/>
      </c>
      <c r="C5" s="27">
        <f>GSD!F7</f>
        <v/>
      </c>
      <c r="D5" s="106" t="n">
        <v>4.75</v>
      </c>
      <c r="E5" s="106" t="n">
        <v>2</v>
      </c>
      <c r="F5" s="106" t="n">
        <v>0.425</v>
      </c>
      <c r="G5" s="106" t="n">
        <v>0.212</v>
      </c>
      <c r="H5" s="106" t="n">
        <v>0.15</v>
      </c>
      <c r="I5" s="106" t="n">
        <v>0.075</v>
      </c>
      <c r="J5" s="107">
        <f>HYD!Z7</f>
        <v/>
      </c>
      <c r="K5" s="107">
        <f>HYD!AA7</f>
        <v/>
      </c>
      <c r="L5" s="107">
        <f>HYD!AB7</f>
        <v/>
      </c>
      <c r="M5" s="107">
        <f>HYD!AC7</f>
        <v/>
      </c>
      <c r="N5" s="107">
        <f>HYD!AD7</f>
        <v/>
      </c>
      <c r="O5" s="107">
        <f>HYD!AE7</f>
        <v/>
      </c>
      <c r="P5" s="107">
        <f>HYD!AF7</f>
        <v/>
      </c>
      <c r="Q5" s="107">
        <f>HYD!AG7</f>
        <v/>
      </c>
      <c r="R5" s="107">
        <f>HYD!AH7</f>
        <v/>
      </c>
      <c r="S5" s="107">
        <f>HYD!AI7</f>
        <v/>
      </c>
      <c r="T5" s="107">
        <f>HYD!AJ7</f>
        <v/>
      </c>
      <c r="U5" s="107">
        <f>HYD!AK7</f>
        <v/>
      </c>
      <c r="V5" s="107">
        <f>HYD!AL7</f>
        <v/>
      </c>
      <c r="W5" s="44">
        <f>GSD!Q7</f>
        <v/>
      </c>
      <c r="X5" s="44">
        <f>GSD!R7</f>
        <v/>
      </c>
      <c r="Y5" s="44">
        <f>GSD!S7</f>
        <v/>
      </c>
      <c r="Z5" s="44">
        <f>GSD!T7</f>
        <v/>
      </c>
      <c r="AA5" s="44">
        <f>GSD!U7</f>
        <v/>
      </c>
      <c r="AB5" s="45">
        <f>GSD!V7</f>
        <v/>
      </c>
      <c r="AC5" s="45">
        <f>HYD!AM7</f>
        <v/>
      </c>
      <c r="AD5" s="44">
        <f>HYD!AN7</f>
        <v/>
      </c>
      <c r="AE5" s="44">
        <f>HYD!AO7</f>
        <v/>
      </c>
      <c r="AF5" s="44">
        <f>HYD!AP7</f>
        <v/>
      </c>
      <c r="AG5" s="44">
        <f>HYD!AQ7</f>
        <v/>
      </c>
      <c r="AH5" s="44">
        <f>HYD!AR7</f>
        <v/>
      </c>
      <c r="AI5" s="44">
        <f>HYD!AS7</f>
        <v/>
      </c>
      <c r="AJ5" s="44">
        <f>HYD!AT7</f>
        <v/>
      </c>
      <c r="AK5" s="44">
        <f>HYD!AU7</f>
        <v/>
      </c>
      <c r="AL5" s="44">
        <f>HYD!AV7</f>
        <v/>
      </c>
      <c r="AM5" s="44">
        <f>HYD!AW7</f>
        <v/>
      </c>
      <c r="AN5" s="44">
        <f>HYD!AX7</f>
        <v/>
      </c>
      <c r="AO5" s="44">
        <f>HYD!AY7</f>
        <v/>
      </c>
      <c r="AP5" s="44" t="n">
        <v>7.319999999999993</v>
      </c>
      <c r="AQ5" s="44" t="n">
        <v>57.24500000000002</v>
      </c>
      <c r="AR5" s="44" t="n">
        <v>17.48170114942526</v>
      </c>
      <c r="AS5" s="44" t="n">
        <v>17.95329885057473</v>
      </c>
    </row>
    <row r="6">
      <c r="A6" s="35" t="n">
        <v>4</v>
      </c>
      <c r="B6" s="35">
        <f>B5</f>
        <v/>
      </c>
      <c r="C6" s="27">
        <f>GSD!F8</f>
        <v/>
      </c>
      <c r="D6" s="106" t="n">
        <v>4.75</v>
      </c>
      <c r="E6" s="106" t="n">
        <v>2</v>
      </c>
      <c r="F6" s="106" t="n">
        <v>0.425</v>
      </c>
      <c r="G6" s="106" t="n">
        <v>0.212</v>
      </c>
      <c r="H6" s="106" t="n">
        <v>0.15</v>
      </c>
      <c r="I6" s="106" t="n">
        <v>0.075</v>
      </c>
      <c r="J6" s="107">
        <f>HYD!Z8</f>
        <v/>
      </c>
      <c r="K6" s="107">
        <f>HYD!AA8</f>
        <v/>
      </c>
      <c r="L6" s="107">
        <f>HYD!AB8</f>
        <v/>
      </c>
      <c r="M6" s="107">
        <f>HYD!AC8</f>
        <v/>
      </c>
      <c r="N6" s="107">
        <f>HYD!AD8</f>
        <v/>
      </c>
      <c r="O6" s="107">
        <f>HYD!AE8</f>
        <v/>
      </c>
      <c r="P6" s="107">
        <f>HYD!AF8</f>
        <v/>
      </c>
      <c r="Q6" s="107">
        <f>HYD!AG8</f>
        <v/>
      </c>
      <c r="R6" s="107">
        <f>HYD!AH8</f>
        <v/>
      </c>
      <c r="S6" s="107">
        <f>HYD!AI8</f>
        <v/>
      </c>
      <c r="T6" s="107">
        <f>HYD!AJ8</f>
        <v/>
      </c>
      <c r="U6" s="107">
        <f>HYD!AK8</f>
        <v/>
      </c>
      <c r="V6" s="107">
        <f>HYD!AL8</f>
        <v/>
      </c>
      <c r="W6" s="44">
        <f>GSD!Q8</f>
        <v/>
      </c>
      <c r="X6" s="44">
        <f>GSD!R8</f>
        <v/>
      </c>
      <c r="Y6" s="44">
        <f>GSD!S8</f>
        <v/>
      </c>
      <c r="Z6" s="44">
        <f>GSD!T8</f>
        <v/>
      </c>
      <c r="AA6" s="44">
        <f>GSD!U8</f>
        <v/>
      </c>
      <c r="AB6" s="45">
        <f>GSD!V8</f>
        <v/>
      </c>
      <c r="AC6" s="45">
        <f>HYD!AM8</f>
        <v/>
      </c>
      <c r="AD6" s="44">
        <f>HYD!AN8</f>
        <v/>
      </c>
      <c r="AE6" s="44">
        <f>HYD!AO8</f>
        <v/>
      </c>
      <c r="AF6" s="44">
        <f>HYD!AP8</f>
        <v/>
      </c>
      <c r="AG6" s="44">
        <f>HYD!AQ8</f>
        <v/>
      </c>
      <c r="AH6" s="44">
        <f>HYD!AR8</f>
        <v/>
      </c>
      <c r="AI6" s="44">
        <f>HYD!AS8</f>
        <v/>
      </c>
      <c r="AJ6" s="44">
        <f>HYD!AT8</f>
        <v/>
      </c>
      <c r="AK6" s="44">
        <f>HYD!AU8</f>
        <v/>
      </c>
      <c r="AL6" s="44">
        <f>HYD!AV8</f>
        <v/>
      </c>
      <c r="AM6" s="44">
        <f>HYD!AW8</f>
        <v/>
      </c>
      <c r="AN6" s="44">
        <f>HYD!AX8</f>
        <v/>
      </c>
      <c r="AO6" s="44">
        <f>HYD!AY8</f>
        <v/>
      </c>
      <c r="AP6" s="44" t="n">
        <v>2.700000000000003</v>
      </c>
      <c r="AQ6" s="44" t="n">
        <v>67.69999999999999</v>
      </c>
      <c r="AR6" s="44" t="n">
        <v>14.73330232558174</v>
      </c>
      <c r="AS6" s="44" t="n">
        <v>14.86669767441827</v>
      </c>
    </row>
    <row r="7">
      <c r="A7" s="35" t="n">
        <v>5</v>
      </c>
      <c r="B7" s="35">
        <f>B6</f>
        <v/>
      </c>
      <c r="C7" s="27">
        <f>GSD!F9</f>
        <v/>
      </c>
      <c r="D7" s="106" t="n">
        <v>4.75</v>
      </c>
      <c r="E7" s="106" t="n">
        <v>2</v>
      </c>
      <c r="F7" s="106" t="n">
        <v>0.425</v>
      </c>
      <c r="G7" s="106" t="n">
        <v>0.212</v>
      </c>
      <c r="H7" s="106" t="n">
        <v>0.15</v>
      </c>
      <c r="I7" s="106" t="n">
        <v>0.075</v>
      </c>
      <c r="J7" s="107">
        <f>HYD!Z9</f>
        <v/>
      </c>
      <c r="K7" s="107">
        <f>HYD!AA9</f>
        <v/>
      </c>
      <c r="L7" s="107">
        <f>HYD!AB9</f>
        <v/>
      </c>
      <c r="M7" s="107">
        <f>HYD!AC9</f>
        <v/>
      </c>
      <c r="N7" s="107">
        <f>HYD!AD9</f>
        <v/>
      </c>
      <c r="O7" s="107">
        <f>HYD!AE9</f>
        <v/>
      </c>
      <c r="P7" s="107">
        <f>HYD!AF9</f>
        <v/>
      </c>
      <c r="Q7" s="107">
        <f>HYD!AG9</f>
        <v/>
      </c>
      <c r="R7" s="107">
        <f>HYD!AH9</f>
        <v/>
      </c>
      <c r="S7" s="107">
        <f>HYD!AI9</f>
        <v/>
      </c>
      <c r="T7" s="107">
        <f>HYD!AJ9</f>
        <v/>
      </c>
      <c r="U7" s="107">
        <f>HYD!AK9</f>
        <v/>
      </c>
      <c r="V7" s="107">
        <f>HYD!AL9</f>
        <v/>
      </c>
      <c r="W7" s="44">
        <f>GSD!Q9</f>
        <v/>
      </c>
      <c r="X7" s="44">
        <f>GSD!R9</f>
        <v/>
      </c>
      <c r="Y7" s="44">
        <f>GSD!S9</f>
        <v/>
      </c>
      <c r="Z7" s="44">
        <f>GSD!T9</f>
        <v/>
      </c>
      <c r="AA7" s="44">
        <f>GSD!U9</f>
        <v/>
      </c>
      <c r="AB7" s="45">
        <f>GSD!V9</f>
        <v/>
      </c>
      <c r="AC7" s="45">
        <f>HYD!AM9</f>
        <v/>
      </c>
      <c r="AD7" s="44">
        <f>HYD!AN9</f>
        <v/>
      </c>
      <c r="AE7" s="44">
        <f>HYD!AO9</f>
        <v/>
      </c>
      <c r="AF7" s="44">
        <f>HYD!AP9</f>
        <v/>
      </c>
      <c r="AG7" s="44">
        <f>HYD!AQ9</f>
        <v/>
      </c>
      <c r="AH7" s="44">
        <f>HYD!AR9</f>
        <v/>
      </c>
      <c r="AI7" s="44">
        <f>HYD!AS9</f>
        <v/>
      </c>
      <c r="AJ7" s="44">
        <f>HYD!AT9</f>
        <v/>
      </c>
      <c r="AK7" s="44">
        <f>HYD!AU9</f>
        <v/>
      </c>
      <c r="AL7" s="44">
        <f>HYD!AV9</f>
        <v/>
      </c>
      <c r="AM7" s="44">
        <f>HYD!AW9</f>
        <v/>
      </c>
      <c r="AN7" s="44">
        <f>HYD!AX9</f>
        <v/>
      </c>
      <c r="AO7" s="44">
        <f>HYD!AY9</f>
        <v/>
      </c>
      <c r="AP7" s="44" t="n">
        <v>1.670000000000002</v>
      </c>
      <c r="AQ7" s="44" t="n">
        <v>18.04000000000001</v>
      </c>
      <c r="AR7" s="44" t="n">
        <v>23.97984156125572</v>
      </c>
      <c r="AS7" s="44" t="n">
        <v>56.31015843874427</v>
      </c>
    </row>
    <row r="8">
      <c r="A8" s="35" t="n">
        <v>6</v>
      </c>
      <c r="B8" s="35">
        <f>B7</f>
        <v/>
      </c>
      <c r="C8" s="27">
        <f>GSD!F10</f>
        <v/>
      </c>
      <c r="D8" s="106" t="n">
        <v>4.75</v>
      </c>
      <c r="E8" s="106" t="n">
        <v>2</v>
      </c>
      <c r="F8" s="106" t="n">
        <v>0.425</v>
      </c>
      <c r="G8" s="106" t="n">
        <v>0.212</v>
      </c>
      <c r="H8" s="106" t="n">
        <v>0.15</v>
      </c>
      <c r="I8" s="106" t="n">
        <v>0.075</v>
      </c>
      <c r="J8" s="107">
        <f>HYD!Z10</f>
        <v/>
      </c>
      <c r="K8" s="107">
        <f>HYD!AA10</f>
        <v/>
      </c>
      <c r="L8" s="107">
        <f>HYD!AB10</f>
        <v/>
      </c>
      <c r="M8" s="107">
        <f>HYD!AC10</f>
        <v/>
      </c>
      <c r="N8" s="107">
        <f>HYD!AD10</f>
        <v/>
      </c>
      <c r="O8" s="107">
        <f>HYD!AE10</f>
        <v/>
      </c>
      <c r="P8" s="107">
        <f>HYD!AF10</f>
        <v/>
      </c>
      <c r="Q8" s="107">
        <f>HYD!AG10</f>
        <v/>
      </c>
      <c r="R8" s="107">
        <f>HYD!AH10</f>
        <v/>
      </c>
      <c r="S8" s="107">
        <f>HYD!AI10</f>
        <v/>
      </c>
      <c r="T8" s="107">
        <f>HYD!AJ10</f>
        <v/>
      </c>
      <c r="U8" s="107">
        <f>HYD!AK10</f>
        <v/>
      </c>
      <c r="V8" s="107">
        <f>HYD!AL10</f>
        <v/>
      </c>
      <c r="W8" s="44">
        <f>GSD!Q10</f>
        <v/>
      </c>
      <c r="X8" s="44">
        <f>GSD!R10</f>
        <v/>
      </c>
      <c r="Y8" s="44">
        <f>GSD!S10</f>
        <v/>
      </c>
      <c r="Z8" s="44">
        <f>GSD!T10</f>
        <v/>
      </c>
      <c r="AA8" s="44">
        <f>GSD!U10</f>
        <v/>
      </c>
      <c r="AB8" s="45">
        <f>GSD!V10</f>
        <v/>
      </c>
      <c r="AC8" s="45">
        <f>HYD!AM10</f>
        <v/>
      </c>
      <c r="AD8" s="44">
        <f>HYD!AN10</f>
        <v/>
      </c>
      <c r="AE8" s="44">
        <f>HYD!AO10</f>
        <v/>
      </c>
      <c r="AF8" s="44">
        <f>HYD!AP10</f>
        <v/>
      </c>
      <c r="AG8" s="44">
        <f>HYD!AQ10</f>
        <v/>
      </c>
      <c r="AH8" s="44">
        <f>HYD!AR10</f>
        <v/>
      </c>
      <c r="AI8" s="44">
        <f>HYD!AS10</f>
        <v/>
      </c>
      <c r="AJ8" s="44">
        <f>HYD!AT10</f>
        <v/>
      </c>
      <c r="AK8" s="44">
        <f>HYD!AU10</f>
        <v/>
      </c>
      <c r="AL8" s="44">
        <f>HYD!AV10</f>
        <v/>
      </c>
      <c r="AM8" s="44">
        <f>HYD!AW10</f>
        <v/>
      </c>
      <c r="AN8" s="44">
        <f>HYD!AX10</f>
        <v/>
      </c>
      <c r="AO8" s="44">
        <f>HYD!AY10</f>
        <v/>
      </c>
      <c r="AP8" s="44" t="n">
        <v>1.989999999999995</v>
      </c>
      <c r="AQ8" s="44" t="n">
        <v>8.680000000000007</v>
      </c>
      <c r="AR8" s="44" t="n">
        <v>33.81479545454541</v>
      </c>
      <c r="AS8" s="44" t="n">
        <v>55.51520454545459</v>
      </c>
    </row>
    <row r="9">
      <c r="A9" s="35" t="n">
        <v>7</v>
      </c>
      <c r="B9" s="35">
        <f>B8</f>
        <v/>
      </c>
      <c r="C9" s="27">
        <f>GSD!F11</f>
        <v/>
      </c>
      <c r="D9" s="106" t="n">
        <v>4.75</v>
      </c>
      <c r="E9" s="106" t="n">
        <v>2</v>
      </c>
      <c r="F9" s="106" t="n">
        <v>0.425</v>
      </c>
      <c r="G9" s="106" t="n">
        <v>0.212</v>
      </c>
      <c r="H9" s="106" t="n">
        <v>0.15</v>
      </c>
      <c r="I9" s="106" t="n">
        <v>0.075</v>
      </c>
      <c r="J9" s="107">
        <f>HYD!Z11</f>
        <v/>
      </c>
      <c r="K9" s="107">
        <f>HYD!AA11</f>
        <v/>
      </c>
      <c r="L9" s="107">
        <f>HYD!AB11</f>
        <v/>
      </c>
      <c r="M9" s="107">
        <f>HYD!AC11</f>
        <v/>
      </c>
      <c r="N9" s="107">
        <f>HYD!AD11</f>
        <v/>
      </c>
      <c r="O9" s="107">
        <f>HYD!AE11</f>
        <v/>
      </c>
      <c r="P9" s="107">
        <f>HYD!AF11</f>
        <v/>
      </c>
      <c r="Q9" s="107">
        <f>HYD!AG11</f>
        <v/>
      </c>
      <c r="R9" s="107">
        <f>HYD!AH11</f>
        <v/>
      </c>
      <c r="S9" s="107">
        <f>HYD!AI11</f>
        <v/>
      </c>
      <c r="T9" s="107">
        <f>HYD!AJ11</f>
        <v/>
      </c>
      <c r="U9" s="107">
        <f>HYD!AK11</f>
        <v/>
      </c>
      <c r="V9" s="107">
        <f>HYD!AL11</f>
        <v/>
      </c>
      <c r="W9" s="44">
        <f>GSD!Q11</f>
        <v/>
      </c>
      <c r="X9" s="44">
        <f>GSD!R11</f>
        <v/>
      </c>
      <c r="Y9" s="44">
        <f>GSD!S11</f>
        <v/>
      </c>
      <c r="Z9" s="44">
        <f>GSD!T11</f>
        <v/>
      </c>
      <c r="AA9" s="44">
        <f>GSD!U11</f>
        <v/>
      </c>
      <c r="AB9" s="45">
        <f>GSD!V11</f>
        <v/>
      </c>
      <c r="AC9" s="45">
        <f>HYD!AM11</f>
        <v/>
      </c>
      <c r="AD9" s="44">
        <f>HYD!AN11</f>
        <v/>
      </c>
      <c r="AE9" s="44">
        <f>HYD!AO11</f>
        <v/>
      </c>
      <c r="AF9" s="44">
        <f>HYD!AP11</f>
        <v/>
      </c>
      <c r="AG9" s="44">
        <f>HYD!AQ11</f>
        <v/>
      </c>
      <c r="AH9" s="44">
        <f>HYD!AR11</f>
        <v/>
      </c>
      <c r="AI9" s="44">
        <f>HYD!AS11</f>
        <v/>
      </c>
      <c r="AJ9" s="44">
        <f>HYD!AT11</f>
        <v/>
      </c>
      <c r="AK9" s="44">
        <f>HYD!AU11</f>
        <v/>
      </c>
      <c r="AL9" s="44">
        <f>HYD!AV11</f>
        <v/>
      </c>
      <c r="AM9" s="44">
        <f>HYD!AW11</f>
        <v/>
      </c>
      <c r="AN9" s="44">
        <f>HYD!AX11</f>
        <v/>
      </c>
      <c r="AO9" s="44">
        <f>HYD!AY11</f>
        <v/>
      </c>
      <c r="AP9" s="36" t="n">
        <v>7.650000000000006</v>
      </c>
      <c r="AQ9" s="36" t="n">
        <v>33.37499999999999</v>
      </c>
      <c r="AR9" s="36" t="n">
        <v>17.89437037037069</v>
      </c>
      <c r="AS9" s="36" t="n">
        <v>41.08062962962931</v>
      </c>
    </row>
    <row r="10">
      <c r="A10" s="35" t="n">
        <v>8</v>
      </c>
      <c r="B10" s="35">
        <f>B9</f>
        <v/>
      </c>
      <c r="C10" s="27">
        <f>GSD!F12</f>
        <v/>
      </c>
      <c r="D10" s="106" t="n">
        <v>4.75</v>
      </c>
      <c r="E10" s="106" t="n">
        <v>2</v>
      </c>
      <c r="F10" s="106" t="n">
        <v>0.425</v>
      </c>
      <c r="G10" s="106" t="n">
        <v>0.212</v>
      </c>
      <c r="H10" s="106" t="n">
        <v>0.15</v>
      </c>
      <c r="I10" s="106" t="n">
        <v>0.075</v>
      </c>
      <c r="J10" s="107">
        <f>HYD!Z12</f>
        <v/>
      </c>
      <c r="K10" s="107">
        <f>HYD!AA12</f>
        <v/>
      </c>
      <c r="L10" s="107">
        <f>HYD!AB12</f>
        <v/>
      </c>
      <c r="M10" s="107">
        <f>HYD!AC12</f>
        <v/>
      </c>
      <c r="N10" s="107">
        <f>HYD!AD12</f>
        <v/>
      </c>
      <c r="O10" s="107">
        <f>HYD!AE12</f>
        <v/>
      </c>
      <c r="P10" s="107">
        <f>HYD!AF12</f>
        <v/>
      </c>
      <c r="Q10" s="107">
        <f>HYD!AG12</f>
        <v/>
      </c>
      <c r="R10" s="107">
        <f>HYD!AH12</f>
        <v/>
      </c>
      <c r="S10" s="107">
        <f>HYD!AI12</f>
        <v/>
      </c>
      <c r="T10" s="107">
        <f>HYD!AJ12</f>
        <v/>
      </c>
      <c r="U10" s="107">
        <f>HYD!AK12</f>
        <v/>
      </c>
      <c r="V10" s="107">
        <f>HYD!AL12</f>
        <v/>
      </c>
      <c r="W10" s="44">
        <f>GSD!Q12</f>
        <v/>
      </c>
      <c r="X10" s="44">
        <f>GSD!R12</f>
        <v/>
      </c>
      <c r="Y10" s="44">
        <f>GSD!S12</f>
        <v/>
      </c>
      <c r="Z10" s="44">
        <f>GSD!T12</f>
        <v/>
      </c>
      <c r="AA10" s="44">
        <f>GSD!U12</f>
        <v/>
      </c>
      <c r="AB10" s="45">
        <f>GSD!V12</f>
        <v/>
      </c>
      <c r="AC10" s="45">
        <f>HYD!AM12</f>
        <v/>
      </c>
      <c r="AD10" s="44">
        <f>HYD!AN12</f>
        <v/>
      </c>
      <c r="AE10" s="44">
        <f>HYD!AO12</f>
        <v/>
      </c>
      <c r="AF10" s="44">
        <f>HYD!AP12</f>
        <v/>
      </c>
      <c r="AG10" s="44">
        <f>HYD!AQ12</f>
        <v/>
      </c>
      <c r="AH10" s="44">
        <f>HYD!AR12</f>
        <v/>
      </c>
      <c r="AI10" s="44">
        <f>HYD!AS12</f>
        <v/>
      </c>
      <c r="AJ10" s="44">
        <f>HYD!AT12</f>
        <v/>
      </c>
      <c r="AK10" s="44">
        <f>HYD!AU12</f>
        <v/>
      </c>
      <c r="AL10" s="44">
        <f>HYD!AV12</f>
        <v/>
      </c>
      <c r="AM10" s="44">
        <f>HYD!AW12</f>
        <v/>
      </c>
      <c r="AN10" s="44">
        <f>HYD!AX12</f>
        <v/>
      </c>
      <c r="AO10" s="44">
        <f>HYD!AY12</f>
        <v/>
      </c>
      <c r="AP10" s="36" t="n">
        <v>0.2600000000000051</v>
      </c>
      <c r="AQ10" s="36" t="n">
        <v>18.91</v>
      </c>
      <c r="AR10" s="36" t="n">
        <v>24.02107519942082</v>
      </c>
      <c r="AS10" s="36" t="n">
        <v>56.80892480057918</v>
      </c>
    </row>
    <row r="11">
      <c r="A11" s="35" t="n">
        <v>9</v>
      </c>
      <c r="B11" s="35">
        <f>B10</f>
        <v/>
      </c>
      <c r="C11" s="27">
        <f>GSD!F13</f>
        <v/>
      </c>
      <c r="D11" s="106" t="n">
        <v>4.75</v>
      </c>
      <c r="E11" s="106" t="n">
        <v>2</v>
      </c>
      <c r="F11" s="106" t="n">
        <v>0.425</v>
      </c>
      <c r="G11" s="106" t="n">
        <v>0.212</v>
      </c>
      <c r="H11" s="106" t="n">
        <v>0.15</v>
      </c>
      <c r="I11" s="106" t="n">
        <v>0.075</v>
      </c>
      <c r="J11" s="107">
        <f>HYD!Z13</f>
        <v/>
      </c>
      <c r="K11" s="107">
        <f>HYD!AA13</f>
        <v/>
      </c>
      <c r="L11" s="107">
        <f>HYD!AB13</f>
        <v/>
      </c>
      <c r="M11" s="107">
        <f>HYD!AC13</f>
        <v/>
      </c>
      <c r="N11" s="107">
        <f>HYD!AD13</f>
        <v/>
      </c>
      <c r="O11" s="107">
        <f>HYD!AE13</f>
        <v/>
      </c>
      <c r="P11" s="107">
        <f>HYD!AF13</f>
        <v/>
      </c>
      <c r="Q11" s="107">
        <f>HYD!AG13</f>
        <v/>
      </c>
      <c r="R11" s="107">
        <f>HYD!AH13</f>
        <v/>
      </c>
      <c r="S11" s="107">
        <f>HYD!AI13</f>
        <v/>
      </c>
      <c r="T11" s="107">
        <f>HYD!AJ13</f>
        <v/>
      </c>
      <c r="U11" s="107">
        <f>HYD!AK13</f>
        <v/>
      </c>
      <c r="V11" s="107">
        <f>HYD!AL13</f>
        <v/>
      </c>
      <c r="W11" s="44">
        <f>GSD!Q13</f>
        <v/>
      </c>
      <c r="X11" s="44">
        <f>GSD!R13</f>
        <v/>
      </c>
      <c r="Y11" s="44">
        <f>GSD!S13</f>
        <v/>
      </c>
      <c r="Z11" s="44">
        <f>GSD!T13</f>
        <v/>
      </c>
      <c r="AA11" s="44">
        <f>GSD!U13</f>
        <v/>
      </c>
      <c r="AB11" s="45">
        <f>GSD!V13</f>
        <v/>
      </c>
      <c r="AC11" s="45">
        <f>HYD!AM13</f>
        <v/>
      </c>
      <c r="AD11" s="44">
        <f>HYD!AN13</f>
        <v/>
      </c>
      <c r="AE11" s="44">
        <f>HYD!AO13</f>
        <v/>
      </c>
      <c r="AF11" s="44">
        <f>HYD!AP13</f>
        <v/>
      </c>
      <c r="AG11" s="44">
        <f>HYD!AQ13</f>
        <v/>
      </c>
      <c r="AH11" s="44">
        <f>HYD!AR13</f>
        <v/>
      </c>
      <c r="AI11" s="44">
        <f>HYD!AS13</f>
        <v/>
      </c>
      <c r="AJ11" s="44">
        <f>HYD!AT13</f>
        <v/>
      </c>
      <c r="AK11" s="44">
        <f>HYD!AU13</f>
        <v/>
      </c>
      <c r="AL11" s="44">
        <f>HYD!AV13</f>
        <v/>
      </c>
      <c r="AM11" s="44">
        <f>HYD!AW13</f>
        <v/>
      </c>
      <c r="AN11" s="44">
        <f>HYD!AX13</f>
        <v/>
      </c>
      <c r="AO11" s="44">
        <f>HYD!AY13</f>
        <v/>
      </c>
      <c r="AP11" s="36" t="n">
        <v>5.239999999999995</v>
      </c>
      <c r="AQ11" s="36" t="n">
        <v>27.39</v>
      </c>
      <c r="AR11" s="36" t="n">
        <v>20.33898429256858</v>
      </c>
      <c r="AS11" s="36" t="n">
        <v>47.03101570743143</v>
      </c>
    </row>
    <row r="12">
      <c r="A12" s="35" t="n">
        <v>10</v>
      </c>
      <c r="B12" s="35">
        <f>B11</f>
        <v/>
      </c>
      <c r="C12" s="27">
        <f>GSD!F14</f>
        <v/>
      </c>
      <c r="D12" s="106" t="n">
        <v>4.75</v>
      </c>
      <c r="E12" s="106" t="n">
        <v>2</v>
      </c>
      <c r="F12" s="106" t="n">
        <v>0.425</v>
      </c>
      <c r="G12" s="106" t="n">
        <v>0.212</v>
      </c>
      <c r="H12" s="106" t="n">
        <v>0.15</v>
      </c>
      <c r="I12" s="106" t="n">
        <v>0.075</v>
      </c>
      <c r="J12" s="107">
        <f>HYD!Z14</f>
        <v/>
      </c>
      <c r="K12" s="107">
        <f>HYD!AA14</f>
        <v/>
      </c>
      <c r="L12" s="107">
        <f>HYD!AB14</f>
        <v/>
      </c>
      <c r="M12" s="107">
        <f>HYD!AC14</f>
        <v/>
      </c>
      <c r="N12" s="107">
        <f>HYD!AD14</f>
        <v/>
      </c>
      <c r="O12" s="107">
        <f>HYD!AE14</f>
        <v/>
      </c>
      <c r="P12" s="107">
        <f>HYD!AF14</f>
        <v/>
      </c>
      <c r="Q12" s="107">
        <f>HYD!AG14</f>
        <v/>
      </c>
      <c r="R12" s="107">
        <f>HYD!AH14</f>
        <v/>
      </c>
      <c r="S12" s="107">
        <f>HYD!AI14</f>
        <v/>
      </c>
      <c r="T12" s="107">
        <f>HYD!AJ14</f>
        <v/>
      </c>
      <c r="U12" s="107">
        <f>HYD!AK14</f>
        <v/>
      </c>
      <c r="V12" s="107">
        <f>HYD!AL14</f>
        <v/>
      </c>
      <c r="W12" s="44">
        <f>GSD!Q14</f>
        <v/>
      </c>
      <c r="X12" s="44">
        <f>GSD!R14</f>
        <v/>
      </c>
      <c r="Y12" s="44">
        <f>GSD!S14</f>
        <v/>
      </c>
      <c r="Z12" s="44">
        <f>GSD!T14</f>
        <v/>
      </c>
      <c r="AA12" s="44">
        <f>GSD!U14</f>
        <v/>
      </c>
      <c r="AB12" s="45">
        <f>GSD!V14</f>
        <v/>
      </c>
      <c r="AC12" s="45">
        <f>HYD!AM14</f>
        <v/>
      </c>
      <c r="AD12" s="44">
        <f>HYD!AN14</f>
        <v/>
      </c>
      <c r="AE12" s="44">
        <f>HYD!AO14</f>
        <v/>
      </c>
      <c r="AF12" s="44">
        <f>HYD!AP14</f>
        <v/>
      </c>
      <c r="AG12" s="44">
        <f>HYD!AQ14</f>
        <v/>
      </c>
      <c r="AH12" s="44">
        <f>HYD!AR14</f>
        <v/>
      </c>
      <c r="AI12" s="44">
        <f>HYD!AS14</f>
        <v/>
      </c>
      <c r="AJ12" s="44">
        <f>HYD!AT14</f>
        <v/>
      </c>
      <c r="AK12" s="44">
        <f>HYD!AU14</f>
        <v/>
      </c>
      <c r="AL12" s="44">
        <f>HYD!AV14</f>
        <v/>
      </c>
      <c r="AM12" s="44">
        <f>HYD!AW14</f>
        <v/>
      </c>
      <c r="AN12" s="44">
        <f>HYD!AX14</f>
        <v/>
      </c>
      <c r="AO12" s="44">
        <f>HYD!AY14</f>
        <v/>
      </c>
      <c r="AP12" s="36" t="n">
        <v>9.269999999999996</v>
      </c>
      <c r="AQ12" s="36" t="n">
        <v>13.48999999999999</v>
      </c>
      <c r="AR12" s="36" t="n">
        <v>16.97321739008428</v>
      </c>
      <c r="AS12" s="36" t="n">
        <v>60.26678260991573</v>
      </c>
    </row>
    <row r="13">
      <c r="A13" s="35" t="n">
        <v>11</v>
      </c>
      <c r="B13" s="35">
        <f>B12</f>
        <v/>
      </c>
      <c r="C13" s="27">
        <f>GSD!F15</f>
        <v/>
      </c>
      <c r="D13" s="106" t="n">
        <v>4.75</v>
      </c>
      <c r="E13" s="106" t="n">
        <v>2</v>
      </c>
      <c r="F13" s="106" t="n">
        <v>0.425</v>
      </c>
      <c r="G13" s="106" t="n">
        <v>0.212</v>
      </c>
      <c r="H13" s="106" t="n">
        <v>0.15</v>
      </c>
      <c r="I13" s="106" t="n">
        <v>0.075</v>
      </c>
      <c r="J13" s="107">
        <f>HYD!Z15</f>
        <v/>
      </c>
      <c r="K13" s="107">
        <f>HYD!AA15</f>
        <v/>
      </c>
      <c r="L13" s="107">
        <f>HYD!AB15</f>
        <v/>
      </c>
      <c r="M13" s="107">
        <f>HYD!AC15</f>
        <v/>
      </c>
      <c r="N13" s="107">
        <f>HYD!AD15</f>
        <v/>
      </c>
      <c r="O13" s="107">
        <f>HYD!AE15</f>
        <v/>
      </c>
      <c r="P13" s="107">
        <f>HYD!AF15</f>
        <v/>
      </c>
      <c r="Q13" s="107">
        <f>HYD!AG15</f>
        <v/>
      </c>
      <c r="R13" s="107">
        <f>HYD!AH15</f>
        <v/>
      </c>
      <c r="S13" s="107">
        <f>HYD!AI15</f>
        <v/>
      </c>
      <c r="T13" s="107">
        <f>HYD!AJ15</f>
        <v/>
      </c>
      <c r="U13" s="107">
        <f>HYD!AK15</f>
        <v/>
      </c>
      <c r="V13" s="107">
        <f>HYD!AL15</f>
        <v/>
      </c>
      <c r="W13" s="44">
        <f>GSD!Q15</f>
        <v/>
      </c>
      <c r="X13" s="44">
        <f>GSD!R15</f>
        <v/>
      </c>
      <c r="Y13" s="44">
        <f>GSD!S15</f>
        <v/>
      </c>
      <c r="Z13" s="44">
        <f>GSD!T15</f>
        <v/>
      </c>
      <c r="AA13" s="44">
        <f>GSD!U15</f>
        <v/>
      </c>
      <c r="AB13" s="45">
        <f>GSD!V15</f>
        <v/>
      </c>
      <c r="AC13" s="45">
        <f>HYD!AM15</f>
        <v/>
      </c>
      <c r="AD13" s="44">
        <f>HYD!AN15</f>
        <v/>
      </c>
      <c r="AE13" s="44">
        <f>HYD!AO15</f>
        <v/>
      </c>
      <c r="AF13" s="44">
        <f>HYD!AP15</f>
        <v/>
      </c>
      <c r="AG13" s="44">
        <f>HYD!AQ15</f>
        <v/>
      </c>
      <c r="AH13" s="44">
        <f>HYD!AR15</f>
        <v/>
      </c>
      <c r="AI13" s="44">
        <f>HYD!AS15</f>
        <v/>
      </c>
      <c r="AJ13" s="44">
        <f>HYD!AT15</f>
        <v/>
      </c>
      <c r="AK13" s="44">
        <f>HYD!AU15</f>
        <v/>
      </c>
      <c r="AL13" s="44">
        <f>HYD!AV15</f>
        <v/>
      </c>
      <c r="AM13" s="44">
        <f>HYD!AW15</f>
        <v/>
      </c>
      <c r="AN13" s="44">
        <f>HYD!AX15</f>
        <v/>
      </c>
      <c r="AO13" s="44">
        <f>HYD!AY15</f>
        <v/>
      </c>
      <c r="AP13" s="36" t="n">
        <v>2.099999999999994</v>
      </c>
      <c r="AQ13" s="36" t="n">
        <v>16.69</v>
      </c>
      <c r="AR13" s="36" t="n">
        <v>22.19275578672632</v>
      </c>
      <c r="AS13" s="36" t="n">
        <v>59.01724421327369</v>
      </c>
    </row>
    <row r="14">
      <c r="A14" s="35" t="n">
        <v>12</v>
      </c>
      <c r="B14" s="35">
        <f>B13</f>
        <v/>
      </c>
      <c r="C14" s="27">
        <f>GSD!F16</f>
        <v/>
      </c>
      <c r="D14" s="106" t="n">
        <v>4.75</v>
      </c>
      <c r="E14" s="106" t="n">
        <v>2</v>
      </c>
      <c r="F14" s="106" t="n">
        <v>0.425</v>
      </c>
      <c r="G14" s="106" t="n">
        <v>0.212</v>
      </c>
      <c r="H14" s="106" t="n">
        <v>0.15</v>
      </c>
      <c r="I14" s="106" t="n">
        <v>0.075</v>
      </c>
      <c r="J14" s="107">
        <f>HYD!Z16</f>
        <v/>
      </c>
      <c r="K14" s="107">
        <f>HYD!AA16</f>
        <v/>
      </c>
      <c r="L14" s="107">
        <f>HYD!AB16</f>
        <v/>
      </c>
      <c r="M14" s="107">
        <f>HYD!AC16</f>
        <v/>
      </c>
      <c r="N14" s="107">
        <f>HYD!AD16</f>
        <v/>
      </c>
      <c r="O14" s="107">
        <f>HYD!AE16</f>
        <v/>
      </c>
      <c r="P14" s="107">
        <f>HYD!AF16</f>
        <v/>
      </c>
      <c r="Q14" s="107">
        <f>HYD!AG16</f>
        <v/>
      </c>
      <c r="R14" s="107">
        <f>HYD!AH16</f>
        <v/>
      </c>
      <c r="S14" s="107">
        <f>HYD!AI16</f>
        <v/>
      </c>
      <c r="T14" s="107">
        <f>HYD!AJ16</f>
        <v/>
      </c>
      <c r="U14" s="107">
        <f>HYD!AK16</f>
        <v/>
      </c>
      <c r="V14" s="107">
        <f>HYD!AL16</f>
        <v/>
      </c>
      <c r="W14" s="44">
        <f>GSD!Q16</f>
        <v/>
      </c>
      <c r="X14" s="44">
        <f>GSD!R16</f>
        <v/>
      </c>
      <c r="Y14" s="44">
        <f>GSD!S16</f>
        <v/>
      </c>
      <c r="Z14" s="44">
        <f>GSD!T16</f>
        <v/>
      </c>
      <c r="AA14" s="44">
        <f>GSD!U16</f>
        <v/>
      </c>
      <c r="AB14" s="45">
        <f>GSD!V16</f>
        <v/>
      </c>
      <c r="AC14" s="45">
        <f>HYD!AM16</f>
        <v/>
      </c>
      <c r="AD14" s="44">
        <f>HYD!AN16</f>
        <v/>
      </c>
      <c r="AE14" s="44">
        <f>HYD!AO16</f>
        <v/>
      </c>
      <c r="AF14" s="44">
        <f>HYD!AP16</f>
        <v/>
      </c>
      <c r="AG14" s="44">
        <f>HYD!AQ16</f>
        <v/>
      </c>
      <c r="AH14" s="44">
        <f>HYD!AR16</f>
        <v/>
      </c>
      <c r="AI14" s="44">
        <f>HYD!AS16</f>
        <v/>
      </c>
      <c r="AJ14" s="44">
        <f>HYD!AT16</f>
        <v/>
      </c>
      <c r="AK14" s="44">
        <f>HYD!AU16</f>
        <v/>
      </c>
      <c r="AL14" s="44">
        <f>HYD!AV16</f>
        <v/>
      </c>
      <c r="AM14" s="44">
        <f>HYD!AW16</f>
        <v/>
      </c>
      <c r="AN14" s="44">
        <f>HYD!AX16</f>
        <v/>
      </c>
      <c r="AO14" s="44">
        <f>HYD!AY16</f>
        <v/>
      </c>
      <c r="AP14" s="36" t="n">
        <v>1.120000000000005</v>
      </c>
      <c r="AQ14" s="36" t="n">
        <v>1.739999999999995</v>
      </c>
      <c r="AR14" s="36" t="n">
        <v>38.68276897156515</v>
      </c>
      <c r="AS14" s="36" t="n">
        <v>58.45723102843485</v>
      </c>
    </row>
    <row r="15">
      <c r="A15" s="35" t="n">
        <v>13</v>
      </c>
      <c r="B15" s="35">
        <f>B14</f>
        <v/>
      </c>
      <c r="C15" s="27">
        <f>GSD!F17</f>
        <v/>
      </c>
      <c r="D15" s="106" t="n">
        <v>4.75</v>
      </c>
      <c r="E15" s="106" t="n">
        <v>2</v>
      </c>
      <c r="F15" s="106" t="n">
        <v>0.425</v>
      </c>
      <c r="G15" s="106" t="n">
        <v>0.212</v>
      </c>
      <c r="H15" s="106" t="n">
        <v>0.15</v>
      </c>
      <c r="I15" s="106" t="n">
        <v>0.075</v>
      </c>
      <c r="J15" s="107">
        <f>HYD!Z17</f>
        <v/>
      </c>
      <c r="K15" s="107">
        <f>HYD!AA17</f>
        <v/>
      </c>
      <c r="L15" s="107">
        <f>HYD!AB17</f>
        <v/>
      </c>
      <c r="M15" s="107">
        <f>HYD!AC17</f>
        <v/>
      </c>
      <c r="N15" s="107">
        <f>HYD!AD17</f>
        <v/>
      </c>
      <c r="O15" s="107">
        <f>HYD!AE17</f>
        <v/>
      </c>
      <c r="P15" s="107">
        <f>HYD!AF17</f>
        <v/>
      </c>
      <c r="Q15" s="107">
        <f>HYD!AG17</f>
        <v/>
      </c>
      <c r="R15" s="107">
        <f>HYD!AH17</f>
        <v/>
      </c>
      <c r="S15" s="107">
        <f>HYD!AI17</f>
        <v/>
      </c>
      <c r="T15" s="107">
        <f>HYD!AJ17</f>
        <v/>
      </c>
      <c r="U15" s="107">
        <f>HYD!AK17</f>
        <v/>
      </c>
      <c r="V15" s="107">
        <f>HYD!AL17</f>
        <v/>
      </c>
      <c r="W15" s="44">
        <f>GSD!Q17</f>
        <v/>
      </c>
      <c r="X15" s="44">
        <f>GSD!R17</f>
        <v/>
      </c>
      <c r="Y15" s="44">
        <f>GSD!S17</f>
        <v/>
      </c>
      <c r="Z15" s="44">
        <f>GSD!T17</f>
        <v/>
      </c>
      <c r="AA15" s="44">
        <f>GSD!U17</f>
        <v/>
      </c>
      <c r="AB15" s="45">
        <f>GSD!V17</f>
        <v/>
      </c>
      <c r="AC15" s="45">
        <f>HYD!AM17</f>
        <v/>
      </c>
      <c r="AD15" s="44">
        <f>HYD!AN17</f>
        <v/>
      </c>
      <c r="AE15" s="44">
        <f>HYD!AO17</f>
        <v/>
      </c>
      <c r="AF15" s="44">
        <f>HYD!AP17</f>
        <v/>
      </c>
      <c r="AG15" s="44">
        <f>HYD!AQ17</f>
        <v/>
      </c>
      <c r="AH15" s="44">
        <f>HYD!AR17</f>
        <v/>
      </c>
      <c r="AI15" s="44">
        <f>HYD!AS17</f>
        <v/>
      </c>
      <c r="AJ15" s="44">
        <f>HYD!AT17</f>
        <v/>
      </c>
      <c r="AK15" s="44">
        <f>HYD!AU17</f>
        <v/>
      </c>
      <c r="AL15" s="44">
        <f>HYD!AV17</f>
        <v/>
      </c>
      <c r="AM15" s="44">
        <f>HYD!AW17</f>
        <v/>
      </c>
      <c r="AN15" s="44">
        <f>HYD!AX17</f>
        <v/>
      </c>
      <c r="AO15" s="44">
        <f>HYD!AY17</f>
        <v/>
      </c>
      <c r="AP15" s="36" t="n">
        <v>0.9399999999999977</v>
      </c>
      <c r="AQ15" s="36" t="n">
        <v>81.16</v>
      </c>
      <c r="AR15" s="36" t="n">
        <v>6.293886363636359</v>
      </c>
      <c r="AS15" s="36" t="n">
        <v>11.60611363636365</v>
      </c>
    </row>
    <row r="16">
      <c r="A16" s="35" t="n">
        <v>14</v>
      </c>
      <c r="B16" s="35">
        <f>B15</f>
        <v/>
      </c>
      <c r="C16" s="27">
        <f>GSD!F18</f>
        <v/>
      </c>
      <c r="D16" s="106" t="n">
        <v>4.75</v>
      </c>
      <c r="E16" s="106" t="n">
        <v>2</v>
      </c>
      <c r="F16" s="106" t="n">
        <v>0.425</v>
      </c>
      <c r="G16" s="106" t="n">
        <v>0.212</v>
      </c>
      <c r="H16" s="106" t="n">
        <v>0.15</v>
      </c>
      <c r="I16" s="106" t="n">
        <v>0.075</v>
      </c>
      <c r="J16" s="107">
        <f>HYD!Z18</f>
        <v/>
      </c>
      <c r="K16" s="107">
        <f>HYD!AA18</f>
        <v/>
      </c>
      <c r="L16" s="107">
        <f>HYD!AB18</f>
        <v/>
      </c>
      <c r="M16" s="107">
        <f>HYD!AC18</f>
        <v/>
      </c>
      <c r="N16" s="107">
        <f>HYD!AD18</f>
        <v/>
      </c>
      <c r="O16" s="107">
        <f>HYD!AE18</f>
        <v/>
      </c>
      <c r="P16" s="107">
        <f>HYD!AF18</f>
        <v/>
      </c>
      <c r="Q16" s="107">
        <f>HYD!AG18</f>
        <v/>
      </c>
      <c r="R16" s="107">
        <f>HYD!AH18</f>
        <v/>
      </c>
      <c r="S16" s="107">
        <f>HYD!AI18</f>
        <v/>
      </c>
      <c r="T16" s="107">
        <f>HYD!AJ18</f>
        <v/>
      </c>
      <c r="U16" s="107">
        <f>HYD!AK18</f>
        <v/>
      </c>
      <c r="V16" s="107">
        <f>HYD!AL18</f>
        <v/>
      </c>
      <c r="W16" s="44">
        <f>GSD!Q18</f>
        <v/>
      </c>
      <c r="X16" s="44">
        <f>GSD!R18</f>
        <v/>
      </c>
      <c r="Y16" s="44">
        <f>GSD!S18</f>
        <v/>
      </c>
      <c r="Z16" s="44">
        <f>GSD!T18</f>
        <v/>
      </c>
      <c r="AA16" s="44">
        <f>GSD!U18</f>
        <v/>
      </c>
      <c r="AB16" s="45">
        <f>GSD!V18</f>
        <v/>
      </c>
      <c r="AC16" s="45">
        <f>HYD!AM18</f>
        <v/>
      </c>
      <c r="AD16" s="44">
        <f>HYD!AN18</f>
        <v/>
      </c>
      <c r="AE16" s="44">
        <f>HYD!AO18</f>
        <v/>
      </c>
      <c r="AF16" s="44">
        <f>HYD!AP18</f>
        <v/>
      </c>
      <c r="AG16" s="44">
        <f>HYD!AQ18</f>
        <v/>
      </c>
      <c r="AH16" s="44">
        <f>HYD!AR18</f>
        <v/>
      </c>
      <c r="AI16" s="44">
        <f>HYD!AS18</f>
        <v/>
      </c>
      <c r="AJ16" s="44">
        <f>HYD!AT18</f>
        <v/>
      </c>
      <c r="AK16" s="44">
        <f>HYD!AU18</f>
        <v/>
      </c>
      <c r="AL16" s="44">
        <f>HYD!AV18</f>
        <v/>
      </c>
      <c r="AM16" s="44">
        <f>HYD!AW18</f>
        <v/>
      </c>
      <c r="AN16" s="44">
        <f>HYD!AX18</f>
        <v/>
      </c>
      <c r="AO16" s="44">
        <f>HYD!AY18</f>
        <v/>
      </c>
    </row>
    <row r="17">
      <c r="AB17" s="44" t="n"/>
      <c r="AC17" s="36" t="n"/>
    </row>
    <row r="18">
      <c r="AB18" s="44" t="n"/>
      <c r="AC18" s="36" t="n"/>
    </row>
    <row r="19">
      <c r="AB19" s="44" t="n"/>
      <c r="AC19" s="36" t="n"/>
    </row>
    <row r="20">
      <c r="AB20" s="44" t="n"/>
      <c r="AC20" s="36" t="n"/>
    </row>
    <row r="21">
      <c r="AB21" s="44" t="n"/>
      <c r="AC21" s="36" t="n"/>
    </row>
    <row r="22">
      <c r="AB22" s="44" t="n"/>
      <c r="AC22" s="36" t="n"/>
    </row>
    <row r="23">
      <c r="AB23" s="44" t="n"/>
      <c r="AC23" s="36" t="n"/>
    </row>
    <row r="24">
      <c r="AB24" s="44" t="n"/>
      <c r="AC24" s="36" t="n"/>
    </row>
    <row r="25">
      <c r="AB25" s="44" t="n"/>
      <c r="AC25" s="36" t="n"/>
    </row>
    <row r="26">
      <c r="AB26" s="44" t="n"/>
      <c r="AC26" s="36" t="n"/>
    </row>
    <row r="27">
      <c r="AB27" s="44" t="n"/>
      <c r="AC27" s="36" t="n"/>
    </row>
    <row r="28">
      <c r="AB28" s="44" t="n"/>
      <c r="AC28" s="36" t="n"/>
    </row>
    <row r="29">
      <c r="AB29" s="44" t="n"/>
      <c r="AC29" s="36" t="n"/>
    </row>
    <row r="30">
      <c r="AB30" s="44" t="n"/>
      <c r="AC30" s="36" t="n"/>
    </row>
    <row r="33">
      <c r="AT33" t="inlineStr">
        <is>
          <t> </t>
        </is>
      </c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2026-09-24T09:18:13Z</dcterms:modified>
  <cp:lastModifiedBy>baps</cp:lastModifiedBy>
</cp:coreProperties>
</file>