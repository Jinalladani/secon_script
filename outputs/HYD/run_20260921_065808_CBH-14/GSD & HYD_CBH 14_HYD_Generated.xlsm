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3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99.38</v>
                </pt>
                <pt idx="1">
                  <v>97.78</v>
                </pt>
                <pt idx="2">
                  <v>94.09</v>
                </pt>
                <pt idx="3">
                  <v>91.55</v>
                </pt>
                <pt idx="4">
                  <v>90.81999999999999</v>
                </pt>
                <pt idx="5">
                  <v>87.83</v>
                </pt>
                <pt idx="6">
                  <v>75.73</v>
                </pt>
                <pt idx="7">
                  <v>68.92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99.875</v>
                </pt>
                <pt idx="1">
                  <v>97.105</v>
                </pt>
                <pt idx="2">
                  <v>92.58</v>
                </pt>
                <pt idx="3">
                  <v>88.285</v>
                </pt>
                <pt idx="4">
                  <v>86.845</v>
                </pt>
                <pt idx="5">
                  <v>81.21000000000001</v>
                </pt>
                <pt idx="6">
                  <v>67.825</v>
                </pt>
                <pt idx="7">
                  <v>62.695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99.70999999999999</v>
                </pt>
                <pt idx="1">
                  <v>96.43000000000001</v>
                </pt>
                <pt idx="2">
                  <v>91.31999999999999</v>
                </pt>
                <pt idx="3">
                  <v>88.98</v>
                </pt>
                <pt idx="4">
                  <v>88.34999999999999</v>
                </pt>
                <pt idx="5">
                  <v>86.20999999999999</v>
                </pt>
                <pt idx="6">
                  <v>77.61</v>
                </pt>
                <pt idx="7">
                  <v>73.73999999999999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99.47</v>
                </pt>
                <pt idx="1">
                  <v>97.42</v>
                </pt>
                <pt idx="2">
                  <v>93.33</v>
                </pt>
                <pt idx="3">
                  <v>90.39</v>
                </pt>
                <pt idx="4">
                  <v>89.64</v>
                </pt>
                <pt idx="5">
                  <v>86.435</v>
                </pt>
                <pt idx="6">
                  <v>73.90000000000001</v>
                </pt>
                <pt idx="7">
                  <v>67.395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99.08</v>
                </pt>
                <pt idx="1">
                  <v>95.28</v>
                </pt>
                <pt idx="2">
                  <v>93.56999999999999</v>
                </pt>
                <pt idx="3">
                  <v>91.62</v>
                </pt>
                <pt idx="4">
                  <v>90.09</v>
                </pt>
                <pt idx="5">
                  <v>88.94</v>
                </pt>
                <pt idx="6">
                  <v>80.59999999999999</v>
                </pt>
                <pt idx="7">
                  <v>75.06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98.93000000000001</v>
                </pt>
                <pt idx="1">
                  <v>97.23</v>
                </pt>
                <pt idx="2">
                  <v>94.91</v>
                </pt>
                <pt idx="3">
                  <v>92.42</v>
                </pt>
                <pt idx="4">
                  <v>90.39</v>
                </pt>
                <pt idx="5">
                  <v>87.38</v>
                </pt>
                <pt idx="6">
                  <v>79.78999999999999</v>
                </pt>
                <pt idx="7">
                  <v>73.61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87.84</v>
                </pt>
                <pt idx="1">
                  <v>74.25999999999999</v>
                </pt>
                <pt idx="2">
                  <v>66.13</v>
                </pt>
                <pt idx="3">
                  <v>52.19999999999999</v>
                </pt>
                <pt idx="4">
                  <v>50.88</v>
                </pt>
                <pt idx="5">
                  <v>48.09</v>
                </pt>
                <pt idx="6">
                  <v>38.72</v>
                </pt>
                <pt idx="7">
                  <v>32.09999999999999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91.78999999999999</v>
                </pt>
                <pt idx="1">
                  <v>77.40000000000001</v>
                </pt>
                <pt idx="2">
                  <v>68.68000000000001</v>
                </pt>
                <pt idx="3">
                  <v>54.38</v>
                </pt>
                <pt idx="4">
                  <v>52.98999999999999</v>
                </pt>
                <pt idx="5">
                  <v>49.88</v>
                </pt>
                <pt idx="6">
                  <v>39.28999999999999</v>
                </pt>
                <pt idx="7">
                  <v>33.69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74.68000000000001</v>
                </pt>
                <pt idx="1">
                  <v>62.6</v>
                </pt>
                <pt idx="2">
                  <v>60.27</v>
                </pt>
                <pt idx="3">
                  <v>51.66</v>
                </pt>
                <pt idx="4">
                  <v>47.75</v>
                </pt>
                <pt idx="5">
                  <v>46.39</v>
                </pt>
                <pt idx="6">
                  <v>38.14</v>
                </pt>
                <pt idx="7">
                  <v>31.02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99.38</v>
                </pt>
                <pt idx="1">
                  <v>97.78</v>
                </pt>
                <pt idx="2">
                  <v>94.09</v>
                </pt>
                <pt idx="3">
                  <v>91.55</v>
                </pt>
                <pt idx="4">
                  <v>90.81999999999999</v>
                </pt>
                <pt idx="5">
                  <v>87.83</v>
                </pt>
                <pt idx="6">
                  <v>75.73</v>
                </pt>
                <pt idx="7">
                  <v>68.92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0.06278197243607092</v>
                </pt>
                <pt idx="9">
                  <formatCode>0.00000</formatCode>
                  <v>0.04493828506249302</v>
                </pt>
                <pt idx="10">
                  <formatCode>0.00000</formatCode>
                  <v>0.03177616610258295</v>
                </pt>
                <pt idx="11">
                  <formatCode>0.00000</formatCode>
                  <v>0.02246914253124651</v>
                </pt>
                <pt idx="12">
                  <formatCode>0.00000</formatCode>
                  <v>0.01687700052624013</v>
                </pt>
                <pt idx="13">
                  <formatCode>0.00000</formatCode>
                  <v>0.01232521852166437</v>
                </pt>
                <pt idx="14">
                  <formatCode>0.00000</formatCode>
                  <v>0.008715245596274911</v>
                </pt>
                <pt idx="15">
                  <formatCode>0.00000</formatCode>
                  <v>0.006228063646348111</v>
                </pt>
                <pt idx="16">
                  <formatCode>0.00000</formatCode>
                  <v>0.004449707892897638</v>
                </pt>
                <pt idx="17">
                  <formatCode>0.00000</formatCode>
                  <v>0.003178475442153808</v>
                </pt>
                <pt idx="18">
                  <formatCode>0.00000</formatCode>
                  <v>0.002247521538981868</v>
                </pt>
                <pt idx="19">
                  <formatCode>0.00000</formatCode>
                  <v>0.001605106079570123</v>
                </pt>
                <pt idx="20">
                  <formatCode>0.00000</formatCode>
                  <v>0.001323393244467227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99.875</v>
                </pt>
                <pt idx="1">
                  <v>97.105</v>
                </pt>
                <pt idx="2">
                  <v>92.58</v>
                </pt>
                <pt idx="3">
                  <v>88.285</v>
                </pt>
                <pt idx="4">
                  <v>86.845</v>
                </pt>
                <pt idx="5">
                  <v>81.21000000000001</v>
                </pt>
                <pt idx="6">
                  <v>67.825</v>
                </pt>
                <pt idx="7">
                  <v>62.695</v>
                </pt>
                <pt idx="8">
                  <v>43.71111904761909</v>
                </pt>
                <pt idx="9">
                  <v>40.52064285714254</v>
                </pt>
                <pt idx="10">
                  <v>40.52064285714254</v>
                </pt>
                <pt idx="11">
                  <v>40.52064285714254</v>
                </pt>
                <pt idx="12">
                  <v>37.3301666666667</v>
                </pt>
                <pt idx="13">
                  <v>37.3301666666667</v>
                </pt>
                <pt idx="14">
                  <v>37.3301666666667</v>
                </pt>
                <pt idx="15">
                  <v>34.13969047619015</v>
                </pt>
                <pt idx="16">
                  <v>30.94921428571432</v>
                </pt>
                <pt idx="17">
                  <v>27.75873809523777</v>
                </pt>
                <pt idx="18">
                  <v>27.75873809523777</v>
                </pt>
                <pt idx="19">
                  <v>24.56826190476193</v>
                </pt>
                <pt idx="20">
                  <v>21.37778571428538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99.70999999999999</v>
                </pt>
                <pt idx="1">
                  <v>96.43000000000001</v>
                </pt>
                <pt idx="2">
                  <v>91.31999999999999</v>
                </pt>
                <pt idx="3">
                  <v>88.98</v>
                </pt>
                <pt idx="4">
                  <v>88.34999999999999</v>
                </pt>
                <pt idx="5">
                  <v>86.20999999999999</v>
                </pt>
                <pt idx="6">
                  <v>77.61</v>
                </pt>
                <pt idx="7">
                  <v>73.73999999999999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99.47</v>
                </pt>
                <pt idx="1">
                  <v>97.42</v>
                </pt>
                <pt idx="2">
                  <v>93.33</v>
                </pt>
                <pt idx="3">
                  <v>90.39</v>
                </pt>
                <pt idx="4">
                  <v>89.64</v>
                </pt>
                <pt idx="5">
                  <v>86.435</v>
                </pt>
                <pt idx="6">
                  <v>73.90000000000001</v>
                </pt>
                <pt idx="7">
                  <v>67.395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99.08</v>
                </pt>
                <pt idx="1">
                  <v>95.28</v>
                </pt>
                <pt idx="2">
                  <v>93.56999999999999</v>
                </pt>
                <pt idx="3">
                  <v>91.62</v>
                </pt>
                <pt idx="4">
                  <v>90.09</v>
                </pt>
                <pt idx="5">
                  <v>88.94</v>
                </pt>
                <pt idx="6">
                  <v>80.59999999999999</v>
                </pt>
                <pt idx="7">
                  <v>75.06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98.93000000000001</v>
                </pt>
                <pt idx="1">
                  <v>97.23</v>
                </pt>
                <pt idx="2">
                  <v>94.91</v>
                </pt>
                <pt idx="3">
                  <v>92.42</v>
                </pt>
                <pt idx="4">
                  <v>90.39</v>
                </pt>
                <pt idx="5">
                  <v>87.38</v>
                </pt>
                <pt idx="6">
                  <v>79.78999999999999</v>
                </pt>
                <pt idx="7">
                  <v>73.61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87.84</v>
                </pt>
                <pt idx="1">
                  <v>74.25999999999999</v>
                </pt>
                <pt idx="2">
                  <v>66.13</v>
                </pt>
                <pt idx="3">
                  <v>52.19999999999999</v>
                </pt>
                <pt idx="4">
                  <v>50.88</v>
                </pt>
                <pt idx="5">
                  <v>48.09</v>
                </pt>
                <pt idx="6">
                  <v>38.72</v>
                </pt>
                <pt idx="7">
                  <v>32.09999999999999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91.78999999999999</v>
                </pt>
                <pt idx="1">
                  <v>77.40000000000001</v>
                </pt>
                <pt idx="2">
                  <v>68.68000000000001</v>
                </pt>
                <pt idx="3">
                  <v>54.38</v>
                </pt>
                <pt idx="4">
                  <v>52.98999999999999</v>
                </pt>
                <pt idx="5">
                  <v>49.88</v>
                </pt>
                <pt idx="6">
                  <v>39.28999999999999</v>
                </pt>
                <pt idx="7">
                  <v>33.69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74.68000000000001</v>
                </pt>
                <pt idx="1">
                  <v>62.6</v>
                </pt>
                <pt idx="2">
                  <v>60.27</v>
                </pt>
                <pt idx="3">
                  <v>51.66</v>
                </pt>
                <pt idx="4">
                  <v>47.75</v>
                </pt>
                <pt idx="5">
                  <v>46.39</v>
                </pt>
                <pt idx="6">
                  <v>38.14</v>
                </pt>
                <pt idx="7">
                  <v>31.02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view="pageBreakPreview" topLeftCell="T1" zoomScaleNormal="85" zoomScaleSheetLayoutView="100" zoomScalePageLayoutView="85" workbookViewId="0">
      <selection activeCell="AC11" sqref="AC11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26"/>
    <col width="9" customWidth="1" style="1" min="27" max="16384"/>
  </cols>
  <sheetData>
    <row r="1" ht="25.15" customHeight="1" s="41">
      <c r="A1" s="59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6" t="inlineStr">
        <is>
          <t>Sample Type</t>
        </is>
      </c>
      <c r="F2" s="66" t="inlineStr">
        <is>
          <t>Depth</t>
        </is>
      </c>
      <c r="G2" s="66" t="inlineStr">
        <is>
          <t>Container No.</t>
        </is>
      </c>
      <c r="H2" s="66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56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56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9" t="inlineStr">
        <is>
          <t xml:space="preserve">Gravel </t>
        </is>
      </c>
      <c r="AB2" s="69" t="inlineStr">
        <is>
          <t>Sand</t>
        </is>
      </c>
      <c r="AC2" s="69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8" t="n">
        <v>4.75</v>
      </c>
      <c r="K3" s="3" t="n">
        <v>2</v>
      </c>
      <c r="L3" s="3" t="n">
        <v>1.18</v>
      </c>
      <c r="M3" s="97" t="n">
        <v>0.6</v>
      </c>
      <c r="N3" s="68" t="n">
        <v>0.425</v>
      </c>
      <c r="O3" s="97" t="n">
        <v>0.3</v>
      </c>
      <c r="P3" s="97" t="n">
        <v>0.15</v>
      </c>
      <c r="Q3" s="68" t="n">
        <v>0.075</v>
      </c>
      <c r="R3" s="68" t="inlineStr">
        <is>
          <t>Pan</t>
        </is>
      </c>
      <c r="S3" s="66" t="n">
        <v>4.75</v>
      </c>
      <c r="T3" s="6" t="n">
        <v>2</v>
      </c>
      <c r="U3" s="6" t="n">
        <v>1.18</v>
      </c>
      <c r="V3" s="98" t="n">
        <v>0.6</v>
      </c>
      <c r="W3" s="66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8" t="inlineStr">
        <is>
          <t>-</t>
        </is>
      </c>
      <c r="F4" s="56" t="inlineStr">
        <is>
          <t>(m)</t>
        </is>
      </c>
      <c r="G4" s="56" t="inlineStr">
        <is>
          <t>-</t>
        </is>
      </c>
      <c r="H4" s="56" t="inlineStr">
        <is>
          <t>(gm)</t>
        </is>
      </c>
      <c r="I4" s="56" t="inlineStr">
        <is>
          <t>(gm)</t>
        </is>
      </c>
      <c r="J4" s="56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56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70" t="inlineStr">
        <is>
          <t>%</t>
        </is>
      </c>
      <c r="AB4" s="92" t="n"/>
      <c r="AC4" s="93" t="n"/>
    </row>
    <row r="5" ht="30" customHeight="1" s="41">
      <c r="A5" s="70" t="n">
        <v>1</v>
      </c>
      <c r="B5" s="57" t="inlineStr">
        <is>
          <t>CBH-14</t>
        </is>
      </c>
      <c r="C5" s="57" t="n"/>
      <c r="D5" s="58" t="n"/>
      <c r="E5" s="47" t="inlineStr">
        <is>
          <t>SPT</t>
        </is>
      </c>
      <c r="F5" s="43" t="n">
        <v>0.5</v>
      </c>
      <c r="G5" s="47" t="inlineStr">
        <is>
          <t>A104</t>
        </is>
      </c>
      <c r="H5" s="58" t="n">
        <v>100</v>
      </c>
      <c r="I5" s="43">
        <f>H5-SUM(J5:Q5)</f>
        <v/>
      </c>
      <c r="J5" s="43" t="n">
        <v>0.62</v>
      </c>
      <c r="K5" s="43" t="n">
        <v>1.6</v>
      </c>
      <c r="L5" s="43" t="n">
        <v>3.69</v>
      </c>
      <c r="M5" s="43" t="n">
        <v>2.54</v>
      </c>
      <c r="N5" s="43" t="n">
        <v>0.73</v>
      </c>
      <c r="O5" s="43" t="n">
        <v>2.99</v>
      </c>
      <c r="P5" s="43" t="n">
        <v>12.1</v>
      </c>
      <c r="Q5" s="43" t="n">
        <v>6.81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0" t="n">
        <v>2</v>
      </c>
      <c r="B6" s="99" t="n"/>
      <c r="C6" s="99" t="n"/>
      <c r="D6" s="99" t="n"/>
      <c r="E6" s="47" t="inlineStr">
        <is>
          <t>UDS</t>
        </is>
      </c>
      <c r="F6" s="43" t="n">
        <v>1.5</v>
      </c>
      <c r="G6" s="47" t="inlineStr">
        <is>
          <t>A082</t>
        </is>
      </c>
      <c r="H6" s="58" t="n">
        <v>200</v>
      </c>
      <c r="I6" s="43">
        <f>H6-SUM(J6:Q6)</f>
        <v/>
      </c>
      <c r="J6" s="43" t="n">
        <v>0.25</v>
      </c>
      <c r="K6" s="43" t="n">
        <v>5.54</v>
      </c>
      <c r="L6" s="43" t="n">
        <v>9.050000000000001</v>
      </c>
      <c r="M6" s="43" t="n">
        <v>8.59</v>
      </c>
      <c r="N6" s="43" t="n">
        <v>2.88</v>
      </c>
      <c r="O6" s="43" t="n">
        <v>11.27</v>
      </c>
      <c r="P6" s="43" t="n">
        <v>26.77</v>
      </c>
      <c r="Q6" s="43" t="n">
        <v>10.26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0" t="n">
        <v>3</v>
      </c>
      <c r="B7" s="99" t="n"/>
      <c r="C7" s="99" t="n"/>
      <c r="D7" s="99" t="n"/>
      <c r="E7" s="47" t="inlineStr">
        <is>
          <t>SPT</t>
        </is>
      </c>
      <c r="F7" s="43" t="n">
        <v>3.5</v>
      </c>
      <c r="G7" s="47" t="inlineStr">
        <is>
          <t>A131</t>
        </is>
      </c>
      <c r="H7" s="58" t="n">
        <v>100</v>
      </c>
      <c r="I7" s="43">
        <f>H7-SUM(J7:Q7)</f>
        <v/>
      </c>
      <c r="J7" s="43" t="n">
        <v>0.29</v>
      </c>
      <c r="K7" s="43" t="n">
        <v>3.28</v>
      </c>
      <c r="L7" s="43" t="n">
        <v>5.11</v>
      </c>
      <c r="M7" s="43" t="n">
        <v>2.34</v>
      </c>
      <c r="N7" s="43" t="n">
        <v>0.63</v>
      </c>
      <c r="O7" s="43" t="n">
        <v>2.14</v>
      </c>
      <c r="P7" s="43" t="n">
        <v>8.6</v>
      </c>
      <c r="Q7" s="43" t="n">
        <v>3.87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0" t="n">
        <v>4</v>
      </c>
      <c r="B8" s="99" t="n"/>
      <c r="C8" s="99" t="n"/>
      <c r="D8" s="99" t="n"/>
      <c r="E8" s="47" t="inlineStr">
        <is>
          <t>UDS</t>
        </is>
      </c>
      <c r="F8" s="43" t="n">
        <v>4.5</v>
      </c>
      <c r="G8" s="47" t="inlineStr">
        <is>
          <t>A048</t>
        </is>
      </c>
      <c r="H8" s="58" t="n">
        <v>200</v>
      </c>
      <c r="I8" s="43">
        <f>H8-SUM(J8:Q8)</f>
        <v/>
      </c>
      <c r="J8" s="43" t="n">
        <v>1.06</v>
      </c>
      <c r="K8" s="43" t="n">
        <v>4.1</v>
      </c>
      <c r="L8" s="43" t="n">
        <v>8.18</v>
      </c>
      <c r="M8" s="43" t="n">
        <v>5.88</v>
      </c>
      <c r="N8" s="43" t="n">
        <v>1.5</v>
      </c>
      <c r="O8" s="43" t="n">
        <v>6.41</v>
      </c>
      <c r="P8" s="43" t="n">
        <v>25.07</v>
      </c>
      <c r="Q8" s="43" t="n">
        <v>13.01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0" t="n">
        <v>5</v>
      </c>
      <c r="B9" s="99" t="n"/>
      <c r="C9" s="99" t="n"/>
      <c r="D9" s="99" t="n"/>
      <c r="E9" s="47" t="inlineStr">
        <is>
          <t>SPT</t>
        </is>
      </c>
      <c r="F9" s="43" t="n">
        <v>6.5</v>
      </c>
      <c r="G9" s="47" t="inlineStr">
        <is>
          <t>A010</t>
        </is>
      </c>
      <c r="H9" s="58" t="n">
        <v>100</v>
      </c>
      <c r="I9" s="43">
        <f>H9-SUM(J9:Q9)</f>
        <v/>
      </c>
      <c r="J9" s="43" t="n">
        <v>0.92</v>
      </c>
      <c r="K9" s="43" t="n">
        <v>3.8</v>
      </c>
      <c r="L9" s="43" t="n">
        <v>1.71</v>
      </c>
      <c r="M9" s="43" t="n">
        <v>1.95</v>
      </c>
      <c r="N9" s="43" t="n">
        <v>1.53</v>
      </c>
      <c r="O9" s="43" t="n">
        <v>1.15</v>
      </c>
      <c r="P9" s="43" t="n">
        <v>8.34</v>
      </c>
      <c r="Q9" s="43" t="n">
        <v>5.54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/>
      <c r="B10" s="99" t="n"/>
      <c r="C10" s="99" t="n"/>
      <c r="D10" s="99" t="n"/>
      <c r="E10" s="47" t="inlineStr">
        <is>
          <t>SPT</t>
        </is>
      </c>
      <c r="F10" s="43" t="n">
        <v>7.5</v>
      </c>
      <c r="G10" s="47" t="inlineStr">
        <is>
          <t>A149</t>
        </is>
      </c>
      <c r="H10" s="58" t="n">
        <v>100</v>
      </c>
      <c r="I10" s="43">
        <f>H10-SUM(J10:Q10)</f>
        <v/>
      </c>
      <c r="J10" s="43" t="n">
        <v>1.07</v>
      </c>
      <c r="K10" s="43" t="n">
        <v>1.7</v>
      </c>
      <c r="L10" s="43" t="n">
        <v>2.32</v>
      </c>
      <c r="M10" s="43" t="n">
        <v>2.49</v>
      </c>
      <c r="N10" s="43" t="n">
        <v>2.03</v>
      </c>
      <c r="O10" s="43" t="n">
        <v>3.01</v>
      </c>
      <c r="P10" s="43" t="n">
        <v>7.59</v>
      </c>
      <c r="Q10" s="43" t="n">
        <v>6.18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70" t="n">
        <v>7</v>
      </c>
      <c r="B11" s="99" t="n"/>
      <c r="C11" s="99" t="n"/>
      <c r="D11" s="99" t="n"/>
      <c r="E11" s="47" t="inlineStr">
        <is>
          <t>SPT</t>
        </is>
      </c>
      <c r="F11" s="43" t="n">
        <v>10.5</v>
      </c>
      <c r="G11" s="47" t="inlineStr">
        <is>
          <t>A065</t>
        </is>
      </c>
      <c r="H11" s="58" t="n">
        <v>100</v>
      </c>
      <c r="I11" s="43">
        <f>H11-SUM(J11:Q11)</f>
        <v/>
      </c>
      <c r="J11" s="43" t="n">
        <v>12.16</v>
      </c>
      <c r="K11" s="43" t="n">
        <v>13.58</v>
      </c>
      <c r="L11" s="43" t="n">
        <v>8.130000000000001</v>
      </c>
      <c r="M11" s="43" t="n">
        <v>13.93</v>
      </c>
      <c r="N11" s="43" t="n">
        <v>1.32</v>
      </c>
      <c r="O11" s="43" t="n">
        <v>2.79</v>
      </c>
      <c r="P11" s="43" t="n">
        <v>9.369999999999999</v>
      </c>
      <c r="Q11" s="43" t="n">
        <v>6.62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70" t="n">
        <v>8</v>
      </c>
      <c r="B12" s="99" t="n"/>
      <c r="C12" s="99" t="n"/>
      <c r="D12" s="99" t="n"/>
      <c r="E12" s="47" t="inlineStr">
        <is>
          <t>SPT</t>
        </is>
      </c>
      <c r="F12" s="43" t="n">
        <v>13.5</v>
      </c>
      <c r="G12" s="47" t="inlineStr">
        <is>
          <t>A048</t>
        </is>
      </c>
      <c r="H12" s="58" t="n">
        <v>100</v>
      </c>
      <c r="I12" s="43">
        <f>H12-SUM(J12:Q12)</f>
        <v/>
      </c>
      <c r="J12" s="43" t="n">
        <v>8.210000000000001</v>
      </c>
      <c r="K12" s="43" t="n">
        <v>14.39</v>
      </c>
      <c r="L12" s="43" t="n">
        <v>8.720000000000001</v>
      </c>
      <c r="M12" s="43" t="n">
        <v>14.3</v>
      </c>
      <c r="N12" s="43" t="n">
        <v>1.39</v>
      </c>
      <c r="O12" s="43" t="n">
        <v>3.11</v>
      </c>
      <c r="P12" s="43" t="n">
        <v>10.59</v>
      </c>
      <c r="Q12" s="43" t="n">
        <v>5.6</v>
      </c>
      <c r="R12" s="44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70" t="n">
        <v>9</v>
      </c>
      <c r="B13" s="95" t="n"/>
      <c r="C13" s="95" t="n"/>
      <c r="D13" s="95" t="n"/>
      <c r="E13" s="47" t="inlineStr">
        <is>
          <t>SPT</t>
        </is>
      </c>
      <c r="F13" s="43" t="n">
        <v>15</v>
      </c>
      <c r="G13" s="47" t="inlineStr">
        <is>
          <t>A125</t>
        </is>
      </c>
      <c r="H13" s="58" t="n">
        <v>100</v>
      </c>
      <c r="I13" s="43">
        <f>H13-SUM(J13:Q13)</f>
        <v/>
      </c>
      <c r="J13" s="43" t="n">
        <v>25.32</v>
      </c>
      <c r="K13" s="43" t="n">
        <v>12.08</v>
      </c>
      <c r="L13" s="43" t="n">
        <v>2.33</v>
      </c>
      <c r="M13" s="43" t="n">
        <v>8.609999999999999</v>
      </c>
      <c r="N13" s="43" t="n">
        <v>3.91</v>
      </c>
      <c r="O13" s="43" t="n">
        <v>1.36</v>
      </c>
      <c r="P13" s="43" t="n">
        <v>8.25</v>
      </c>
      <c r="Q13" s="43" t="n">
        <v>7.12</v>
      </c>
      <c r="R13" s="44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N10" sqref="N10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76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8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8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79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2" t="n">
        <v>1</v>
      </c>
      <c r="O2" s="72" t="n">
        <v>2</v>
      </c>
      <c r="P2" s="72" t="n">
        <v>4</v>
      </c>
      <c r="Q2" s="72" t="n">
        <v>8</v>
      </c>
      <c r="R2" s="72" t="n">
        <v>15</v>
      </c>
      <c r="S2" s="72" t="n">
        <v>30</v>
      </c>
      <c r="T2" s="72" t="n">
        <v>60</v>
      </c>
      <c r="U2" s="72" t="n">
        <v>120</v>
      </c>
      <c r="V2" s="72" t="n">
        <v>240</v>
      </c>
      <c r="W2" s="72" t="n">
        <v>480</v>
      </c>
      <c r="X2" s="72" t="n">
        <v>960</v>
      </c>
      <c r="Y2" s="72" t="n">
        <v>1440</v>
      </c>
      <c r="Z2" s="102" t="n">
        <v>0.5</v>
      </c>
      <c r="AA2" s="72" t="n">
        <v>1</v>
      </c>
      <c r="AB2" s="72" t="n">
        <v>2</v>
      </c>
      <c r="AC2" s="72" t="n">
        <v>4</v>
      </c>
      <c r="AD2" s="72" t="n">
        <v>8</v>
      </c>
      <c r="AE2" s="72" t="n">
        <v>15</v>
      </c>
      <c r="AF2" s="72" t="n">
        <v>30</v>
      </c>
      <c r="AG2" s="72" t="n">
        <v>60</v>
      </c>
      <c r="AH2" s="72" t="n">
        <v>120</v>
      </c>
      <c r="AI2" s="72" t="n">
        <v>240</v>
      </c>
      <c r="AJ2" s="72" t="n">
        <v>480</v>
      </c>
      <c r="AK2" s="72" t="n">
        <v>960</v>
      </c>
      <c r="AL2" s="72" t="n">
        <v>1440</v>
      </c>
      <c r="AM2" s="102" t="n">
        <v>0.5</v>
      </c>
      <c r="AN2" s="72" t="n">
        <v>1</v>
      </c>
      <c r="AO2" s="72" t="n">
        <v>2</v>
      </c>
      <c r="AP2" s="72" t="n">
        <v>4</v>
      </c>
      <c r="AQ2" s="72" t="n">
        <v>8</v>
      </c>
      <c r="AR2" s="72" t="n">
        <v>15</v>
      </c>
      <c r="AS2" s="72" t="n">
        <v>30</v>
      </c>
      <c r="AT2" s="72" t="n">
        <v>60</v>
      </c>
      <c r="AU2" s="72" t="n">
        <v>120</v>
      </c>
      <c r="AV2" s="72" t="n">
        <v>240</v>
      </c>
      <c r="AW2" s="72" t="n">
        <v>480</v>
      </c>
      <c r="AX2" s="72" t="n">
        <v>960</v>
      </c>
      <c r="AY2" s="72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82" t="inlineStr">
        <is>
          <t>-</t>
        </is>
      </c>
      <c r="E4" s="82" t="inlineStr">
        <is>
          <t>(°C)</t>
        </is>
      </c>
      <c r="F4" s="82" t="inlineStr">
        <is>
          <t>Poise</t>
        </is>
      </c>
      <c r="G4" s="82" t="inlineStr">
        <is>
          <t>-</t>
        </is>
      </c>
      <c r="H4" s="82" t="inlineStr">
        <is>
          <t>-</t>
        </is>
      </c>
      <c r="I4" s="76" t="inlineStr">
        <is>
          <t>-</t>
        </is>
      </c>
      <c r="J4" s="73" t="n"/>
      <c r="K4" s="73" t="inlineStr">
        <is>
          <t>-</t>
        </is>
      </c>
      <c r="L4" s="73" t="inlineStr">
        <is>
          <t>-</t>
        </is>
      </c>
      <c r="M4" s="76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76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76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 t="n">
        <v>0.008559421270000001</v>
      </c>
      <c r="G5" s="104" t="n">
        <v>2.64</v>
      </c>
      <c r="H5" s="35" t="n">
        <v>0.0005</v>
      </c>
      <c r="I5" s="35" t="n">
        <v>1</v>
      </c>
      <c r="J5" s="35" t="n">
        <v>2</v>
      </c>
      <c r="K5" s="36" t="n">
        <v>0</v>
      </c>
      <c r="L5" s="35" t="n">
        <v>0.3</v>
      </c>
      <c r="M5" s="104" t="n">
        <v>1.022</v>
      </c>
      <c r="N5" s="104" t="n">
        <v>1.021</v>
      </c>
      <c r="O5" s="104" t="n">
        <v>1.021</v>
      </c>
      <c r="P5" s="104" t="n">
        <v>1.02</v>
      </c>
      <c r="Q5" s="104" t="n">
        <v>1.019</v>
      </c>
      <c r="R5" s="104" t="n">
        <v>1.019</v>
      </c>
      <c r="S5" s="104" t="n">
        <v>1.018</v>
      </c>
      <c r="T5" s="104" t="n">
        <v>1.017</v>
      </c>
      <c r="U5" s="104" t="n">
        <v>1.016</v>
      </c>
      <c r="V5" s="104" t="n">
        <v>1.014</v>
      </c>
      <c r="W5" s="104" t="n">
        <v>1.013</v>
      </c>
      <c r="X5" s="104" t="n">
        <v>1.013</v>
      </c>
      <c r="Y5" s="104" t="n">
        <v>1.013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 t="n">
        <v>0.008559421270000001</v>
      </c>
      <c r="G6" s="104" t="n">
        <v>2.66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4" t="n">
        <v>1.02</v>
      </c>
      <c r="N6" s="104" t="n">
        <v>1.019</v>
      </c>
      <c r="O6" s="104" t="n">
        <v>1.019</v>
      </c>
      <c r="P6" s="104" t="n">
        <v>1.018</v>
      </c>
      <c r="Q6" s="104" t="n">
        <v>1.017</v>
      </c>
      <c r="R6" s="104" t="n">
        <v>1.017</v>
      </c>
      <c r="S6" s="104" t="n">
        <v>1.016</v>
      </c>
      <c r="T6" s="104" t="n">
        <v>1.015</v>
      </c>
      <c r="U6" s="104" t="n">
        <v>1.013</v>
      </c>
      <c r="V6" s="104" t="n">
        <v>1.012</v>
      </c>
      <c r="W6" s="104" t="n">
        <v>1.011</v>
      </c>
      <c r="X6" s="104" t="n">
        <v>1.011</v>
      </c>
      <c r="Y6" s="104" t="n">
        <v>1.011</v>
      </c>
      <c r="Z6" s="31" t="n">
        <v>0.06278197243607092</v>
      </c>
      <c r="AA6" s="31" t="n">
        <v>0.04493828506249302</v>
      </c>
      <c r="AB6" s="31" t="n">
        <v>0.03177616610258295</v>
      </c>
      <c r="AC6" s="31" t="n">
        <v>0.02246914253124651</v>
      </c>
      <c r="AD6" s="31" t="n">
        <v>0.01687700052624013</v>
      </c>
      <c r="AE6" s="31" t="n">
        <v>0.01232521852166437</v>
      </c>
      <c r="AF6" s="31" t="n">
        <v>0.008715245596274911</v>
      </c>
      <c r="AG6" s="31" t="n">
        <v>0.006228063646348111</v>
      </c>
      <c r="AH6" s="31" t="n">
        <v>0.004449707892897638</v>
      </c>
      <c r="AI6" s="31" t="n">
        <v>0.003178475442153808</v>
      </c>
      <c r="AJ6" s="31" t="n">
        <v>0.002247521538981868</v>
      </c>
      <c r="AK6" s="31" t="n">
        <v>0.001605106079570123</v>
      </c>
      <c r="AL6" s="31" t="n">
        <v>0.001323393244467227</v>
      </c>
      <c r="AM6" s="32" t="n">
        <v>43.71111904761909</v>
      </c>
      <c r="AN6" s="32" t="n">
        <v>40.52064285714254</v>
      </c>
      <c r="AO6" s="32" t="n">
        <v>40.52064285714254</v>
      </c>
      <c r="AP6" s="32" t="n">
        <v>40.52064285714254</v>
      </c>
      <c r="AQ6" s="32" t="n">
        <v>37.3301666666667</v>
      </c>
      <c r="AR6" s="32" t="n">
        <v>37.3301666666667</v>
      </c>
      <c r="AS6" s="32" t="n">
        <v>37.3301666666667</v>
      </c>
      <c r="AT6" s="32" t="n">
        <v>34.13969047619015</v>
      </c>
      <c r="AU6" s="32" t="n">
        <v>30.94921428571432</v>
      </c>
      <c r="AV6" s="32" t="n">
        <v>27.75873809523777</v>
      </c>
      <c r="AW6" s="32" t="n">
        <v>27.75873809523777</v>
      </c>
      <c r="AX6" s="32" t="n">
        <v>24.56826190476193</v>
      </c>
      <c r="AY6" s="32" t="n">
        <v>21.37778571428538</v>
      </c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 t="n">
        <v>0.008559421270000001</v>
      </c>
      <c r="G7" s="104" t="n">
        <v>2.65</v>
      </c>
      <c r="H7" s="35" t="n">
        <v>0.0005</v>
      </c>
      <c r="I7" s="35" t="n">
        <v>1</v>
      </c>
      <c r="J7" s="35" t="n">
        <v>2</v>
      </c>
      <c r="K7" s="36" t="n">
        <v>0</v>
      </c>
      <c r="L7" s="35" t="n">
        <v>0.3</v>
      </c>
      <c r="M7" s="104" t="n">
        <v>1.023</v>
      </c>
      <c r="N7" s="104" t="n">
        <v>1.023</v>
      </c>
      <c r="O7" s="104" t="n">
        <v>1.022</v>
      </c>
      <c r="P7" s="104" t="n">
        <v>1.021</v>
      </c>
      <c r="Q7" s="104" t="n">
        <v>1.021</v>
      </c>
      <c r="R7" s="104" t="n">
        <v>1.02</v>
      </c>
      <c r="S7" s="104" t="n">
        <v>1.019</v>
      </c>
      <c r="T7" s="104" t="n">
        <v>1.018</v>
      </c>
      <c r="U7" s="104" t="n">
        <v>1.017</v>
      </c>
      <c r="V7" s="104" t="n">
        <v>1.016</v>
      </c>
      <c r="W7" s="104" t="n">
        <v>1.014</v>
      </c>
      <c r="X7" s="104" t="n">
        <v>1.014</v>
      </c>
      <c r="Y7" s="104" t="n">
        <v>1.014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 t="n">
        <v>0.008559421270000001</v>
      </c>
      <c r="G8" s="104" t="n">
        <v>2.63</v>
      </c>
      <c r="H8" s="35" t="n">
        <v>0.0005</v>
      </c>
      <c r="I8" s="35" t="n">
        <v>1</v>
      </c>
      <c r="J8" s="35" t="n">
        <v>1</v>
      </c>
      <c r="K8" s="36" t="n">
        <v>0</v>
      </c>
      <c r="L8" s="35" t="n">
        <v>0.3</v>
      </c>
      <c r="M8" s="104" t="n">
        <v>1.021</v>
      </c>
      <c r="N8" s="104" t="n">
        <v>1.021</v>
      </c>
      <c r="O8" s="104" t="n">
        <v>1.02</v>
      </c>
      <c r="P8" s="104" t="n">
        <v>1.02</v>
      </c>
      <c r="Q8" s="104" t="n">
        <v>1.019</v>
      </c>
      <c r="R8" s="104" t="n">
        <v>1.018</v>
      </c>
      <c r="S8" s="104" t="n">
        <v>1.017</v>
      </c>
      <c r="T8" s="104" t="n">
        <v>1.016</v>
      </c>
      <c r="U8" s="104" t="n">
        <v>1.015</v>
      </c>
      <c r="V8" s="104" t="n">
        <v>1.014</v>
      </c>
      <c r="W8" s="104" t="n">
        <v>1.013</v>
      </c>
      <c r="X8" s="104" t="n">
        <v>1.013</v>
      </c>
      <c r="Y8" s="104" t="n">
        <v>1.013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 t="n">
        <v>0.008559421270000001</v>
      </c>
      <c r="G9" s="104" t="n">
        <v>2.61</v>
      </c>
      <c r="H9" s="35" t="n">
        <v>0.0005</v>
      </c>
      <c r="I9" s="35" t="n">
        <v>1</v>
      </c>
      <c r="J9" s="35" t="n">
        <v>1</v>
      </c>
      <c r="K9" s="36" t="n">
        <v>0</v>
      </c>
      <c r="L9" s="35" t="n">
        <v>0.3</v>
      </c>
      <c r="M9" s="104" t="n">
        <v>1.023</v>
      </c>
      <c r="N9" s="104" t="n">
        <v>1.023</v>
      </c>
      <c r="O9" s="104" t="n">
        <v>1.022</v>
      </c>
      <c r="P9" s="104" t="n">
        <v>1.021</v>
      </c>
      <c r="Q9" s="104" t="n">
        <v>1.021</v>
      </c>
      <c r="R9" s="104" t="n">
        <v>1.02</v>
      </c>
      <c r="S9" s="104" t="n">
        <v>1.019</v>
      </c>
      <c r="T9" s="104" t="n">
        <v>1.018</v>
      </c>
      <c r="U9" s="104" t="n">
        <v>1.017</v>
      </c>
      <c r="V9" s="104" t="n">
        <v>1.016</v>
      </c>
      <c r="W9" s="104" t="n">
        <v>1.014</v>
      </c>
      <c r="X9" s="104" t="n">
        <v>1.014</v>
      </c>
      <c r="Y9" s="104" t="n">
        <v>1.014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 t="n">
        <v>0.008559421270000001</v>
      </c>
      <c r="G10" s="104" t="n">
        <v>2.64</v>
      </c>
      <c r="H10" s="35" t="n">
        <v>0.0005</v>
      </c>
      <c r="I10" s="35" t="n">
        <v>2</v>
      </c>
      <c r="J10" s="35" t="n">
        <v>1</v>
      </c>
      <c r="K10" s="36" t="n">
        <v>0</v>
      </c>
      <c r="L10" s="35" t="n">
        <v>0.3</v>
      </c>
      <c r="M10" s="104" t="n">
        <v>1.023</v>
      </c>
      <c r="N10" s="104" t="n">
        <v>1.023</v>
      </c>
      <c r="O10" s="104" t="n">
        <v>1.022</v>
      </c>
      <c r="P10" s="104" t="n">
        <v>1.021</v>
      </c>
      <c r="Q10" s="104" t="n">
        <v>1.021</v>
      </c>
      <c r="R10" s="104" t="n">
        <v>1.02</v>
      </c>
      <c r="S10" s="104" t="n">
        <v>1.019</v>
      </c>
      <c r="T10" s="104" t="n">
        <v>1.018</v>
      </c>
      <c r="U10" s="104" t="n">
        <v>1.016</v>
      </c>
      <c r="V10" s="104" t="n">
        <v>1.015</v>
      </c>
      <c r="W10" s="104" t="n">
        <v>1.014</v>
      </c>
      <c r="X10" s="104" t="n">
        <v>1.013</v>
      </c>
      <c r="Y10" s="104" t="n">
        <v>1.013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 t="n">
        <v>0.008559421270000001</v>
      </c>
      <c r="G11" s="104" t="n">
        <v>2.61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4" t="n">
        <v>1.01</v>
      </c>
      <c r="N11" s="104" t="n">
        <v>1.01</v>
      </c>
      <c r="O11" s="104" t="n">
        <v>1.01</v>
      </c>
      <c r="P11" s="104" t="n">
        <v>1.01</v>
      </c>
      <c r="Q11" s="104" t="n">
        <v>1.01</v>
      </c>
      <c r="R11" s="104" t="n">
        <v>1.01</v>
      </c>
      <c r="S11" s="104" t="n">
        <v>1.009</v>
      </c>
      <c r="T11" s="104" t="n">
        <v>1.009</v>
      </c>
      <c r="U11" s="104" t="n">
        <v>1.009</v>
      </c>
      <c r="V11" s="104" t="n">
        <v>1.009</v>
      </c>
      <c r="W11" s="104" t="n">
        <v>1.008</v>
      </c>
      <c r="X11" s="104" t="n">
        <v>1.008</v>
      </c>
      <c r="Y11" s="104" t="n">
        <v>1.008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3" t="n">
        <v>0.008559421270000001</v>
      </c>
      <c r="G12" s="104" t="n">
        <v>2.62</v>
      </c>
      <c r="H12" s="35" t="n">
        <v>0.0005</v>
      </c>
      <c r="I12" s="35" t="n">
        <v>2</v>
      </c>
      <c r="J12" s="35" t="n">
        <v>1</v>
      </c>
      <c r="K12" s="36" t="n">
        <v>0</v>
      </c>
      <c r="L12" s="35" t="n">
        <v>0.3</v>
      </c>
      <c r="M12" s="104" t="n">
        <v>1.011</v>
      </c>
      <c r="N12" s="104" t="n">
        <v>1.011</v>
      </c>
      <c r="O12" s="104" t="n">
        <v>1.01</v>
      </c>
      <c r="P12" s="104" t="n">
        <v>1.01</v>
      </c>
      <c r="Q12" s="104" t="n">
        <v>1.01</v>
      </c>
      <c r="R12" s="104" t="n">
        <v>1.01</v>
      </c>
      <c r="S12" s="104" t="n">
        <v>1.01</v>
      </c>
      <c r="T12" s="104" t="n">
        <v>1.01</v>
      </c>
      <c r="U12" s="104" t="n">
        <v>1.009</v>
      </c>
      <c r="V12" s="104" t="n">
        <v>1.009</v>
      </c>
      <c r="W12" s="104" t="n">
        <v>1.009</v>
      </c>
      <c r="X12" s="104" t="n">
        <v>1.008</v>
      </c>
      <c r="Y12" s="104" t="n">
        <v>1.008</v>
      </c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3">
        <f>(0.000000002615*E13^4) - (0.00000030607*E13^3) + (0.000016427499*E13^2) - (0.000618546309*E13) + 0.017919182437</f>
        <v/>
      </c>
      <c r="G13" s="104" t="n"/>
      <c r="H13" s="35" t="n">
        <v>0.0005</v>
      </c>
      <c r="I13" s="35" t="n">
        <v>1</v>
      </c>
      <c r="J13" s="35" t="n">
        <v>2</v>
      </c>
      <c r="K13" s="36">
        <f>(E13-27)*0.25</f>
        <v/>
      </c>
      <c r="L13" s="35" t="n">
        <v>0.3</v>
      </c>
      <c r="M13" s="104" t="n"/>
      <c r="N13" s="104" t="n"/>
      <c r="O13" s="104" t="n"/>
      <c r="P13" s="104" t="n"/>
      <c r="Q13" s="104" t="n"/>
      <c r="R13" s="104" t="n"/>
      <c r="S13" s="104" t="n"/>
      <c r="T13" s="104" t="n"/>
      <c r="U13" s="104" t="n"/>
      <c r="V13" s="104" t="n"/>
      <c r="W13" s="104" t="n"/>
      <c r="X13" s="104" t="n"/>
      <c r="Y13" s="104" t="n"/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abSelected="1" zoomScale="130" zoomScaleNormal="130" workbookViewId="0">
      <selection activeCell="H22" sqref="H22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6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7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6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>
        <v>0.6200000000000045</v>
      </c>
      <c r="AU3" s="52" t="n">
        <v>30.45999999999999</v>
      </c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>
        <v>0.125</v>
      </c>
      <c r="AU4" s="52" t="n">
        <v>37.18</v>
      </c>
      <c r="AV4" s="52" t="n">
        <v>36.0421006854577</v>
      </c>
      <c r="AW4" s="52" t="n">
        <v>26.65289931454231</v>
      </c>
    </row>
    <row r="5" s="41">
      <c r="A5" s="53" t="n">
        <v>3</v>
      </c>
      <c r="B5" s="53">
        <f>B4</f>
        <v/>
      </c>
      <c r="C5" s="49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>
        <v>0.2900000000000063</v>
      </c>
      <c r="AU5" s="52" t="n">
        <v>25.97</v>
      </c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>
        <v>0.5300000000000011</v>
      </c>
      <c r="AU6" s="52" t="n">
        <v>32.075</v>
      </c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>
        <v>0.9200000000000017</v>
      </c>
      <c r="AU7" s="52" t="n">
        <v>24.02</v>
      </c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>
        <v>1.069999999999993</v>
      </c>
      <c r="AU8" s="52" t="n">
        <v>90.84</v>
      </c>
      <c r="AV8" s="52" t="n"/>
      <c r="AW8" s="52" t="n"/>
    </row>
    <row r="9" s="41">
      <c r="A9" s="53" t="n">
        <v>7</v>
      </c>
      <c r="B9" s="53">
        <f>B8</f>
        <v/>
      </c>
      <c r="C9" s="49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>
        <v>12.16</v>
      </c>
      <c r="AU9" s="54" t="n">
        <v>55.74000000000001</v>
      </c>
      <c r="AV9" s="54" t="n"/>
      <c r="AW9" s="54" t="n"/>
    </row>
    <row r="10" s="41">
      <c r="A10" s="53" t="n">
        <v>8</v>
      </c>
      <c r="B10" s="53">
        <f>B9</f>
        <v/>
      </c>
      <c r="C10" s="49">
        <f>GSD!F12</f>
        <v/>
      </c>
      <c r="D10" s="105" t="n">
        <v>4.75</v>
      </c>
      <c r="E10" s="105" t="n">
        <v>2</v>
      </c>
      <c r="F10" s="105" t="n">
        <v>1.18</v>
      </c>
      <c r="G10" s="105" t="n">
        <v>0.6</v>
      </c>
      <c r="H10" s="105" t="n">
        <v>0.425</v>
      </c>
      <c r="I10" s="105" t="n">
        <v>0.3</v>
      </c>
      <c r="J10" s="105" t="n">
        <v>0.15</v>
      </c>
      <c r="K10" s="105" t="n">
        <v>0.075</v>
      </c>
      <c r="L10" s="106">
        <f>HYD!Z12</f>
        <v/>
      </c>
      <c r="M10" s="106">
        <f>HYD!AA12</f>
        <v/>
      </c>
      <c r="N10" s="106">
        <f>HYD!AB12</f>
        <v/>
      </c>
      <c r="O10" s="106">
        <f>HYD!AC12</f>
        <v/>
      </c>
      <c r="P10" s="106">
        <f>HYD!AD12</f>
        <v/>
      </c>
      <c r="Q10" s="106">
        <f>HYD!AE12</f>
        <v/>
      </c>
      <c r="R10" s="106">
        <f>HYD!AF12</f>
        <v/>
      </c>
      <c r="S10" s="106">
        <f>HYD!AG12</f>
        <v/>
      </c>
      <c r="T10" s="106">
        <f>HYD!AH12</f>
        <v/>
      </c>
      <c r="U10" s="106">
        <f>HYD!AI12</f>
        <v/>
      </c>
      <c r="V10" s="106">
        <f>HYD!AJ12</f>
        <v/>
      </c>
      <c r="W10" s="106">
        <f>HYD!AK12</f>
        <v/>
      </c>
      <c r="X10" s="106">
        <f>HYD!AL12</f>
        <v/>
      </c>
      <c r="Y10" s="52">
        <f>GSD!S12</f>
        <v/>
      </c>
      <c r="Z10" s="52">
        <f>GSD!T12</f>
        <v/>
      </c>
      <c r="AA10" s="52">
        <f>GSD!U12</f>
        <v/>
      </c>
      <c r="AB10" s="52">
        <f>GSD!V12</f>
        <v/>
      </c>
      <c r="AC10" s="52">
        <f>GSD!W12</f>
        <v/>
      </c>
      <c r="AD10" s="52">
        <f>GSD!X12</f>
        <v/>
      </c>
      <c r="AE10" s="52">
        <f>GSD!Y12</f>
        <v/>
      </c>
      <c r="AF10" s="52">
        <f>GSD!Z12</f>
        <v/>
      </c>
      <c r="AG10" s="52">
        <f>HYD!AM12</f>
        <v/>
      </c>
      <c r="AH10" s="52">
        <f>HYD!AN12</f>
        <v/>
      </c>
      <c r="AI10" s="52">
        <f>HYD!AO12</f>
        <v/>
      </c>
      <c r="AJ10" s="52">
        <f>HYD!AP12</f>
        <v/>
      </c>
      <c r="AK10" s="52">
        <f>HYD!AQ12</f>
        <v/>
      </c>
      <c r="AL10" s="52">
        <f>HYD!AR12</f>
        <v/>
      </c>
      <c r="AM10" s="52">
        <f>HYD!AS12</f>
        <v/>
      </c>
      <c r="AN10" s="52">
        <f>HYD!AT12</f>
        <v/>
      </c>
      <c r="AO10" s="52">
        <f>HYD!AU12</f>
        <v/>
      </c>
      <c r="AP10" s="52">
        <f>HYD!AV12</f>
        <v/>
      </c>
      <c r="AQ10" s="52">
        <f>HYD!AW12</f>
        <v/>
      </c>
      <c r="AR10" s="52">
        <f>HYD!AX12</f>
        <v/>
      </c>
      <c r="AS10" s="52">
        <f>HYD!AY12</f>
        <v/>
      </c>
      <c r="AT10" s="54" t="n">
        <v>8.210000000000008</v>
      </c>
      <c r="AU10" s="54" t="n">
        <v>58.09999999999999</v>
      </c>
      <c r="AV10" s="54" t="n"/>
      <c r="AW10" s="54" t="n"/>
    </row>
    <row r="11" s="41">
      <c r="A11" s="53" t="n">
        <v>9</v>
      </c>
      <c r="B11" s="53">
        <f>B10</f>
        <v/>
      </c>
      <c r="C11" s="49">
        <f>GSD!F13</f>
        <v/>
      </c>
      <c r="D11" s="105" t="n">
        <v>4.75</v>
      </c>
      <c r="E11" s="105" t="n">
        <v>2</v>
      </c>
      <c r="F11" s="105" t="n">
        <v>1.18</v>
      </c>
      <c r="G11" s="105" t="n">
        <v>0.6</v>
      </c>
      <c r="H11" s="105" t="n">
        <v>0.425</v>
      </c>
      <c r="I11" s="105" t="n">
        <v>0.3</v>
      </c>
      <c r="J11" s="105" t="n">
        <v>0.15</v>
      </c>
      <c r="K11" s="105" t="n">
        <v>0.075</v>
      </c>
      <c r="L11" s="106">
        <f>HYD!Z13</f>
        <v/>
      </c>
      <c r="M11" s="106">
        <f>HYD!AA13</f>
        <v/>
      </c>
      <c r="N11" s="106">
        <f>HYD!AB13</f>
        <v/>
      </c>
      <c r="O11" s="106">
        <f>HYD!AC13</f>
        <v/>
      </c>
      <c r="P11" s="106">
        <f>HYD!AD13</f>
        <v/>
      </c>
      <c r="Q11" s="106">
        <f>HYD!AE13</f>
        <v/>
      </c>
      <c r="R11" s="106">
        <f>HYD!AF13</f>
        <v/>
      </c>
      <c r="S11" s="106">
        <f>HYD!AG13</f>
        <v/>
      </c>
      <c r="T11" s="106">
        <f>HYD!AH13</f>
        <v/>
      </c>
      <c r="U11" s="106">
        <f>HYD!AI13</f>
        <v/>
      </c>
      <c r="V11" s="106">
        <f>HYD!AJ13</f>
        <v/>
      </c>
      <c r="W11" s="106">
        <f>HYD!AK13</f>
        <v/>
      </c>
      <c r="X11" s="106">
        <f>HYD!AL13</f>
        <v/>
      </c>
      <c r="Y11" s="52">
        <f>GSD!S13</f>
        <v/>
      </c>
      <c r="Z11" s="52">
        <f>GSD!T13</f>
        <v/>
      </c>
      <c r="AA11" s="52">
        <f>GSD!U13</f>
        <v/>
      </c>
      <c r="AB11" s="52">
        <f>GSD!V13</f>
        <v/>
      </c>
      <c r="AC11" s="52">
        <f>GSD!W13</f>
        <v/>
      </c>
      <c r="AD11" s="52">
        <f>GSD!X13</f>
        <v/>
      </c>
      <c r="AE11" s="52">
        <f>GSD!Y13</f>
        <v/>
      </c>
      <c r="AF11" s="52">
        <f>GSD!Z13</f>
        <v/>
      </c>
      <c r="AG11" s="52">
        <f>HYD!AM13</f>
        <v/>
      </c>
      <c r="AH11" s="52">
        <f>HYD!AN13</f>
        <v/>
      </c>
      <c r="AI11" s="52">
        <f>HYD!AO13</f>
        <v/>
      </c>
      <c r="AJ11" s="52">
        <f>HYD!AP13</f>
        <v/>
      </c>
      <c r="AK11" s="52">
        <f>HYD!AQ13</f>
        <v/>
      </c>
      <c r="AL11" s="52">
        <f>HYD!AR13</f>
        <v/>
      </c>
      <c r="AM11" s="52">
        <f>HYD!AS13</f>
        <v/>
      </c>
      <c r="AN11" s="52">
        <f>HYD!AT13</f>
        <v/>
      </c>
      <c r="AO11" s="52">
        <f>HYD!AU13</f>
        <v/>
      </c>
      <c r="AP11" s="52">
        <f>HYD!AV13</f>
        <v/>
      </c>
      <c r="AQ11" s="52">
        <f>HYD!AW13</f>
        <v/>
      </c>
      <c r="AR11" s="52">
        <f>HYD!AX13</f>
        <v/>
      </c>
      <c r="AS11" s="52">
        <f>HYD!AY13</f>
        <v/>
      </c>
      <c r="AT11" s="54" t="n">
        <v>25.31999999999999</v>
      </c>
      <c r="AU11" s="54" t="n">
        <v>43.66000000000001</v>
      </c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2026-09-21T01:28:11Z</dcterms:modified>
  <cp:lastModifiedBy>baps</cp:lastModifiedBy>
</cp:coreProperties>
</file>