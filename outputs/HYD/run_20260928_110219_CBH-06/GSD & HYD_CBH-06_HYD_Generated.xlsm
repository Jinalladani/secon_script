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0730" windowHeight="1104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99.79000000000001</v>
                </pt>
                <pt idx="1">
                  <v>99.03</v>
                </pt>
                <pt idx="2">
                  <v>63.52</v>
                </pt>
                <pt idx="3">
                  <v>45.35</v>
                </pt>
                <pt idx="4">
                  <v>40.66</v>
                </pt>
                <pt idx="5">
                  <v>26.59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98.91</v>
                </pt>
                <pt idx="1">
                  <v>96.86</v>
                </pt>
                <pt idx="2">
                  <v>85.815</v>
                </pt>
                <pt idx="3">
                  <v>77.86</v>
                </pt>
                <pt idx="4">
                  <v>76.61</v>
                </pt>
                <pt idx="5">
                  <v>71.28999999999999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99.75</v>
                </pt>
                <pt idx="1">
                  <v>99.02</v>
                </pt>
                <pt idx="2">
                  <v>62.74999999999999</v>
                </pt>
                <pt idx="3">
                  <v>38.52</v>
                </pt>
                <pt idx="4">
                  <v>36.38999999999999</v>
                </pt>
                <pt idx="5">
                  <v>25.31999999999999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100</v>
                </pt>
                <pt idx="1">
                  <v>99.75</v>
                </pt>
                <pt idx="2">
                  <v>99.2</v>
                </pt>
                <pt idx="3">
                  <v>80.11</v>
                </pt>
                <pt idx="4">
                  <v>68.99000000000001</v>
                </pt>
                <pt idx="5">
                  <v>39.68000000000001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99.37</v>
                </pt>
                <pt idx="1">
                  <v>98.31999999999999</v>
                </pt>
                <pt idx="2">
                  <v>96.22</v>
                </pt>
                <pt idx="3">
                  <v>70.27</v>
                </pt>
                <pt idx="4">
                  <v>59.84</v>
                </pt>
                <pt idx="5">
                  <v>40.09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99.09</v>
                </pt>
                <pt idx="1">
                  <v>98.2</v>
                </pt>
                <pt idx="2">
                  <v>71.59</v>
                </pt>
                <pt idx="3">
                  <v>46.47</v>
                </pt>
                <pt idx="4">
                  <v>40.5</v>
                </pt>
                <pt idx="5">
                  <v>28.48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99.81999999999999</v>
                </pt>
                <pt idx="1">
                  <v>99.36</v>
                </pt>
                <pt idx="2">
                  <v>75.28999999999999</v>
                </pt>
                <pt idx="3">
                  <v>52.07999999999999</v>
                </pt>
                <pt idx="4">
                  <v>46.55</v>
                </pt>
                <pt idx="5">
                  <v>30.62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99.79000000000001</v>
                </pt>
                <pt idx="1">
                  <v>99.03</v>
                </pt>
                <pt idx="2">
                  <v>63.52</v>
                </pt>
                <pt idx="3">
                  <v>45.35</v>
                </pt>
                <pt idx="4">
                  <v>40.66</v>
                </pt>
                <pt idx="5">
                  <v>26.59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98.91</v>
                </pt>
                <pt idx="1">
                  <v>96.86</v>
                </pt>
                <pt idx="2">
                  <v>85.815</v>
                </pt>
                <pt idx="3">
                  <v>77.86</v>
                </pt>
                <pt idx="4">
                  <v>76.61</v>
                </pt>
                <pt idx="5">
                  <v>71.28999999999999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99.75</v>
                </pt>
                <pt idx="1">
                  <v>99.02</v>
                </pt>
                <pt idx="2">
                  <v>62.74999999999999</v>
                </pt>
                <pt idx="3">
                  <v>38.52</v>
                </pt>
                <pt idx="4">
                  <v>36.38999999999999</v>
                </pt>
                <pt idx="5">
                  <v>25.31999999999999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100</v>
                </pt>
                <pt idx="1">
                  <v>99.75</v>
                </pt>
                <pt idx="2">
                  <v>99.2</v>
                </pt>
                <pt idx="3">
                  <v>80.11</v>
                </pt>
                <pt idx="4">
                  <v>68.99000000000001</v>
                </pt>
                <pt idx="5">
                  <v>39.68000000000001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99.37</v>
                </pt>
                <pt idx="1">
                  <v>98.31999999999999</v>
                </pt>
                <pt idx="2">
                  <v>96.22</v>
                </pt>
                <pt idx="3">
                  <v>70.27</v>
                </pt>
                <pt idx="4">
                  <v>59.84</v>
                </pt>
                <pt idx="5">
                  <v>40.09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99.09</v>
                </pt>
                <pt idx="1">
                  <v>98.2</v>
                </pt>
                <pt idx="2">
                  <v>71.59</v>
                </pt>
                <pt idx="3">
                  <v>46.47</v>
                </pt>
                <pt idx="4">
                  <v>40.5</v>
                </pt>
                <pt idx="5">
                  <v>28.48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99.81999999999999</v>
                </pt>
                <pt idx="1">
                  <v>99.36</v>
                </pt>
                <pt idx="2">
                  <v>75.28999999999999</v>
                </pt>
                <pt idx="3">
                  <v>52.07999999999999</v>
                </pt>
                <pt idx="4">
                  <v>46.55</v>
                </pt>
                <pt idx="5">
                  <v>30.62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3"/>
  <sheetViews>
    <sheetView tabSelected="1" topLeftCell="A4" zoomScale="85" zoomScaleNormal="85" workbookViewId="0">
      <selection activeCell="E11" sqref="E11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4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0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0" t="inlineStr">
        <is>
          <t>% Passing</t>
        </is>
      </c>
      <c r="R2" s="77" t="n"/>
      <c r="S2" s="77" t="n"/>
      <c r="T2" s="77" t="n"/>
      <c r="U2" s="77" t="n"/>
      <c r="V2" s="78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3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3" t="inlineStr">
        <is>
          <t>Pan</t>
        </is>
      </c>
      <c r="Q3" s="51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0" t="inlineStr">
        <is>
          <t>(gm)</t>
        </is>
      </c>
      <c r="R4" s="77" t="n"/>
      <c r="S4" s="77" t="n"/>
      <c r="T4" s="77" t="n"/>
      <c r="U4" s="77" t="n"/>
      <c r="V4" s="78" t="n"/>
      <c r="W4" s="55" t="inlineStr">
        <is>
          <t>%</t>
        </is>
      </c>
      <c r="X4" s="77" t="n"/>
      <c r="Y4" s="78" t="n"/>
    </row>
    <row r="5" ht="30" customHeight="1">
      <c r="A5" s="55" t="n">
        <v>1</v>
      </c>
      <c r="B5" s="41" t="inlineStr">
        <is>
          <t>CBH-06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0.21</v>
      </c>
      <c r="K5" s="25" t="n">
        <v>0.76</v>
      </c>
      <c r="L5" s="25" t="n">
        <v>35.51</v>
      </c>
      <c r="M5" s="25" t="n">
        <v>18.17</v>
      </c>
      <c r="N5" s="25" t="n">
        <v>4.69</v>
      </c>
      <c r="O5" s="25" t="n">
        <v>14.07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4" t="n"/>
      <c r="C6" s="84" t="n"/>
      <c r="D6" s="84" t="n"/>
      <c r="E6" s="43" t="inlineStr">
        <is>
          <t>UDS</t>
        </is>
      </c>
      <c r="F6" s="25" t="n">
        <v>1.5</v>
      </c>
      <c r="G6" s="43" t="n"/>
      <c r="H6" s="43" t="n">
        <v>200</v>
      </c>
      <c r="I6" s="25">
        <f>SUM(J6:O6)</f>
        <v/>
      </c>
      <c r="J6" s="25" t="n">
        <v>2.18</v>
      </c>
      <c r="K6" s="25" t="n">
        <v>4.1</v>
      </c>
      <c r="L6" s="25" t="n">
        <v>22.09</v>
      </c>
      <c r="M6" s="25" t="n">
        <v>15.91</v>
      </c>
      <c r="N6" s="25" t="n">
        <v>2.5</v>
      </c>
      <c r="O6" s="25" t="n">
        <v>10.64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4" t="n"/>
      <c r="C7" s="84" t="n"/>
      <c r="D7" s="84" t="n"/>
      <c r="E7" s="43" t="inlineStr">
        <is>
          <t>SPT</t>
        </is>
      </c>
      <c r="F7" s="25" t="n">
        <v>3.5</v>
      </c>
      <c r="G7" s="43" t="n"/>
      <c r="H7" s="43" t="n">
        <v>100</v>
      </c>
      <c r="I7" s="25">
        <f>SUM(J7:O7)</f>
        <v/>
      </c>
      <c r="J7" s="25" t="n">
        <v>0.25</v>
      </c>
      <c r="K7" s="25" t="n">
        <v>0.73</v>
      </c>
      <c r="L7" s="25" t="n">
        <v>36.27</v>
      </c>
      <c r="M7" s="25" t="n">
        <v>24.23</v>
      </c>
      <c r="N7" s="25" t="n">
        <v>2.13</v>
      </c>
      <c r="O7" s="25" t="n">
        <v>11.07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4" t="n"/>
      <c r="C8" s="84" t="n"/>
      <c r="D8" s="84" t="n"/>
      <c r="E8" s="43" t="inlineStr">
        <is>
          <t>DS</t>
        </is>
      </c>
      <c r="F8" s="25" t="n">
        <v>4.5</v>
      </c>
      <c r="G8" s="43" t="n"/>
      <c r="H8" s="43" t="n">
        <v>100</v>
      </c>
      <c r="I8" s="25">
        <f>SUM(J8:O8)</f>
        <v/>
      </c>
      <c r="J8" s="25" t="n">
        <v>0</v>
      </c>
      <c r="K8" s="25" t="n">
        <v>0.25</v>
      </c>
      <c r="L8" s="25" t="n">
        <v>0.55</v>
      </c>
      <c r="M8" s="25" t="n">
        <v>19.09</v>
      </c>
      <c r="N8" s="25" t="n">
        <v>11.12</v>
      </c>
      <c r="O8" s="25" t="n">
        <v>29.31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4" t="n"/>
      <c r="C9" s="84" t="n"/>
      <c r="D9" s="84" t="n"/>
      <c r="E9" s="43" t="inlineStr">
        <is>
          <t>SPT</t>
        </is>
      </c>
      <c r="F9" s="25" t="n">
        <v>6.5</v>
      </c>
      <c r="G9" s="43" t="n"/>
      <c r="H9" s="43" t="n">
        <v>100</v>
      </c>
      <c r="I9" s="25">
        <f>SUM(J9:O9)</f>
        <v/>
      </c>
      <c r="J9" s="25" t="n">
        <v>0.63</v>
      </c>
      <c r="K9" s="25" t="n">
        <v>1.05</v>
      </c>
      <c r="L9" s="25" t="n">
        <v>2.1</v>
      </c>
      <c r="M9" s="25" t="n">
        <v>25.95</v>
      </c>
      <c r="N9" s="25" t="n">
        <v>10.43</v>
      </c>
      <c r="O9" s="25" t="n">
        <v>19.75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4" t="n"/>
      <c r="C10" s="84" t="n"/>
      <c r="D10" s="84" t="n"/>
      <c r="E10" s="43" t="inlineStr">
        <is>
          <t>DS</t>
        </is>
      </c>
      <c r="F10" s="25" t="n">
        <v>7.5</v>
      </c>
      <c r="G10" s="43" t="n"/>
      <c r="H10" s="43" t="n">
        <v>100</v>
      </c>
      <c r="I10" s="25">
        <f>SUM(J10:O10)</f>
        <v/>
      </c>
      <c r="J10" s="25" t="n">
        <v>0.91</v>
      </c>
      <c r="K10" s="25" t="n">
        <v>0.89</v>
      </c>
      <c r="L10" s="25" t="n">
        <v>26.61</v>
      </c>
      <c r="M10" s="25" t="n">
        <v>25.12</v>
      </c>
      <c r="N10" s="25" t="n">
        <v>5.97</v>
      </c>
      <c r="O10" s="25" t="n">
        <v>12.02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4" t="n"/>
      <c r="C11" s="84" t="n"/>
      <c r="D11" s="84" t="n"/>
      <c r="E11" s="43" t="inlineStr">
        <is>
          <t>SPT</t>
        </is>
      </c>
      <c r="F11" s="25" t="n">
        <v>10.5</v>
      </c>
      <c r="G11" s="43" t="n"/>
      <c r="H11" s="43" t="n">
        <v>100</v>
      </c>
      <c r="I11" s="25">
        <f>SUM(J11:O11)</f>
        <v/>
      </c>
      <c r="J11" s="25" t="n">
        <v>0.18</v>
      </c>
      <c r="K11" s="25" t="n">
        <v>0.46</v>
      </c>
      <c r="L11" s="25" t="n">
        <v>24.07</v>
      </c>
      <c r="M11" s="25" t="n">
        <v>23.21</v>
      </c>
      <c r="N11" s="25" t="n">
        <v>5.53</v>
      </c>
      <c r="O11" s="25" t="n">
        <v>15.93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4" t="n"/>
      <c r="C12" s="84" t="n"/>
      <c r="D12" s="84" t="n"/>
      <c r="E12" s="43" t="inlineStr">
        <is>
          <t>SPT</t>
        </is>
      </c>
      <c r="F12" s="25" t="n">
        <v>12.5</v>
      </c>
      <c r="G12" s="43" t="n"/>
      <c r="H12" s="43" t="n">
        <v>100</v>
      </c>
      <c r="I12" s="25">
        <f>SUM(J12:O12)</f>
        <v/>
      </c>
      <c r="J12" s="25" t="n">
        <v>0.17</v>
      </c>
      <c r="K12" s="25" t="n">
        <v>0.75</v>
      </c>
      <c r="L12" s="25" t="n">
        <v>1.69</v>
      </c>
      <c r="M12" s="25" t="n">
        <v>29.93</v>
      </c>
      <c r="N12" s="25" t="n">
        <v>8.58</v>
      </c>
      <c r="O12" s="25" t="n">
        <v>21.73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55" t="n">
        <v>9</v>
      </c>
      <c r="B13" s="80" t="n"/>
      <c r="C13" s="80" t="n"/>
      <c r="D13" s="80" t="n"/>
      <c r="E13" s="43" t="inlineStr">
        <is>
          <t>SPT</t>
        </is>
      </c>
      <c r="F13" s="25" t="n">
        <v>15</v>
      </c>
      <c r="G13" s="43" t="n"/>
      <c r="H13" s="43" t="n">
        <v>100</v>
      </c>
      <c r="I13" s="25">
        <f>SUM(J13:O13)</f>
        <v/>
      </c>
      <c r="J13" s="25" t="n">
        <v>0.44</v>
      </c>
      <c r="K13" s="25" t="n">
        <v>0.73</v>
      </c>
      <c r="L13" s="25" t="n">
        <v>24.77</v>
      </c>
      <c r="M13" s="25" t="n">
        <v>20.3</v>
      </c>
      <c r="N13" s="25" t="n">
        <v>5.95</v>
      </c>
      <c r="O13" s="25" t="n">
        <v>19.13</v>
      </c>
      <c r="P13" s="25" t="n"/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D5:D13"/>
    <mergeCell ref="W2:W3"/>
    <mergeCell ref="B5:B13"/>
    <mergeCell ref="Q2:V2"/>
    <mergeCell ref="A1:Y1"/>
    <mergeCell ref="W4:Y4"/>
    <mergeCell ref="B2:B4"/>
    <mergeCell ref="D2:D4"/>
    <mergeCell ref="C5:C13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1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3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3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4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7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7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1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1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 t="n">
        <v>0.008559421270000001</v>
      </c>
      <c r="G6" s="89" t="n">
        <v>2.7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89" t="n">
        <v>1.022</v>
      </c>
      <c r="N6" s="89" t="n">
        <v>1.021</v>
      </c>
      <c r="O6" s="89" t="n">
        <v>1.02</v>
      </c>
      <c r="P6" s="89" t="n">
        <v>1.019</v>
      </c>
      <c r="Q6" s="89" t="n">
        <v>1.018</v>
      </c>
      <c r="R6" s="89" t="n">
        <v>1.017</v>
      </c>
      <c r="S6" s="89" t="n">
        <v>1.016</v>
      </c>
      <c r="T6" s="89" t="n">
        <v>1.014</v>
      </c>
      <c r="U6" s="89" t="n">
        <v>1.013</v>
      </c>
      <c r="V6" s="89" t="n">
        <v>1.012</v>
      </c>
      <c r="W6" s="89" t="n">
        <v>1.01</v>
      </c>
      <c r="X6" s="89" t="n">
        <v>1.01</v>
      </c>
      <c r="Y6" s="89" t="n">
        <v>1.01</v>
      </c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>
        <f>(0.000000002615*E7^4) - (0.00000030607*E7^3) + (0.000016427499*E7^2) - (0.000618546309*E7) + 0.017919182437</f>
        <v/>
      </c>
      <c r="G7" s="89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 t="n">
        <v>0.008559421270000001</v>
      </c>
      <c r="G8" s="89" t="n">
        <v>2.69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89" t="n">
        <v>1.013</v>
      </c>
      <c r="N8" s="89" t="n">
        <v>1.012</v>
      </c>
      <c r="O8" s="89" t="n">
        <v>1.012</v>
      </c>
      <c r="P8" s="89" t="n">
        <v>1.011</v>
      </c>
      <c r="Q8" s="89" t="n">
        <v>1.011</v>
      </c>
      <c r="R8" s="89" t="n">
        <v>1.01</v>
      </c>
      <c r="S8" s="89" t="n">
        <v>1.009</v>
      </c>
      <c r="T8" s="89" t="n">
        <v>1.009</v>
      </c>
      <c r="U8" s="89" t="n">
        <v>1.008</v>
      </c>
      <c r="V8" s="89" t="n">
        <v>1.008</v>
      </c>
      <c r="W8" s="89" t="n">
        <v>1.007</v>
      </c>
      <c r="X8" s="89" t="n">
        <v>1.007</v>
      </c>
      <c r="Y8" s="89" t="n">
        <v>1.007</v>
      </c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88" t="n">
        <v>0.008559421270000001</v>
      </c>
      <c r="G9" s="89" t="n">
        <v>2.65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89" t="n">
        <v>1.013</v>
      </c>
      <c r="N9" s="89" t="n">
        <v>1.012</v>
      </c>
      <c r="O9" s="89" t="n">
        <v>1.012</v>
      </c>
      <c r="P9" s="89" t="n">
        <v>1.011</v>
      </c>
      <c r="Q9" s="89" t="n">
        <v>1.011</v>
      </c>
      <c r="R9" s="89" t="n">
        <v>1.01</v>
      </c>
      <c r="S9" s="89" t="n">
        <v>1.01</v>
      </c>
      <c r="T9" s="89" t="n">
        <v>1.009</v>
      </c>
      <c r="U9" s="89" t="n">
        <v>1.009</v>
      </c>
      <c r="V9" s="89" t="n">
        <v>1.008</v>
      </c>
      <c r="W9" s="89" t="n">
        <v>1.007</v>
      </c>
      <c r="X9" s="89" t="n">
        <v>1.007</v>
      </c>
      <c r="Y9" s="89" t="n">
        <v>1.007</v>
      </c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88">
        <f>(0.000000002615*E10^4) - (0.00000030607*E10^3) + (0.000016427499*E10^2) - (0.000618546309*E10) + 0.017919182437</f>
        <v/>
      </c>
      <c r="G10" s="89" t="n"/>
      <c r="H10" s="31" t="n">
        <v>0.0005</v>
      </c>
      <c r="I10" s="31" t="n"/>
      <c r="J10" s="31" t="n"/>
      <c r="K10" s="32">
        <f>(E10-27)*0.25</f>
        <v/>
      </c>
      <c r="L10" s="31" t="n">
        <v>0.3</v>
      </c>
      <c r="M10" s="89" t="n"/>
      <c r="N10" s="89" t="n"/>
      <c r="O10" s="89" t="n"/>
      <c r="P10" s="89" t="n"/>
      <c r="Q10" s="89" t="n"/>
      <c r="R10" s="89" t="n"/>
      <c r="S10" s="89" t="n"/>
      <c r="T10" s="89" t="n"/>
      <c r="U10" s="89" t="n"/>
      <c r="V10" s="89" t="n"/>
      <c r="W10" s="89" t="n"/>
      <c r="X10" s="89" t="n"/>
      <c r="Y10" s="89" t="n"/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88">
        <f>(0.000000002615*E11^4) - (0.00000030607*E11^3) + (0.000016427499*E11^2) - (0.000618546309*E11) + 0.017919182437</f>
        <v/>
      </c>
      <c r="G11" s="89" t="n"/>
      <c r="H11" s="31" t="n">
        <v>0.0005</v>
      </c>
      <c r="I11" s="31" t="n"/>
      <c r="J11" s="31" t="n"/>
      <c r="K11" s="32">
        <f>(E11-27)*0.25</f>
        <v/>
      </c>
      <c r="L11" s="31" t="n">
        <v>0.3</v>
      </c>
      <c r="M11" s="89" t="n"/>
      <c r="N11" s="89" t="n"/>
      <c r="O11" s="89" t="n"/>
      <c r="P11" s="89" t="n"/>
      <c r="Q11" s="89" t="n"/>
      <c r="R11" s="89" t="n"/>
      <c r="S11" s="89" t="n"/>
      <c r="T11" s="89" t="n"/>
      <c r="U11" s="89" t="n"/>
      <c r="V11" s="89" t="n"/>
      <c r="W11" s="89" t="n"/>
      <c r="X11" s="89" t="n"/>
      <c r="Y11" s="89" t="n"/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GSD!#REF!</f>
        <v/>
      </c>
      <c r="D12" s="31">
        <f>GSD!#REF!</f>
        <v/>
      </c>
      <c r="E12" s="32" t="n">
        <v>27</v>
      </c>
      <c r="F12" s="88" t="n">
        <v>0.008559421270000001</v>
      </c>
      <c r="G12" s="89" t="n">
        <v>2.69</v>
      </c>
      <c r="H12" s="31" t="n">
        <v>0.0005</v>
      </c>
      <c r="I12" s="31" t="n">
        <v>2</v>
      </c>
      <c r="J12" s="31" t="n">
        <v>2</v>
      </c>
      <c r="K12" s="32" t="n">
        <v>0</v>
      </c>
      <c r="L12" s="31" t="n">
        <v>0.3</v>
      </c>
      <c r="M12" s="89" t="n">
        <v>1.012</v>
      </c>
      <c r="N12" s="89" t="n">
        <v>1.011</v>
      </c>
      <c r="O12" s="89" t="n">
        <v>1.011</v>
      </c>
      <c r="P12" s="89" t="n">
        <v>1.011</v>
      </c>
      <c r="Q12" s="89" t="n">
        <v>1.01</v>
      </c>
      <c r="R12" s="89" t="n">
        <v>1.01</v>
      </c>
      <c r="S12" s="89" t="n">
        <v>1.009</v>
      </c>
      <c r="T12" s="89" t="n">
        <v>1.009</v>
      </c>
      <c r="U12" s="89" t="n">
        <v>1.008</v>
      </c>
      <c r="V12" s="89" t="n">
        <v>1.007</v>
      </c>
      <c r="W12" s="89" t="n">
        <v>1.007</v>
      </c>
      <c r="X12" s="89" t="n">
        <v>1.007</v>
      </c>
      <c r="Y12" s="89" t="n">
        <v>1.007</v>
      </c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GSD!#REF!</f>
        <v/>
      </c>
      <c r="D13" s="31">
        <f>GSD!#REF!</f>
        <v/>
      </c>
      <c r="E13" s="32" t="n">
        <v>27</v>
      </c>
      <c r="F13" s="88">
        <f>(0.000000002615*E13^4) - (0.00000030607*E13^3) + (0.000016427499*E13^2) - (0.000618546309*E13) + 0.017919182437</f>
        <v/>
      </c>
      <c r="G13" s="89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GSD!F10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GSD!F11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2026-09-28T05:32:33Z</dcterms:modified>
  <cp:lastModifiedBy>baps</cp:lastModifiedBy>
</cp:coreProperties>
</file>