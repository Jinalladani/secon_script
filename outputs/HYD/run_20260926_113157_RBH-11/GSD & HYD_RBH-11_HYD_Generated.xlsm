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3930" yWindow="2265" windowWidth="21600" windowHeight="11295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"/>
    <numFmt numFmtId="167" formatCode="0.0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17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1" fillId="3" borderId="1" applyAlignment="1" pivotButton="0" quotePrefix="0" xfId="0">
      <alignment horizontal="center" vertical="center"/>
    </xf>
    <xf numFmtId="167" fontId="11" fillId="3" borderId="1" applyAlignment="1" pivotButton="0" quotePrefix="0" xfId="0">
      <alignment horizontal="center" vertical="center"/>
    </xf>
    <xf numFmtId="164" fontId="11" fillId="3" borderId="1" applyAlignment="1" pivotButton="0" quotePrefix="0" xfId="0">
      <alignment horizontal="center" vertical="center"/>
    </xf>
    <xf numFmtId="2" fontId="9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164" fontId="2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167" fontId="11" fillId="4" borderId="1" applyAlignment="1" pivotButton="0" quotePrefix="0" xfId="0">
      <alignment horizontal="center" vertical="center"/>
    </xf>
    <xf numFmtId="164" fontId="11" fillId="4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9" fillId="4" borderId="0" applyAlignment="1" pivotButton="0" quotePrefix="0" xfId="0">
      <alignment horizontal="center" vertical="center"/>
    </xf>
    <xf numFmtId="0" fontId="0" fillId="4" borderId="0" pivotButton="0" quotePrefix="0" xfId="0"/>
    <xf numFmtId="0" fontId="0" fillId="0" borderId="0" applyAlignment="1" pivotButton="0" quotePrefix="0" xfId="0">
      <alignment horizont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4" fontId="11" fillId="3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11" fillId="4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98.97</v>
                </pt>
                <pt idx="1">
                  <v>98.48</v>
                </pt>
                <pt idx="2">
                  <v>79.83</v>
                </pt>
                <pt idx="3">
                  <v>32.01000000000001</v>
                </pt>
                <pt idx="4">
                  <v>24.81</v>
                </pt>
                <pt idx="5">
                  <v>21.27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98.78</v>
                </pt>
                <pt idx="1">
                  <v>98.255</v>
                </pt>
                <pt idx="2">
                  <v>96.855</v>
                </pt>
                <pt idx="3">
                  <v>94.09</v>
                </pt>
                <pt idx="4">
                  <v>93.62</v>
                </pt>
                <pt idx="5">
                  <v>93.31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4.5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99.5</v>
                </pt>
                <pt idx="1">
                  <v>98.285</v>
                </pt>
                <pt idx="2">
                  <v>79.27500000000001</v>
                </pt>
                <pt idx="3">
                  <v>63.31</v>
                </pt>
                <pt idx="4">
                  <v>61.285</v>
                </pt>
                <pt idx="5">
                  <v>60.35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6.5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100</v>
                </pt>
                <pt idx="1">
                  <v>100</v>
                </pt>
                <pt idx="2">
                  <v>97.45999999999999</v>
                </pt>
                <pt idx="3">
                  <v>96.54000000000001</v>
                </pt>
                <pt idx="4">
                  <v>96.31</v>
                </pt>
                <pt idx="5">
                  <v>95.48999999999999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7.5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98.72499999999999</v>
                </pt>
                <pt idx="1">
                  <v>95.94</v>
                </pt>
                <pt idx="2">
                  <v>85.095</v>
                </pt>
                <pt idx="3">
                  <v>79.30500000000001</v>
                </pt>
                <pt idx="4">
                  <v>78.36499999999999</v>
                </pt>
                <pt idx="5">
                  <v>77.56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9.5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100</v>
                </pt>
                <pt idx="1">
                  <v>100</v>
                </pt>
                <pt idx="2">
                  <v>99.47</v>
                </pt>
                <pt idx="3">
                  <v>96.43000000000001</v>
                </pt>
                <pt idx="4">
                  <v>94.94</v>
                </pt>
                <pt idx="5">
                  <v>91.98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99.54000000000001</v>
                </pt>
                <pt idx="1">
                  <v>98.125</v>
                </pt>
                <pt idx="2">
                  <v>91.28</v>
                </pt>
                <pt idx="3">
                  <v>88.11</v>
                </pt>
                <pt idx="4">
                  <v>87.235</v>
                </pt>
                <pt idx="5">
                  <v>85.59999999999999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12.5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GSD!$Q$12:$V$12</f>
              <numCache>
                <formatCode>0.00</formatCode>
                <ptCount val="6"/>
                <pt idx="0">
                  <v>99.38</v>
                </pt>
                <pt idx="1">
                  <v>96.94</v>
                </pt>
                <pt idx="2">
                  <v>91.7</v>
                </pt>
                <pt idx="3">
                  <v>90.06999999999999</v>
                </pt>
                <pt idx="4">
                  <v>89.73</v>
                </pt>
                <pt idx="5">
                  <v>89.31999999999999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13.5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GSD!$Q$13:$V$13</f>
              <numCache>
                <formatCode>0.00</formatCode>
                <ptCount val="6"/>
                <pt idx="0">
                  <v>100</v>
                </pt>
                <pt idx="1">
                  <v>99.795</v>
                </pt>
                <pt idx="2">
                  <v>99.40000000000001</v>
                </pt>
                <pt idx="3">
                  <v>99.245</v>
                </pt>
                <pt idx="4">
                  <v>99.2</v>
                </pt>
                <pt idx="5">
                  <v>99.145</v>
                </pt>
              </numCache>
            </numRef>
          </yVal>
          <smooth val="1"/>
        </ser>
        <ser>
          <idx val="9"/>
          <order val="9"/>
          <tx>
            <strRef>
              <f>GSD!$F$14</f>
              <strCache>
                <ptCount val="1"/>
                <pt idx="0">
                  <v>15.5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GSD!$Q$14:$V$14</f>
              <numCache>
                <formatCode>0.00</formatCode>
                <ptCount val="6"/>
                <pt idx="0">
                  <v>97.81999999999999</v>
                </pt>
                <pt idx="1">
                  <v>96.09999999999999</v>
                </pt>
                <pt idx="2">
                  <v>93.20999999999999</v>
                </pt>
                <pt idx="3">
                  <v>92.84</v>
                </pt>
                <pt idx="4">
                  <v>92.73</v>
                </pt>
                <pt idx="5">
                  <v>92.59999999999999</v>
                </pt>
              </numCache>
            </numRef>
          </yVal>
          <smooth val="1"/>
        </ser>
        <ser>
          <idx val="10"/>
          <order val="10"/>
          <tx>
            <strRef>
              <f>GSD!$F$15</f>
              <strCache>
                <ptCount val="1"/>
                <pt idx="0">
                  <v>16.5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GSD!$Q$15:$V$15</f>
              <numCache>
                <formatCode>0.00</formatCode>
                <ptCount val="6"/>
                <pt idx="0">
                  <v>100</v>
                </pt>
                <pt idx="1">
                  <v>98.30500000000001</v>
                </pt>
                <pt idx="2">
                  <v>83.905</v>
                </pt>
                <pt idx="3">
                  <v>79.72499999999999</v>
                </pt>
                <pt idx="4">
                  <v>79.16</v>
                </pt>
                <pt idx="5">
                  <v>78.65000000000001</v>
                </pt>
              </numCache>
            </numRef>
          </yVal>
          <smooth val="1"/>
        </ser>
        <ser>
          <idx val="11"/>
          <order val="11"/>
          <tx>
            <strRef>
              <f>GSD!$F$16</f>
              <strCache>
                <ptCount val="1"/>
                <pt idx="0">
                  <v>17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GSD!$Q$16:$V$16</f>
              <numCache>
                <formatCode>0.00</formatCode>
                <ptCount val="6"/>
                <pt idx="0">
                  <v>94.52</v>
                </pt>
                <pt idx="1">
                  <v>88.56999999999999</v>
                </pt>
                <pt idx="2">
                  <v>82.5</v>
                </pt>
                <pt idx="3">
                  <v>81.76000000000001</v>
                </pt>
                <pt idx="4">
                  <v>81.63</v>
                </pt>
                <pt idx="5">
                  <v>81.48</v>
                </pt>
              </numCache>
            </numRef>
          </yVal>
          <smooth val="1"/>
        </ser>
        <ser>
          <idx val="12"/>
          <order val="12"/>
          <tx>
            <strRef>
              <f>GSD!$F$17</f>
              <strCache>
                <ptCount val="1"/>
                <pt idx="0">
                  <v>19.5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GSD!$Q$17:$V$17</f>
              <numCache>
                <formatCode>0.00</formatCode>
                <ptCount val="6"/>
                <pt idx="0">
                  <v>97.98</v>
                </pt>
                <pt idx="1">
                  <v>93.15000000000001</v>
                </pt>
                <pt idx="2">
                  <v>69.125</v>
                </pt>
                <pt idx="3">
                  <v>61.52</v>
                </pt>
                <pt idx="4">
                  <v>59.98</v>
                </pt>
                <pt idx="5">
                  <v>58.13500000000001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98.97</v>
                </pt>
                <pt idx="1">
                  <v>98.48</v>
                </pt>
                <pt idx="2">
                  <v>79.83</v>
                </pt>
                <pt idx="3">
                  <v>32.01000000000001</v>
                </pt>
                <pt idx="4">
                  <v>24.81</v>
                </pt>
                <pt idx="5">
                  <v>21.27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98.78</v>
                </pt>
                <pt idx="1">
                  <v>98.255</v>
                </pt>
                <pt idx="2">
                  <v>96.855</v>
                </pt>
                <pt idx="3">
                  <v>94.09</v>
                </pt>
                <pt idx="4">
                  <v>93.62</v>
                </pt>
                <pt idx="5">
                  <v>93.31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0.05887885652409839</v>
                </pt>
                <pt idx="7">
                  <formatCode>0.00000</formatCode>
                  <v>0.04163363871669976</v>
                </pt>
                <pt idx="8">
                  <formatCode>0.00000</formatCode>
                  <v>0.02943942826204919</v>
                </pt>
                <pt idx="9">
                  <formatCode>0.00000</formatCode>
                  <v>0.02110360643482038</v>
                </pt>
                <pt idx="10">
                  <formatCode>0.00000</formatCode>
                  <v>0.01566574158770124</v>
                </pt>
                <pt idx="11">
                  <formatCode>0.00000</formatCode>
                  <v>0.01157990391834507</v>
                </pt>
                <pt idx="12">
                  <formatCode>0.00000</formatCode>
                  <v>0.008188228586150476</v>
                </pt>
                <pt idx="13">
                  <formatCode>0.00000</formatCode>
                  <v>0.005858756362349211</v>
                </pt>
                <pt idx="14">
                  <formatCode>0.00000</formatCode>
                  <v>0.004142766353136956</v>
                </pt>
                <pt idx="15">
                  <formatCode>0.00000</formatCode>
                  <v>0.002963381030900725</v>
                </pt>
                <pt idx="16">
                  <formatCode>0.00000</formatCode>
                  <v>0.002119197694914588</v>
                </pt>
                <pt idx="17">
                  <formatCode>0.00000</formatCode>
                  <v>0.001498499060749006</v>
                </pt>
                <pt idx="18">
                  <formatCode>0.00000</formatCode>
                  <v>0.001237091235265412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99.5</v>
                </pt>
                <pt idx="1">
                  <v>98.285</v>
                </pt>
                <pt idx="2">
                  <v>79.27500000000001</v>
                </pt>
                <pt idx="3">
                  <v>63.31</v>
                </pt>
                <pt idx="4">
                  <v>61.285</v>
                </pt>
                <pt idx="5">
                  <v>60.35</v>
                </pt>
                <pt idx="6">
                  <v>59.40158823529381</v>
                </pt>
                <pt idx="7">
                  <v>59.40158823529381</v>
                </pt>
                <pt idx="8">
                  <v>59.40158823529381</v>
                </pt>
                <pt idx="9">
                  <v>56.22511764705887</v>
                </pt>
                <pt idx="10">
                  <v>56.22511764705887</v>
                </pt>
                <pt idx="11">
                  <v>53.04864705882322</v>
                </pt>
                <pt idx="12">
                  <v>53.04864705882322</v>
                </pt>
                <pt idx="13">
                  <v>49.87217647058827</v>
                </pt>
                <pt idx="14">
                  <v>49.87217647058827</v>
                </pt>
                <pt idx="15">
                  <v>46.69570588235263</v>
                </pt>
                <pt idx="16">
                  <v>43.51923529411768</v>
                </pt>
                <pt idx="17">
                  <v>43.51923529411768</v>
                </pt>
                <pt idx="18">
                  <v>40.34276470588204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0.0548740140625194</v>
                </pt>
                <pt idx="7">
                  <formatCode>0.00000</formatCode>
                  <v>0.03880178745453344</v>
                </pt>
                <pt idx="8">
                  <formatCode>0.00000</formatCode>
                  <v>0.0274370070312597</v>
                </pt>
                <pt idx="9">
                  <formatCode>0.00000</formatCode>
                  <v>0.01970128271267428</v>
                </pt>
                <pt idx="10">
                  <formatCode>0.00000</formatCode>
                  <v>0.01470652911381904</v>
                </pt>
                <pt idx="11">
                  <formatCode>0.00000</formatCode>
                  <v>0.0108849726413282</v>
                </pt>
                <pt idx="12">
                  <formatCode>0.00000</formatCode>
                  <v>0.00779791188603085</v>
                </pt>
                <pt idx="13">
                  <formatCode>0.00000</formatCode>
                  <v>0.005513956373707595</v>
                </pt>
                <pt idx="14">
                  <formatCode>0.00000</formatCode>
                  <v>0.003948846187919044</v>
                </pt>
                <pt idx="15">
                  <formatCode>0.00000</formatCode>
                  <v>0.002827093470873411</v>
                </pt>
                <pt idx="16">
                  <formatCode>0.00000</formatCode>
                  <v>0.001999056964302802</v>
                </pt>
                <pt idx="17">
                  <formatCode>0.00000</formatCode>
                  <v>0.001413546735436705</v>
                </pt>
                <pt idx="18">
                  <formatCode>0.00000</formatCode>
                  <v>0.001168205310022515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100</v>
                </pt>
                <pt idx="1">
                  <v>100</v>
                </pt>
                <pt idx="2">
                  <v>97.45999999999999</v>
                </pt>
                <pt idx="3">
                  <v>96.54000000000001</v>
                </pt>
                <pt idx="4">
                  <v>96.31</v>
                </pt>
                <pt idx="5">
                  <v>95.48999999999999</v>
                </pt>
                <pt idx="6">
                  <v>71.49352873563188</v>
                </pt>
                <pt idx="7">
                  <v>71.49352873563188</v>
                </pt>
                <pt idx="8">
                  <v>71.49352873563188</v>
                </pt>
                <pt idx="9">
                  <v>68.34410344827592</v>
                </pt>
                <pt idx="10">
                  <v>68.34410344827592</v>
                </pt>
                <pt idx="11">
                  <v>65.19467816091924</v>
                </pt>
                <pt idx="12">
                  <v>62.04525287356327</v>
                </pt>
                <pt idx="13">
                  <v>62.04525287356327</v>
                </pt>
                <pt idx="14">
                  <v>58.8958275862066</v>
                </pt>
                <pt idx="15">
                  <v>55.74640229885061</v>
                </pt>
                <pt idx="16">
                  <v>55.74640229885061</v>
                </pt>
                <pt idx="17">
                  <v>55.74640229885061</v>
                </pt>
                <pt idx="18">
                  <v>52.59697701149395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0.0580563679084764</v>
                </pt>
                <pt idx="7">
                  <formatCode>0.00000</formatCode>
                  <v>0.04105205143914472</v>
                </pt>
                <pt idx="8">
                  <formatCode>0.00000</formatCode>
                  <v>0.0290281839542382</v>
                </pt>
                <pt idx="9">
                  <formatCode>0.00000</formatCode>
                  <v>0.02081681935834988</v>
                </pt>
                <pt idx="10">
                  <formatCode>0.00000</formatCode>
                  <v>0.01547269664001144</v>
                </pt>
                <pt idx="11">
                  <formatCode>0.00000</formatCode>
                  <v>0.01144064006350769</v>
                </pt>
                <pt idx="12">
                  <formatCode>0.00000</formatCode>
                  <v>0.008089754170020778</v>
                </pt>
                <pt idx="13">
                  <formatCode>0.00000</formatCode>
                  <v>0.005789951959172537</v>
                </pt>
                <pt idx="14">
                  <formatCode>0.00000</formatCode>
                  <v>0.004142766353136956</v>
                </pt>
                <pt idx="15">
                  <formatCode>0.00000</formatCode>
                  <v>0.002963381030900725</v>
                </pt>
                <pt idx="16">
                  <formatCode>0.00000</formatCode>
                  <v>0.002095426822189485</v>
                </pt>
                <pt idx="17">
                  <formatCode>0.00000</formatCode>
                  <v>0.001498499060749006</v>
                </pt>
                <pt idx="18">
                  <formatCode>0.00000</formatCode>
                  <v>0.001223519359624972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98.72499999999999</v>
                </pt>
                <pt idx="1">
                  <v>95.94</v>
                </pt>
                <pt idx="2">
                  <v>85.095</v>
                </pt>
                <pt idx="3">
                  <v>79.30500000000001</v>
                </pt>
                <pt idx="4">
                  <v>78.36499999999999</v>
                </pt>
                <pt idx="5">
                  <v>77.56</v>
                </pt>
                <pt idx="6">
                  <v>62.57805882352946</v>
                </pt>
                <pt idx="7">
                  <v>62.57805882352946</v>
                </pt>
                <pt idx="8">
                  <v>62.57805882352946</v>
                </pt>
                <pt idx="9">
                  <v>59.40158823529381</v>
                </pt>
                <pt idx="10">
                  <v>59.40158823529381</v>
                </pt>
                <pt idx="11">
                  <v>56.22511764705887</v>
                </pt>
                <pt idx="12">
                  <v>56.22511764705887</v>
                </pt>
                <pt idx="13">
                  <v>53.04864705882322</v>
                </pt>
                <pt idx="14">
                  <v>49.87217647058827</v>
                </pt>
                <pt idx="15">
                  <v>46.69570588235263</v>
                </pt>
                <pt idx="16">
                  <v>46.69570588235263</v>
                </pt>
                <pt idx="17">
                  <v>43.51923529411768</v>
                </pt>
                <pt idx="18">
                  <v>43.51923529411768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0.05669536455251515</v>
                </pt>
                <pt idx="7">
                  <formatCode>0.00000</formatCode>
                  <v>0.04008967673692687</v>
                </pt>
                <pt idx="8">
                  <formatCode>0.00000</formatCode>
                  <v>0.02834768227625757</v>
                </pt>
                <pt idx="9">
                  <formatCode>0.00000</formatCode>
                  <v>0.02035519771297646</v>
                </pt>
                <pt idx="10">
                  <formatCode>0.00000</formatCode>
                  <v>0.01519466078169873</v>
                </pt>
                <pt idx="11">
                  <formatCode>0.00000</formatCode>
                  <v>0.01124626114177007</v>
                </pt>
                <pt idx="12">
                  <formatCode>0.00000</formatCode>
                  <v>0.008056736228977303</v>
                </pt>
                <pt idx="13">
                  <formatCode>0.00000</formatCode>
                  <v>0.005696972821741184</v>
                </pt>
                <pt idx="14">
                  <formatCode>0.00000</formatCode>
                  <v>0.004079914291139812</v>
                </pt>
                <pt idx="15">
                  <formatCode>0.00000</formatCode>
                  <v>0.002920928925895392</v>
                </pt>
                <pt idx="16">
                  <formatCode>0.00000</formatCode>
                  <v>0.00206540865086457</v>
                </pt>
                <pt idx="17">
                  <formatCode>0.00000</formatCode>
                  <v>0.001460464462947696</v>
                </pt>
                <pt idx="18">
                  <formatCode>0.00000</formatCode>
                  <v>0.001206979789166705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100</v>
                </pt>
                <pt idx="1">
                  <v>100</v>
                </pt>
                <pt idx="2">
                  <v>99.47</v>
                </pt>
                <pt idx="3">
                  <v>96.43000000000001</v>
                </pt>
                <pt idx="4">
                  <v>94.94</v>
                </pt>
                <pt idx="5">
                  <v>91.98</v>
                </pt>
                <pt idx="6">
                  <v>73.25437423312853</v>
                </pt>
                <pt idx="7">
                  <v>73.25437423312853</v>
                </pt>
                <pt idx="8">
                  <v>73.25437423312853</v>
                </pt>
                <pt idx="9">
                  <v>70.02738036809822</v>
                </pt>
                <pt idx="10">
                  <v>70.02738036809822</v>
                </pt>
                <pt idx="11">
                  <v>66.80038650306719</v>
                </pt>
                <pt idx="12">
                  <v>63.57339263803686</v>
                </pt>
                <pt idx="13">
                  <v>63.57339263803686</v>
                </pt>
                <pt idx="14">
                  <v>60.34639877300584</v>
                </pt>
                <pt idx="15">
                  <v>57.1194049079755</v>
                </pt>
                <pt idx="16">
                  <v>57.1194049079755</v>
                </pt>
                <pt idx="17">
                  <v>57.1194049079755</v>
                </pt>
                <pt idx="18">
                  <v>53.89241104294447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0.05669536455251515</v>
                </pt>
                <pt idx="7">
                  <formatCode>0.00000</formatCode>
                  <v>0.04008967673692687</v>
                </pt>
                <pt idx="8">
                  <formatCode>0.00000</formatCode>
                  <v>0.02834768227625757</v>
                </pt>
                <pt idx="9">
                  <formatCode>0.00000</formatCode>
                  <v>0.02035519771297646</v>
                </pt>
                <pt idx="10">
                  <formatCode>0.00000</formatCode>
                  <v>0.01519466078169873</v>
                </pt>
                <pt idx="11">
                  <formatCode>0.00000</formatCode>
                  <v>0.01124626114177007</v>
                </pt>
                <pt idx="12">
                  <formatCode>0.00000</formatCode>
                  <v>0.008056736228977303</v>
                </pt>
                <pt idx="13">
                  <formatCode>0.00000</formatCode>
                  <v>0.005696972821741184</v>
                </pt>
                <pt idx="14">
                  <formatCode>0.00000</formatCode>
                  <v>0.004028368114488651</v>
                </pt>
                <pt idx="15">
                  <formatCode>0.00000</formatCode>
                  <v>0.002920928925895392</v>
                </pt>
                <pt idx="16">
                  <formatCode>0.00000</formatCode>
                  <v>0.00206540865086457</v>
                </pt>
                <pt idx="17">
                  <formatCode>0.00000</formatCode>
                  <v>0.001460464462947696</v>
                </pt>
                <pt idx="18">
                  <formatCode>0.00000</formatCode>
                  <v>0.001206979789166705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99.54000000000001</v>
                </pt>
                <pt idx="1">
                  <v>98.125</v>
                </pt>
                <pt idx="2">
                  <v>91.28</v>
                </pt>
                <pt idx="3">
                  <v>88.11</v>
                </pt>
                <pt idx="4">
                  <v>87.235</v>
                </pt>
                <pt idx="5">
                  <v>85.59999999999999</v>
                </pt>
                <pt idx="6">
                  <v>73.25437423312853</v>
                </pt>
                <pt idx="7">
                  <v>73.25437423312853</v>
                </pt>
                <pt idx="8">
                  <v>73.25437423312853</v>
                </pt>
                <pt idx="9">
                  <v>70.02738036809822</v>
                </pt>
                <pt idx="10">
                  <v>70.02738036809822</v>
                </pt>
                <pt idx="11">
                  <v>66.80038650306719</v>
                </pt>
                <pt idx="12">
                  <v>63.57339263803686</v>
                </pt>
                <pt idx="13">
                  <v>63.57339263803686</v>
                </pt>
                <pt idx="14">
                  <v>63.57339263803686</v>
                </pt>
                <pt idx="15">
                  <v>57.1194049079755</v>
                </pt>
                <pt idx="16">
                  <v>57.1194049079755</v>
                </pt>
                <pt idx="17">
                  <v>57.1194049079755</v>
                </pt>
                <pt idx="18">
                  <v>53.89241104294447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0.0551921269539227</v>
                </pt>
                <pt idx="7">
                  <formatCode>0.00000</formatCode>
                  <v>0.03902672723722758</v>
                </pt>
                <pt idx="8">
                  <formatCode>0.00000</formatCode>
                  <v>0.02759606347696135</v>
                </pt>
                <pt idx="9">
                  <formatCode>0.00000</formatCode>
                  <v>0.01981549400403237</v>
                </pt>
                <pt idx="10">
                  <formatCode>0.00000</formatCode>
                  <v>0.01479178506928047</v>
                </pt>
                <pt idx="11">
                  <formatCode>0.00000</formatCode>
                  <v>0.01094807446063075</v>
                </pt>
                <pt idx="12">
                  <formatCode>0.00000</formatCode>
                  <v>0.007843117551031904</v>
                </pt>
                <pt idx="13">
                  <formatCode>0.00000</formatCode>
                  <v>0.005545921605977887</v>
                </pt>
                <pt idx="14">
                  <formatCode>0.00000</formatCode>
                  <v>0.003921558775515952</v>
                </pt>
                <pt idx="15">
                  <formatCode>0.00000</formatCode>
                  <v>0.002843482555828309</v>
                </pt>
                <pt idx="16">
                  <formatCode>0.00000</formatCode>
                  <v>0.002010645797411853</v>
                </pt>
                <pt idx="17">
                  <formatCode>0.00000</formatCode>
                  <v>0.001421741277914155</v>
                </pt>
                <pt idx="18">
                  <formatCode>0.00000</formatCode>
                  <v>0.001174977571452133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99.38</v>
                </pt>
                <pt idx="1">
                  <v>96.94</v>
                </pt>
                <pt idx="2">
                  <v>91.7</v>
                </pt>
                <pt idx="3">
                  <v>90.06999999999999</v>
                </pt>
                <pt idx="4">
                  <v>89.73</v>
                </pt>
                <pt idx="5">
                  <v>89.31999999999999</v>
                </pt>
                <pt idx="6">
                  <v>71.79693023255784</v>
                </pt>
                <pt idx="7">
                  <v>71.79693023255784</v>
                </pt>
                <pt idx="8">
                  <v>71.79693023255784</v>
                </pt>
                <pt idx="9">
                  <v>68.63413953488379</v>
                </pt>
                <pt idx="10">
                  <v>68.63413953488379</v>
                </pt>
                <pt idx="11">
                  <v>65.47134883720901</v>
                </pt>
                <pt idx="12">
                  <v>62.30855813953493</v>
                </pt>
                <pt idx="13">
                  <v>62.30855813953493</v>
                </pt>
                <pt idx="14">
                  <v>62.30855813953493</v>
                </pt>
                <pt idx="15">
                  <v>55.98297674418608</v>
                </pt>
                <pt idx="16">
                  <v>55.98297674418608</v>
                </pt>
                <pt idx="17">
                  <v>55.98297674418608</v>
                </pt>
                <pt idx="18">
                  <v>52.82018604651132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0.05981714036013114</v>
                </pt>
                <pt idx="7">
                  <formatCode>0.00000</formatCode>
                  <v>0.04229710557983625</v>
                </pt>
                <pt idx="8">
                  <formatCode>0.00000</formatCode>
                  <v>0.03035774211606312</v>
                </pt>
                <pt idx="9">
                  <formatCode>0.00000</formatCode>
                  <v>0.02146616531178069</v>
                </pt>
                <pt idx="10">
                  <formatCode>0.00000</formatCode>
                  <v>0.01641730996173852</v>
                </pt>
                <pt idx="11">
                  <formatCode>0.00000</formatCode>
                  <v>0.01198950799946462</v>
                </pt>
                <pt idx="12">
                  <formatCode>0.00000</formatCode>
                  <v>0.008583636376612866</v>
                </pt>
                <pt idx="13">
                  <formatCode>0.00000</formatCode>
                  <v>0.006069547489142483</v>
                </pt>
                <pt idx="14">
                  <formatCode>0.00000</formatCode>
                  <v>0.004344061344445157</v>
                </pt>
                <pt idx="15">
                  <formatCode>0.00000</formatCode>
                  <v>0.003071715234547521</v>
                </pt>
                <pt idx="16">
                  <formatCode>0.00000</formatCode>
                  <v>0.002197841814549407</v>
                </pt>
                <pt idx="17">
                  <formatCode>0.00000</formatCode>
                  <v>0.001554108851043232</v>
                </pt>
                <pt idx="18">
                  <formatCode>0.00000</formatCode>
                  <v>0.001283653645197699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100</v>
                </pt>
                <pt idx="1">
                  <v>99.795</v>
                </pt>
                <pt idx="2">
                  <v>99.40000000000001</v>
                </pt>
                <pt idx="3">
                  <v>99.245</v>
                </pt>
                <pt idx="4">
                  <v>99.2</v>
                </pt>
                <pt idx="5">
                  <v>99.145</v>
                </pt>
                <pt idx="6">
                  <v>72.14338410596034</v>
                </pt>
                <pt idx="7">
                  <v>72.14338410596034</v>
                </pt>
                <pt idx="8">
                  <v>68.81888079470168</v>
                </pt>
                <pt idx="9">
                  <v>68.81888079470168</v>
                </pt>
                <pt idx="10">
                  <v>62.16987417218512</v>
                </pt>
                <pt idx="11">
                  <v>62.16987417218512</v>
                </pt>
                <pt idx="12">
                  <v>58.8453708609272</v>
                </pt>
                <pt idx="13">
                  <v>58.8453708609272</v>
                </pt>
                <pt idx="14">
                  <v>55.52086754966855</v>
                </pt>
                <pt idx="15">
                  <v>55.52086754966855</v>
                </pt>
                <pt idx="16">
                  <v>52.19636423841064</v>
                </pt>
                <pt idx="17">
                  <v>52.19636423841064</v>
                </pt>
                <pt idx="18">
                  <v>48.871860927152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15.50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0.05601226293042516</v>
                </pt>
                <pt idx="7">
                  <formatCode>0.00000</formatCode>
                  <v>0.03960665094770751</v>
                </pt>
                <pt idx="8">
                  <formatCode>0.00000</formatCode>
                  <v>0.02800613146521258</v>
                </pt>
                <pt idx="9">
                  <formatCode>0.00000</formatCode>
                  <v>0.02010994541262627</v>
                </pt>
                <pt idx="10">
                  <formatCode>0.00000</formatCode>
                  <v>0.01501158589525944</v>
                </pt>
                <pt idx="11">
                  <formatCode>0.00000</formatCode>
                  <v>0.01096291229167997</v>
                </pt>
                <pt idx="12">
                  <formatCode>0.00000</formatCode>
                  <v>0.00785649308412628</v>
                </pt>
                <pt idx="13">
                  <formatCode>0.00000</formatCode>
                  <v>0.005555379536130905</v>
                </pt>
                <pt idx="14">
                  <formatCode>0.00000</formatCode>
                  <v>0.003979831786781756</v>
                </pt>
                <pt idx="15">
                  <formatCode>0.00000</formatCode>
                  <v>0.002850175539061234</v>
                </pt>
                <pt idx="16">
                  <formatCode>0.00000</formatCode>
                  <v>0.002015378451242222</v>
                </pt>
                <pt idx="17">
                  <formatCode>0.00000</formatCode>
                  <v>0.001442867863093042</v>
                </pt>
                <pt idx="18">
                  <formatCode>0.00000</formatCode>
                  <v>0.00119243733303617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97.81999999999999</v>
                </pt>
                <pt idx="1">
                  <v>96.09999999999999</v>
                </pt>
                <pt idx="2">
                  <v>93.20999999999999</v>
                </pt>
                <pt idx="3">
                  <v>92.84</v>
                </pt>
                <pt idx="4">
                  <v>92.73</v>
                </pt>
                <pt idx="5">
                  <v>92.59999999999999</v>
                </pt>
                <pt idx="6">
                  <v>72.58722754490988</v>
                </pt>
                <pt idx="7">
                  <v>72.58722754490988</v>
                </pt>
                <pt idx="8">
                  <v>72.58722754490988</v>
                </pt>
                <pt idx="9">
                  <v>69.38962275449109</v>
                </pt>
                <pt idx="10">
                  <v>69.38962275449109</v>
                </pt>
                <pt idx="11">
                  <v>69.38962275449109</v>
                </pt>
                <pt idx="12">
                  <v>66.19201796407155</v>
                </pt>
                <pt idx="13">
                  <v>66.19201796407155</v>
                </pt>
                <pt idx="14">
                  <v>62.99441317365275</v>
                </pt>
                <pt idx="15">
                  <v>59.79680838323323</v>
                </pt>
                <pt idx="16">
                  <v>59.79680838323323</v>
                </pt>
                <pt idx="17">
                  <v>56.59920359281441</v>
                </pt>
                <pt idx="18">
                  <v>53.4015988023949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16.50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0.06051543266938614</v>
                </pt>
                <pt idx="7">
                  <formatCode>0.00000</formatCode>
                  <v>0.04279087280696087</v>
                </pt>
                <pt idx="8">
                  <formatCode>0.00000</formatCode>
                  <v>0.03069888014691913</v>
                </pt>
                <pt idx="9">
                  <formatCode>0.00000</formatCode>
                  <v>0.02170738632671959</v>
                </pt>
                <pt idx="10">
                  <formatCode>0.00000</formatCode>
                  <v>0.01636321653638959</v>
                </pt>
                <pt idx="11">
                  <formatCode>0.00000</formatCode>
                  <v>0.01195000374709618</v>
                </pt>
                <pt idx="12">
                  <formatCode>0.00000</formatCode>
                  <v>0.008555354137035081</v>
                </pt>
                <pt idx="13">
                  <formatCode>0.00000</formatCode>
                  <v>0.006049548925749889</v>
                </pt>
                <pt idx="14">
                  <formatCode>0.00000</formatCode>
                  <v>0.004329748088583231</v>
                </pt>
                <pt idx="15">
                  <formatCode>0.00000</formatCode>
                  <v>0.003097976429756961</v>
                </pt>
                <pt idx="16">
                  <formatCode>0.00000</formatCode>
                  <v>0.002190600141437237</v>
                </pt>
                <pt idx="17">
                  <formatCode>0.00000</formatCode>
                  <v>0.001566968144488295</v>
                </pt>
                <pt idx="18">
                  <formatCode>0.00000</formatCode>
                  <v>0.001279424132397356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100</v>
                </pt>
                <pt idx="1">
                  <v>98.30500000000001</v>
                </pt>
                <pt idx="2">
                  <v>83.905</v>
                </pt>
                <pt idx="3">
                  <v>79.72499999999999</v>
                </pt>
                <pt idx="4">
                  <v>79.16</v>
                </pt>
                <pt idx="5">
                  <v>78.65000000000001</v>
                </pt>
                <pt idx="6">
                  <v>68.63849999999969</v>
                </pt>
                <pt idx="7">
                  <v>68.63849999999969</v>
                </pt>
                <pt idx="8">
                  <v>65.32271052631584</v>
                </pt>
                <pt idx="9">
                  <v>65.32271052631584</v>
                </pt>
                <pt idx="10">
                  <v>62.00692105263127</v>
                </pt>
                <pt idx="11">
                  <v>62.00692105263127</v>
                </pt>
                <pt idx="12">
                  <v>58.69113157894741</v>
                </pt>
                <pt idx="13">
                  <v>58.69113157894741</v>
                </pt>
                <pt idx="14">
                  <v>55.37534210526284</v>
                </pt>
                <pt idx="15">
                  <v>52.05955263157899</v>
                </pt>
                <pt idx="16">
                  <v>52.05955263157899</v>
                </pt>
                <pt idx="17">
                  <v>48.74376315789441</v>
                </pt>
                <pt idx="18">
                  <v>48.74376315789441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17.00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94.52</v>
                </pt>
                <pt idx="1">
                  <v>88.56999999999999</v>
                </pt>
                <pt idx="2">
                  <v>82.5</v>
                </pt>
                <pt idx="3">
                  <v>81.76000000000001</v>
                </pt>
                <pt idx="4">
                  <v>81.63</v>
                </pt>
                <pt idx="5">
                  <v>81.48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16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52</col>
      <colOff>286311</colOff>
      <row>0</row>
      <rowOff>184334</rowOff>
    </from>
    <to>
      <col>63</col>
      <colOff>454958</colOff>
      <row>33</row>
      <rowOff>160292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23"/>
  <sheetViews>
    <sheetView tabSelected="1" topLeftCell="F4" zoomScale="85" zoomScaleNormal="85" workbookViewId="0">
      <selection activeCell="W7" sqref="W7:Y7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 s="49">
      <c r="A1" s="63" t="inlineStr">
        <is>
          <t>Grain Size Analysis (Sieve Analysis)</t>
        </is>
      </c>
      <c r="B1" s="96" t="n"/>
      <c r="C1" s="96" t="n"/>
      <c r="D1" s="96" t="n"/>
      <c r="E1" s="96" t="n"/>
      <c r="F1" s="96" t="n"/>
      <c r="G1" s="96" t="n"/>
      <c r="H1" s="96" t="n"/>
      <c r="I1" s="96" t="n"/>
      <c r="J1" s="96" t="n"/>
      <c r="K1" s="96" t="n"/>
      <c r="L1" s="96" t="n"/>
      <c r="M1" s="96" t="n"/>
      <c r="N1" s="96" t="n"/>
      <c r="O1" s="96" t="n"/>
      <c r="P1" s="96" t="n"/>
      <c r="Q1" s="96" t="n"/>
      <c r="R1" s="96" t="n"/>
      <c r="S1" s="96" t="n"/>
      <c r="T1" s="96" t="n"/>
      <c r="U1" s="96" t="n"/>
      <c r="V1" s="96" t="n"/>
      <c r="W1" s="96" t="n"/>
      <c r="X1" s="96" t="n"/>
      <c r="Y1" s="96" t="n"/>
    </row>
    <row r="2" ht="24.6" customHeight="1" s="49">
      <c r="A2" s="97" t="inlineStr">
        <is>
          <t>Sr No.</t>
        </is>
      </c>
      <c r="B2" s="98" t="inlineStr">
        <is>
          <t>BH ID</t>
        </is>
      </c>
      <c r="C2" s="98" t="inlineStr">
        <is>
          <t>Chainage</t>
        </is>
      </c>
      <c r="D2" s="98" t="inlineStr">
        <is>
          <t>Sample ID</t>
        </is>
      </c>
      <c r="E2" s="70" t="inlineStr">
        <is>
          <t>Sample Type</t>
        </is>
      </c>
      <c r="F2" s="70" t="inlineStr">
        <is>
          <t>Depth</t>
        </is>
      </c>
      <c r="G2" s="70" t="inlineStr">
        <is>
          <t>Container No.</t>
        </is>
      </c>
      <c r="H2" s="70" t="inlineStr">
        <is>
          <t>Weight of Sample taken for Sieve Analysis</t>
        </is>
      </c>
      <c r="I2" s="99" t="inlineStr">
        <is>
          <t>Weight of Sample Remain after washing through 75µ sieve</t>
        </is>
      </c>
      <c r="J2" s="74" t="inlineStr">
        <is>
          <t>Weight Retained on IS Sieve</t>
        </is>
      </c>
      <c r="K2" s="100" t="n"/>
      <c r="L2" s="100" t="n"/>
      <c r="M2" s="100" t="n"/>
      <c r="N2" s="100" t="n"/>
      <c r="O2" s="100" t="n"/>
      <c r="P2" s="101" t="n"/>
      <c r="Q2" s="74" t="inlineStr">
        <is>
          <t>% Passing</t>
        </is>
      </c>
      <c r="R2" s="100" t="n"/>
      <c r="S2" s="100" t="n"/>
      <c r="T2" s="100" t="n"/>
      <c r="U2" s="100" t="n"/>
      <c r="V2" s="101" t="n"/>
      <c r="W2" s="73" t="inlineStr">
        <is>
          <t xml:space="preserve">Gravel </t>
        </is>
      </c>
      <c r="X2" s="73" t="inlineStr">
        <is>
          <t>Sand</t>
        </is>
      </c>
      <c r="Y2" s="73" t="inlineStr">
        <is>
          <t>Fines</t>
        </is>
      </c>
    </row>
    <row r="3" ht="40.5" customHeight="1" s="49">
      <c r="A3" s="102" t="n"/>
      <c r="B3" s="102" t="n"/>
      <c r="C3" s="102" t="n"/>
      <c r="D3" s="102" t="n"/>
      <c r="E3" s="103" t="n"/>
      <c r="F3" s="103" t="n"/>
      <c r="G3" s="103" t="n"/>
      <c r="H3" s="103" t="n"/>
      <c r="I3" s="104" t="n"/>
      <c r="J3" s="72" t="n">
        <v>4.75</v>
      </c>
      <c r="K3" s="4" t="n">
        <v>2</v>
      </c>
      <c r="L3" s="105" t="n">
        <v>0.425</v>
      </c>
      <c r="M3" s="105" t="n">
        <v>0.212</v>
      </c>
      <c r="N3" s="105" t="n">
        <v>0.15</v>
      </c>
      <c r="O3" s="105" t="n">
        <v>0.075</v>
      </c>
      <c r="P3" s="72" t="inlineStr">
        <is>
          <t>Pan</t>
        </is>
      </c>
      <c r="Q3" s="70" t="n">
        <v>4.75</v>
      </c>
      <c r="R3" s="7" t="n">
        <v>2</v>
      </c>
      <c r="S3" s="106" t="n">
        <v>0.425</v>
      </c>
      <c r="T3" s="106" t="n">
        <v>0.212</v>
      </c>
      <c r="U3" s="106" t="n">
        <v>0.15</v>
      </c>
      <c r="V3" s="106" t="n">
        <v>0.075</v>
      </c>
      <c r="W3" s="103" t="n"/>
      <c r="X3" s="103" t="n"/>
      <c r="Y3" s="103" t="n"/>
    </row>
    <row r="4" ht="21.6" customHeight="1" s="49">
      <c r="A4" s="104" t="n"/>
      <c r="B4" s="104" t="n"/>
      <c r="C4" s="104" t="n"/>
      <c r="D4" s="104" t="n"/>
      <c r="E4" s="72" t="inlineStr">
        <is>
          <t>-</t>
        </is>
      </c>
      <c r="F4" s="74" t="inlineStr">
        <is>
          <t>(m)</t>
        </is>
      </c>
      <c r="G4" s="74" t="inlineStr">
        <is>
          <t>-</t>
        </is>
      </c>
      <c r="H4" s="74" t="inlineStr">
        <is>
          <t>(gm)</t>
        </is>
      </c>
      <c r="I4" s="74" t="inlineStr">
        <is>
          <t>(gm)</t>
        </is>
      </c>
      <c r="J4" s="74" t="inlineStr">
        <is>
          <t>(gm)</t>
        </is>
      </c>
      <c r="K4" s="100" t="n"/>
      <c r="L4" s="100" t="n"/>
      <c r="M4" s="100" t="n"/>
      <c r="N4" s="100" t="n"/>
      <c r="O4" s="100" t="n"/>
      <c r="P4" s="101" t="n"/>
      <c r="Q4" s="74" t="inlineStr">
        <is>
          <t>(gm)</t>
        </is>
      </c>
      <c r="R4" s="100" t="n"/>
      <c r="S4" s="100" t="n"/>
      <c r="T4" s="100" t="n"/>
      <c r="U4" s="100" t="n"/>
      <c r="V4" s="101" t="n"/>
      <c r="W4" s="75" t="inlineStr">
        <is>
          <t>%</t>
        </is>
      </c>
      <c r="X4" s="100" t="n"/>
      <c r="Y4" s="101" t="n"/>
    </row>
    <row r="5" ht="30" customHeight="1" s="49">
      <c r="A5" s="75" t="n">
        <v>1</v>
      </c>
      <c r="B5" s="77" t="inlineStr">
        <is>
          <t>RBH-11</t>
        </is>
      </c>
      <c r="C5" s="78" t="n">
        <v>14.76</v>
      </c>
      <c r="D5" s="79" t="n"/>
      <c r="E5" s="79" t="inlineStr">
        <is>
          <t>SPT</t>
        </is>
      </c>
      <c r="F5" s="79" t="n">
        <v>0.5</v>
      </c>
      <c r="G5" s="79" t="n">
        <v>280</v>
      </c>
      <c r="H5" s="79" t="n">
        <v>100</v>
      </c>
      <c r="I5" s="26">
        <f>SUM(J5:O5)</f>
        <v/>
      </c>
      <c r="J5" s="26" t="n">
        <v>1.03</v>
      </c>
      <c r="K5" s="26" t="n">
        <v>0.49</v>
      </c>
      <c r="L5" s="26" t="n">
        <v>18.65</v>
      </c>
      <c r="M5" s="26" t="n">
        <v>47.82</v>
      </c>
      <c r="N5" s="26" t="n">
        <v>7.2</v>
      </c>
      <c r="O5" s="26" t="n">
        <v>3.54</v>
      </c>
      <c r="P5" s="26" t="inlineStr">
        <is>
          <t>-</t>
        </is>
      </c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 s="49">
      <c r="A6" s="75" t="n">
        <v>2</v>
      </c>
      <c r="B6" s="107" t="n"/>
      <c r="C6" s="107" t="n"/>
      <c r="D6" s="107" t="n"/>
      <c r="E6" s="79" t="inlineStr">
        <is>
          <t>UDS</t>
        </is>
      </c>
      <c r="F6" s="79" t="n">
        <v>1.5</v>
      </c>
      <c r="G6" s="79" t="n">
        <v>269</v>
      </c>
      <c r="H6" s="79" t="n">
        <v>200</v>
      </c>
      <c r="I6" s="26">
        <f>SUM(J6:O6)</f>
        <v/>
      </c>
      <c r="J6" s="26" t="n">
        <v>2.44</v>
      </c>
      <c r="K6" s="26" t="n">
        <v>1.05</v>
      </c>
      <c r="L6" s="26" t="n">
        <v>2.8</v>
      </c>
      <c r="M6" s="26" t="n">
        <v>5.53</v>
      </c>
      <c r="N6" s="26" t="n">
        <v>0.9399999999999999</v>
      </c>
      <c r="O6" s="26" t="n">
        <v>0.62</v>
      </c>
      <c r="P6" s="26" t="inlineStr">
        <is>
          <t>-</t>
        </is>
      </c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 s="49">
      <c r="A7" s="75" t="n">
        <v>3</v>
      </c>
      <c r="B7" s="107" t="n"/>
      <c r="C7" s="107" t="n"/>
      <c r="D7" s="107" t="n"/>
      <c r="E7" s="79" t="inlineStr">
        <is>
          <t>UDS</t>
        </is>
      </c>
      <c r="F7" s="79" t="n">
        <v>4.5</v>
      </c>
      <c r="G7" s="79" t="n">
        <v>232</v>
      </c>
      <c r="H7" s="79" t="n">
        <v>200</v>
      </c>
      <c r="I7" s="26">
        <f>SUM(J7:O7)</f>
        <v/>
      </c>
      <c r="J7" s="26" t="n">
        <v>1</v>
      </c>
      <c r="K7" s="26" t="n">
        <v>2.43</v>
      </c>
      <c r="L7" s="26" t="n">
        <v>38.02</v>
      </c>
      <c r="M7" s="26" t="n">
        <v>31.93</v>
      </c>
      <c r="N7" s="26" t="n">
        <v>4.05</v>
      </c>
      <c r="O7" s="26" t="n">
        <v>1.87</v>
      </c>
      <c r="P7" s="26" t="inlineStr">
        <is>
          <t>-</t>
        </is>
      </c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 s="49">
      <c r="A8" s="75" t="n">
        <v>4</v>
      </c>
      <c r="B8" s="107" t="n"/>
      <c r="C8" s="107" t="n"/>
      <c r="D8" s="107" t="n"/>
      <c r="E8" s="79" t="inlineStr">
        <is>
          <t>SPT</t>
        </is>
      </c>
      <c r="F8" s="79" t="n">
        <v>6.5</v>
      </c>
      <c r="G8" s="79" t="n">
        <v>291</v>
      </c>
      <c r="H8" s="79" t="n">
        <v>100</v>
      </c>
      <c r="I8" s="26">
        <f>SUM(J8:O8)</f>
        <v/>
      </c>
      <c r="J8" s="26" t="n">
        <v>0</v>
      </c>
      <c r="K8" s="26" t="n">
        <v>0</v>
      </c>
      <c r="L8" s="26" t="n">
        <v>2.54</v>
      </c>
      <c r="M8" s="26" t="n">
        <v>0.92</v>
      </c>
      <c r="N8" s="26" t="n">
        <v>0.23</v>
      </c>
      <c r="O8" s="26" t="n">
        <v>0.82</v>
      </c>
      <c r="P8" s="26" t="inlineStr">
        <is>
          <t>-</t>
        </is>
      </c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 s="49">
      <c r="A9" s="75" t="n">
        <v>5</v>
      </c>
      <c r="B9" s="107" t="n"/>
      <c r="C9" s="107" t="n"/>
      <c r="D9" s="107" t="n"/>
      <c r="E9" s="79" t="inlineStr">
        <is>
          <t>UDS</t>
        </is>
      </c>
      <c r="F9" s="79" t="n">
        <v>7.5</v>
      </c>
      <c r="G9" s="79" t="n">
        <v>202</v>
      </c>
      <c r="H9" s="79" t="n">
        <v>200</v>
      </c>
      <c r="I9" s="26">
        <f>SUM(J9:O9)</f>
        <v/>
      </c>
      <c r="J9" s="26" t="n">
        <v>2.55</v>
      </c>
      <c r="K9" s="26" t="n">
        <v>5.57</v>
      </c>
      <c r="L9" s="26" t="n">
        <v>21.69</v>
      </c>
      <c r="M9" s="26" t="n">
        <v>11.58</v>
      </c>
      <c r="N9" s="26" t="n">
        <v>1.88</v>
      </c>
      <c r="O9" s="26" t="n">
        <v>1.61</v>
      </c>
      <c r="P9" s="26" t="inlineStr">
        <is>
          <t>-</t>
        </is>
      </c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 s="49">
      <c r="A10" s="75" t="n">
        <v>6</v>
      </c>
      <c r="B10" s="107" t="n"/>
      <c r="C10" s="107" t="n"/>
      <c r="D10" s="107" t="n"/>
      <c r="E10" s="79" t="inlineStr">
        <is>
          <t>SPT</t>
        </is>
      </c>
      <c r="F10" s="79" t="n">
        <v>9.5</v>
      </c>
      <c r="G10" s="79" t="n">
        <v>257</v>
      </c>
      <c r="H10" s="79" t="n">
        <v>100</v>
      </c>
      <c r="I10" s="26">
        <f>SUM(J10:O10)</f>
        <v/>
      </c>
      <c r="J10" s="26" t="n">
        <v>0</v>
      </c>
      <c r="K10" s="26" t="n">
        <v>0</v>
      </c>
      <c r="L10" s="26" t="n">
        <v>0.53</v>
      </c>
      <c r="M10" s="26" t="n">
        <v>3.04</v>
      </c>
      <c r="N10" s="26" t="n">
        <v>1.49</v>
      </c>
      <c r="O10" s="26" t="n">
        <v>2.96</v>
      </c>
      <c r="P10" s="26" t="inlineStr">
        <is>
          <t>-</t>
        </is>
      </c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 s="49">
      <c r="A11" s="75" t="n">
        <v>7</v>
      </c>
      <c r="B11" s="107" t="n"/>
      <c r="C11" s="107" t="n"/>
      <c r="D11" s="107" t="n"/>
      <c r="E11" s="79" t="inlineStr">
        <is>
          <t>UDS</t>
        </is>
      </c>
      <c r="F11" s="79" t="n">
        <v>10.5</v>
      </c>
      <c r="G11" s="79" t="n">
        <v>203</v>
      </c>
      <c r="H11" s="79" t="n">
        <v>200</v>
      </c>
      <c r="I11" s="26">
        <f>SUM(J11:O11)</f>
        <v/>
      </c>
      <c r="J11" s="26" t="n">
        <v>0.92</v>
      </c>
      <c r="K11" s="26" t="n">
        <v>2.83</v>
      </c>
      <c r="L11" s="26" t="n">
        <v>13.69</v>
      </c>
      <c r="M11" s="26" t="n">
        <v>6.34</v>
      </c>
      <c r="N11" s="26" t="n">
        <v>1.75</v>
      </c>
      <c r="O11" s="26" t="n">
        <v>3.27</v>
      </c>
      <c r="P11" s="26" t="inlineStr">
        <is>
          <t>-</t>
        </is>
      </c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 s="49">
      <c r="A12" s="75" t="n">
        <v>8</v>
      </c>
      <c r="B12" s="107" t="n"/>
      <c r="C12" s="107" t="n"/>
      <c r="D12" s="107" t="n"/>
      <c r="E12" s="79" t="inlineStr">
        <is>
          <t>SPT</t>
        </is>
      </c>
      <c r="F12" s="79" t="n">
        <v>12.5</v>
      </c>
      <c r="G12" s="79" t="n">
        <v>289</v>
      </c>
      <c r="H12" s="79" t="n">
        <v>100</v>
      </c>
      <c r="I12" s="26">
        <f>SUM(J12:O12)</f>
        <v/>
      </c>
      <c r="J12" s="26" t="n">
        <v>0.62</v>
      </c>
      <c r="K12" s="26" t="n">
        <v>2.44</v>
      </c>
      <c r="L12" s="26" t="n">
        <v>5.24</v>
      </c>
      <c r="M12" s="26" t="n">
        <v>1.63</v>
      </c>
      <c r="N12" s="26" t="n">
        <v>0.34</v>
      </c>
      <c r="O12" s="26" t="n">
        <v>0.41</v>
      </c>
      <c r="P12" s="26" t="inlineStr">
        <is>
          <t>-</t>
        </is>
      </c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 s="49">
      <c r="A13" s="75" t="n">
        <v>9</v>
      </c>
      <c r="B13" s="107" t="n"/>
      <c r="C13" s="107" t="n"/>
      <c r="D13" s="107" t="n"/>
      <c r="E13" s="79" t="inlineStr">
        <is>
          <t>UDS</t>
        </is>
      </c>
      <c r="F13" s="79" t="n">
        <v>13.5</v>
      </c>
      <c r="G13" s="79" t="n">
        <v>250</v>
      </c>
      <c r="H13" s="79" t="n">
        <v>200</v>
      </c>
      <c r="I13" s="26">
        <f>SUM(J13:O13)</f>
        <v/>
      </c>
      <c r="J13" s="26" t="n">
        <v>0</v>
      </c>
      <c r="K13" s="26" t="n">
        <v>0.41</v>
      </c>
      <c r="L13" s="26" t="n">
        <v>0.79</v>
      </c>
      <c r="M13" s="26" t="n">
        <v>0.31</v>
      </c>
      <c r="N13" s="26" t="n">
        <v>0.09</v>
      </c>
      <c r="O13" s="26" t="n">
        <v>0.11</v>
      </c>
      <c r="P13" s="26" t="inlineStr">
        <is>
          <t>-</t>
        </is>
      </c>
      <c r="Q13" s="11">
        <f>((H13-(SUM(J13)))/H13)*100</f>
        <v/>
      </c>
      <c r="R13" s="11">
        <f>((H13-(SUM(J13:K13)))/H13)*100</f>
        <v/>
      </c>
      <c r="S13" s="11">
        <f>((H13-(SUM(J13:L13)))/H13)*100</f>
        <v/>
      </c>
      <c r="T13" s="11">
        <f>((H13-(SUM(J13:M13)))/H13)*100</f>
        <v/>
      </c>
      <c r="U13" s="11">
        <f>((H13-(SUM(J13:N13)))/H13)*100</f>
        <v/>
      </c>
      <c r="V13" s="11">
        <f>((H13-(SUM(J13:O13)))/H13)*100</f>
        <v/>
      </c>
      <c r="W13" s="11">
        <f>100-Q13</f>
        <v/>
      </c>
      <c r="X13" s="11">
        <f>Q13-V13</f>
        <v/>
      </c>
      <c r="Y13" s="11">
        <f>V13</f>
        <v/>
      </c>
    </row>
    <row r="14" ht="30" customHeight="1" s="49">
      <c r="A14" s="75" t="n">
        <v>10</v>
      </c>
      <c r="B14" s="107" t="n"/>
      <c r="C14" s="107" t="n"/>
      <c r="D14" s="107" t="n"/>
      <c r="E14" s="79" t="inlineStr">
        <is>
          <t>SPT</t>
        </is>
      </c>
      <c r="F14" s="79" t="n">
        <v>15.5</v>
      </c>
      <c r="G14" s="79" t="n">
        <v>267</v>
      </c>
      <c r="H14" s="79" t="n">
        <v>100</v>
      </c>
      <c r="I14" s="26">
        <f>SUM(J14:O14)</f>
        <v/>
      </c>
      <c r="J14" s="26" t="n">
        <v>2.18</v>
      </c>
      <c r="K14" s="26" t="n">
        <v>1.72</v>
      </c>
      <c r="L14" s="26" t="n">
        <v>2.89</v>
      </c>
      <c r="M14" s="26" t="n">
        <v>0.37</v>
      </c>
      <c r="N14" s="26" t="n">
        <v>0.11</v>
      </c>
      <c r="O14" s="26" t="n">
        <v>0.13</v>
      </c>
      <c r="P14" s="26" t="inlineStr">
        <is>
          <t>-</t>
        </is>
      </c>
      <c r="Q14" s="11">
        <f>((H14-(SUM(J14)))/H14)*100</f>
        <v/>
      </c>
      <c r="R14" s="11">
        <f>((H14-(SUM(J14:K14)))/H14)*100</f>
        <v/>
      </c>
      <c r="S14" s="11">
        <f>((H14-(SUM(J14:L14)))/H14)*100</f>
        <v/>
      </c>
      <c r="T14" s="11">
        <f>((H14-(SUM(J14:M14)))/H14)*100</f>
        <v/>
      </c>
      <c r="U14" s="11">
        <f>((H14-(SUM(J14:N14)))/H14)*100</f>
        <v/>
      </c>
      <c r="V14" s="11">
        <f>((H14-(SUM(J14:O14)))/H14)*100</f>
        <v/>
      </c>
      <c r="W14" s="11">
        <f>100-Q14</f>
        <v/>
      </c>
      <c r="X14" s="11">
        <f>Q14-V14</f>
        <v/>
      </c>
      <c r="Y14" s="11">
        <f>V14</f>
        <v/>
      </c>
    </row>
    <row r="15" ht="30" customHeight="1" s="49">
      <c r="A15" s="75" t="n">
        <v>11</v>
      </c>
      <c r="B15" s="107" t="n"/>
      <c r="C15" s="107" t="n"/>
      <c r="D15" s="107" t="n"/>
      <c r="E15" s="79" t="inlineStr">
        <is>
          <t>UDS</t>
        </is>
      </c>
      <c r="F15" s="79" t="n">
        <v>16.5</v>
      </c>
      <c r="G15" s="79" t="n">
        <v>294</v>
      </c>
      <c r="H15" s="79" t="n">
        <v>200</v>
      </c>
      <c r="I15" s="26">
        <f>SUM(J15:O15)</f>
        <v/>
      </c>
      <c r="J15" s="26" t="n">
        <v>0</v>
      </c>
      <c r="K15" s="26" t="n">
        <v>3.39</v>
      </c>
      <c r="L15" s="26" t="n">
        <v>28.8</v>
      </c>
      <c r="M15" s="26" t="n">
        <v>8.359999999999999</v>
      </c>
      <c r="N15" s="26" t="n">
        <v>1.13</v>
      </c>
      <c r="O15" s="26" t="n">
        <v>1.02</v>
      </c>
      <c r="P15" s="26" t="inlineStr">
        <is>
          <t>-</t>
        </is>
      </c>
      <c r="Q15" s="11">
        <f>((H15-(SUM(J15)))/H15)*100</f>
        <v/>
      </c>
      <c r="R15" s="11">
        <f>((H15-(SUM(J15:K15)))/H15)*100</f>
        <v/>
      </c>
      <c r="S15" s="11">
        <f>((H15-(SUM(J15:L15)))/H15)*100</f>
        <v/>
      </c>
      <c r="T15" s="11">
        <f>((H15-(SUM(J15:M15)))/H15)*100</f>
        <v/>
      </c>
      <c r="U15" s="11">
        <f>((H15-(SUM(J15:N15)))/H15)*100</f>
        <v/>
      </c>
      <c r="V15" s="11">
        <f>((H15-(SUM(J15:O15)))/H15)*100</f>
        <v/>
      </c>
      <c r="W15" s="11">
        <f>100-Q15</f>
        <v/>
      </c>
      <c r="X15" s="11">
        <f>Q15-V15</f>
        <v/>
      </c>
      <c r="Y15" s="11">
        <f>V15</f>
        <v/>
      </c>
    </row>
    <row r="16" ht="30" customHeight="1" s="49">
      <c r="A16" s="75" t="n">
        <v>12</v>
      </c>
      <c r="B16" s="107" t="n"/>
      <c r="C16" s="107" t="n"/>
      <c r="D16" s="107" t="n"/>
      <c r="E16" s="79" t="inlineStr">
        <is>
          <t>SPT</t>
        </is>
      </c>
      <c r="F16" s="79" t="n">
        <v>17</v>
      </c>
      <c r="G16" s="79" t="n">
        <v>265</v>
      </c>
      <c r="H16" s="79" t="n">
        <v>100</v>
      </c>
      <c r="I16" s="26">
        <f>SUM(J16:O16)</f>
        <v/>
      </c>
      <c r="J16" s="26" t="n">
        <v>5.48</v>
      </c>
      <c r="K16" s="26" t="n">
        <v>5.95</v>
      </c>
      <c r="L16" s="26" t="n">
        <v>6.07</v>
      </c>
      <c r="M16" s="26" t="n">
        <v>0.74</v>
      </c>
      <c r="N16" s="26" t="n">
        <v>0.13</v>
      </c>
      <c r="O16" s="26" t="n">
        <v>0.15</v>
      </c>
      <c r="P16" s="26" t="inlineStr">
        <is>
          <t>-</t>
        </is>
      </c>
      <c r="Q16" s="11">
        <f>((H16-(SUM(J16)))/H16)*100</f>
        <v/>
      </c>
      <c r="R16" s="11">
        <f>((H16-(SUM(J16:K16)))/H16)*100</f>
        <v/>
      </c>
      <c r="S16" s="11">
        <f>((H16-(SUM(J16:L16)))/H16)*100</f>
        <v/>
      </c>
      <c r="T16" s="11">
        <f>((H16-(SUM(J16:M16)))/H16)*100</f>
        <v/>
      </c>
      <c r="U16" s="11">
        <f>((H16-(SUM(J16:N16)))/H16)*100</f>
        <v/>
      </c>
      <c r="V16" s="11">
        <f>((H16-(SUM(J16:O16)))/H16)*100</f>
        <v/>
      </c>
      <c r="W16" s="11">
        <f>100-Q16</f>
        <v/>
      </c>
      <c r="X16" s="11">
        <f>Q16-V16</f>
        <v/>
      </c>
      <c r="Y16" s="11">
        <f>V16</f>
        <v/>
      </c>
    </row>
    <row r="17" ht="30" customHeight="1" s="49">
      <c r="A17" s="75" t="n">
        <v>13</v>
      </c>
      <c r="B17" s="107" t="n"/>
      <c r="C17" s="107" t="n"/>
      <c r="D17" s="107" t="n"/>
      <c r="E17" s="79" t="inlineStr">
        <is>
          <t>UDS</t>
        </is>
      </c>
      <c r="F17" s="79" t="n">
        <v>19.5</v>
      </c>
      <c r="G17" s="79" t="n">
        <v>279</v>
      </c>
      <c r="H17" s="79" t="n">
        <v>200</v>
      </c>
      <c r="I17" s="26">
        <f>SUM(J17:O17)</f>
        <v/>
      </c>
      <c r="J17" s="26" t="n">
        <v>4.04</v>
      </c>
      <c r="K17" s="26" t="n">
        <v>9.66</v>
      </c>
      <c r="L17" s="26" t="n">
        <v>48.05</v>
      </c>
      <c r="M17" s="26" t="n">
        <v>15.21</v>
      </c>
      <c r="N17" s="26" t="n">
        <v>3.08</v>
      </c>
      <c r="O17" s="26" t="n">
        <v>3.69</v>
      </c>
      <c r="P17" s="26" t="inlineStr">
        <is>
          <t>-</t>
        </is>
      </c>
      <c r="Q17" s="11">
        <f>((H17-(SUM(J17)))/H17)*100</f>
        <v/>
      </c>
      <c r="R17" s="11">
        <f>((H17-(SUM(J17:K17)))/H17)*100</f>
        <v/>
      </c>
      <c r="S17" s="11">
        <f>((H17-(SUM(J17:L17)))/H17)*100</f>
        <v/>
      </c>
      <c r="T17" s="11">
        <f>((H17-(SUM(J17:M17)))/H17)*100</f>
        <v/>
      </c>
      <c r="U17" s="11">
        <f>((H17-(SUM(J17:N17)))/H17)*100</f>
        <v/>
      </c>
      <c r="V17" s="11">
        <f>((H17-(SUM(J17:O17)))/H17)*100</f>
        <v/>
      </c>
      <c r="W17" s="11">
        <f>100-Q17</f>
        <v/>
      </c>
      <c r="X17" s="11">
        <f>Q17-V17</f>
        <v/>
      </c>
      <c r="Y17" s="11">
        <f>V17</f>
        <v/>
      </c>
    </row>
    <row r="18" ht="30" customHeight="1" s="49">
      <c r="A18" s="75" t="n">
        <v>14</v>
      </c>
      <c r="B18" s="107" t="n"/>
      <c r="C18" s="107" t="n"/>
      <c r="D18" s="107" t="n"/>
      <c r="E18" s="79" t="inlineStr">
        <is>
          <t>SPT</t>
        </is>
      </c>
      <c r="F18" s="79" t="n">
        <v>20</v>
      </c>
      <c r="G18" s="79" t="n">
        <v>243</v>
      </c>
      <c r="H18" s="79" t="n">
        <v>100</v>
      </c>
      <c r="I18" s="26">
        <f>SUM(J18:O18)</f>
        <v/>
      </c>
      <c r="J18" s="26" t="n">
        <v>1.77</v>
      </c>
      <c r="K18" s="26" t="n">
        <v>3.84</v>
      </c>
      <c r="L18" s="26" t="n">
        <v>5.62</v>
      </c>
      <c r="M18" s="26" t="n">
        <v>1.62</v>
      </c>
      <c r="N18" s="26" t="n">
        <v>0.39</v>
      </c>
      <c r="O18" s="26" t="n">
        <v>0.35</v>
      </c>
      <c r="P18" s="26" t="inlineStr">
        <is>
          <t>-</t>
        </is>
      </c>
      <c r="Q18" s="11">
        <f>((H18-(SUM(J18)))/H18)*100</f>
        <v/>
      </c>
      <c r="R18" s="11">
        <f>((H18-(SUM(J18:K18)))/H18)*100</f>
        <v/>
      </c>
      <c r="S18" s="11">
        <f>((H18-(SUM(J18:L18)))/H18)*100</f>
        <v/>
      </c>
      <c r="T18" s="11">
        <f>((H18-(SUM(J18:M18)))/H18)*100</f>
        <v/>
      </c>
      <c r="U18" s="11">
        <f>((H18-(SUM(J18:N18)))/H18)*100</f>
        <v/>
      </c>
      <c r="V18" s="11">
        <f>((H18-(SUM(J18:O18)))/H18)*100</f>
        <v/>
      </c>
      <c r="W18" s="11">
        <f>100-Q18</f>
        <v/>
      </c>
      <c r="X18" s="11">
        <f>Q18-V18</f>
        <v/>
      </c>
      <c r="Y18" s="11">
        <f>V18</f>
        <v/>
      </c>
    </row>
    <row r="19" ht="30" customHeight="1" s="49">
      <c r="A19" s="75" t="n">
        <v>15</v>
      </c>
      <c r="B19" s="107" t="n"/>
      <c r="C19" s="107" t="n"/>
      <c r="D19" s="107" t="n"/>
      <c r="E19" s="79" t="inlineStr">
        <is>
          <t>UDS</t>
        </is>
      </c>
      <c r="F19" s="79" t="n">
        <v>22.5</v>
      </c>
      <c r="G19" s="79" t="n">
        <v>229</v>
      </c>
      <c r="H19" s="79" t="n">
        <v>200</v>
      </c>
      <c r="I19" s="26">
        <f>SUM(J19:O19)</f>
        <v/>
      </c>
      <c r="J19" s="26" t="n">
        <v>4.66</v>
      </c>
      <c r="K19" s="26" t="n">
        <v>4.95</v>
      </c>
      <c r="L19" s="26" t="n">
        <v>43</v>
      </c>
      <c r="M19" s="26" t="n">
        <v>19.72</v>
      </c>
      <c r="N19" s="26" t="n">
        <v>3.05</v>
      </c>
      <c r="O19" s="26" t="n">
        <v>1.6</v>
      </c>
      <c r="P19" s="26" t="inlineStr">
        <is>
          <t>-</t>
        </is>
      </c>
      <c r="Q19" s="11">
        <f>((H19-(SUM(J19)))/H19)*100</f>
        <v/>
      </c>
      <c r="R19" s="11">
        <f>((H19-(SUM(J19:K19)))/H19)*100</f>
        <v/>
      </c>
      <c r="S19" s="11">
        <f>((H19-(SUM(J19:L19)))/H19)*100</f>
        <v/>
      </c>
      <c r="T19" s="11">
        <f>((H19-(SUM(J19:M19)))/H19)*100</f>
        <v/>
      </c>
      <c r="U19" s="11">
        <f>((H19-(SUM(J19:N19)))/H19)*100</f>
        <v/>
      </c>
      <c r="V19" s="11">
        <f>((H19-(SUM(J19:O19)))/H19)*100</f>
        <v/>
      </c>
      <c r="W19" s="11">
        <f>100-Q19</f>
        <v/>
      </c>
      <c r="X19" s="11">
        <f>Q19-V19</f>
        <v/>
      </c>
      <c r="Y19" s="11">
        <f>V19</f>
        <v/>
      </c>
    </row>
    <row r="20" ht="30" customHeight="1" s="49">
      <c r="A20" s="75" t="n">
        <v>16</v>
      </c>
      <c r="B20" s="107" t="n"/>
      <c r="C20" s="107" t="n"/>
      <c r="D20" s="107" t="n"/>
      <c r="E20" s="79" t="inlineStr">
        <is>
          <t>UDS</t>
        </is>
      </c>
      <c r="F20" s="79" t="n">
        <v>25.5</v>
      </c>
      <c r="G20" s="79" t="n">
        <v>263</v>
      </c>
      <c r="H20" s="79" t="n">
        <v>200</v>
      </c>
      <c r="I20" s="26">
        <f>SUM(J20:O20)</f>
        <v/>
      </c>
      <c r="J20" s="26" t="n">
        <v>5.52</v>
      </c>
      <c r="K20" s="26" t="n">
        <v>9.83</v>
      </c>
      <c r="L20" s="26" t="n">
        <v>51.61</v>
      </c>
      <c r="M20" s="26" t="n">
        <v>10.28</v>
      </c>
      <c r="N20" s="26" t="n">
        <v>1.28</v>
      </c>
      <c r="O20" s="26" t="n">
        <v>0.79</v>
      </c>
      <c r="P20" s="26" t="inlineStr">
        <is>
          <t>-</t>
        </is>
      </c>
      <c r="Q20" s="11">
        <f>((H20-(SUM(J20)))/H20)*100</f>
        <v/>
      </c>
      <c r="R20" s="11">
        <f>((H20-(SUM(J20:K20)))/H20)*100</f>
        <v/>
      </c>
      <c r="S20" s="11">
        <f>((H20-(SUM(J20:L20)))/H20)*100</f>
        <v/>
      </c>
      <c r="T20" s="11">
        <f>((H20-(SUM(J20:M20)))/H20)*100</f>
        <v/>
      </c>
      <c r="U20" s="11">
        <f>((H20-(SUM(J20:N20)))/H20)*100</f>
        <v/>
      </c>
      <c r="V20" s="11">
        <f>((H20-(SUM(J20:O20)))/H20)*100</f>
        <v/>
      </c>
      <c r="W20" s="11">
        <f>100-Q20</f>
        <v/>
      </c>
      <c r="X20" s="11">
        <f>Q20-V20</f>
        <v/>
      </c>
      <c r="Y20" s="11">
        <f>V20</f>
        <v/>
      </c>
    </row>
    <row r="21" ht="30" customHeight="1" s="49">
      <c r="A21" s="75" t="n">
        <v>17</v>
      </c>
      <c r="B21" s="107" t="n"/>
      <c r="C21" s="107" t="n"/>
      <c r="D21" s="107" t="n"/>
      <c r="E21" s="79" t="inlineStr">
        <is>
          <t>SPT</t>
        </is>
      </c>
      <c r="F21" s="79" t="n">
        <v>27.5</v>
      </c>
      <c r="G21" s="79" t="n">
        <v>0</v>
      </c>
      <c r="H21" s="79" t="n">
        <v>100</v>
      </c>
      <c r="I21" s="26">
        <f>SUM(J21:O21)</f>
        <v/>
      </c>
      <c r="J21" s="26" t="n">
        <v>1.76</v>
      </c>
      <c r="K21" s="26" t="n">
        <v>2.75</v>
      </c>
      <c r="L21" s="26" t="n">
        <v>4.02</v>
      </c>
      <c r="M21" s="26" t="n">
        <v>1.49</v>
      </c>
      <c r="N21" s="26" t="n">
        <v>0.43</v>
      </c>
      <c r="O21" s="26" t="n">
        <v>0.61</v>
      </c>
      <c r="P21" s="26" t="inlineStr">
        <is>
          <t>-</t>
        </is>
      </c>
      <c r="Q21" s="11">
        <f>((H21-(SUM(J21)))/H21)*100</f>
        <v/>
      </c>
      <c r="R21" s="11">
        <f>((H21-(SUM(J21:K21)))/H21)*100</f>
        <v/>
      </c>
      <c r="S21" s="11">
        <f>((H21-(SUM(J21:L21)))/H21)*100</f>
        <v/>
      </c>
      <c r="T21" s="11">
        <f>((H21-(SUM(J21:M21)))/H21)*100</f>
        <v/>
      </c>
      <c r="U21" s="11">
        <f>((H21-(SUM(J21:N21)))/H21)*100</f>
        <v/>
      </c>
      <c r="V21" s="11">
        <f>((H21-(SUM(J21:O21)))/H21)*100</f>
        <v/>
      </c>
      <c r="W21" s="11">
        <f>100-Q21</f>
        <v/>
      </c>
      <c r="X21" s="11">
        <f>Q21-V21</f>
        <v/>
      </c>
      <c r="Y21" s="11">
        <f>V21</f>
        <v/>
      </c>
    </row>
    <row r="22" ht="30" customHeight="1" s="49">
      <c r="A22" s="75" t="n">
        <v>18</v>
      </c>
      <c r="B22" s="107" t="n"/>
      <c r="C22" s="107" t="n"/>
      <c r="D22" s="107" t="n"/>
      <c r="E22" s="79" t="inlineStr">
        <is>
          <t>UDS</t>
        </is>
      </c>
      <c r="F22" s="79" t="n">
        <v>28.5</v>
      </c>
      <c r="G22" s="79" t="n">
        <v>86</v>
      </c>
      <c r="H22" s="79" t="n">
        <v>200</v>
      </c>
      <c r="I22" s="26">
        <f>SUM(J22:O22)</f>
        <v/>
      </c>
      <c r="J22" s="26" t="n">
        <v>3.33</v>
      </c>
      <c r="K22" s="26" t="n">
        <v>8.390000000000001</v>
      </c>
      <c r="L22" s="26" t="n">
        <v>50.34</v>
      </c>
      <c r="M22" s="26" t="n">
        <v>19.91</v>
      </c>
      <c r="N22" s="26" t="n">
        <v>3.77</v>
      </c>
      <c r="O22" s="26" t="n">
        <v>2.6</v>
      </c>
      <c r="P22" s="26" t="inlineStr">
        <is>
          <t>-</t>
        </is>
      </c>
      <c r="Q22" s="11">
        <f>((H22-(SUM(J22)))/H22)*100</f>
        <v/>
      </c>
      <c r="R22" s="11">
        <f>((H22-(SUM(J22:K22)))/H22)*100</f>
        <v/>
      </c>
      <c r="S22" s="11">
        <f>((H22-(SUM(J22:L22)))/H22)*100</f>
        <v/>
      </c>
      <c r="T22" s="11">
        <f>((H22-(SUM(J22:M22)))/H22)*100</f>
        <v/>
      </c>
      <c r="U22" s="11">
        <f>((H22-(SUM(J22:N22)))/H22)*100</f>
        <v/>
      </c>
      <c r="V22" s="11">
        <f>((H22-(SUM(J22:O22)))/H22)*100</f>
        <v/>
      </c>
      <c r="W22" s="11">
        <f>100-Q22</f>
        <v/>
      </c>
      <c r="X22" s="11">
        <f>Q22-V22</f>
        <v/>
      </c>
      <c r="Y22" s="11">
        <f>V22</f>
        <v/>
      </c>
    </row>
    <row r="23" ht="30" customHeight="1" s="49">
      <c r="A23" s="75" t="n">
        <v>19</v>
      </c>
      <c r="B23" s="103" t="n"/>
      <c r="C23" s="103" t="n"/>
      <c r="D23" s="103" t="n"/>
      <c r="E23" s="79" t="inlineStr">
        <is>
          <t>SPT</t>
        </is>
      </c>
      <c r="F23" s="79" t="n">
        <v>30</v>
      </c>
      <c r="G23" s="79" t="n">
        <v>273</v>
      </c>
      <c r="H23" s="79" t="n">
        <v>100</v>
      </c>
      <c r="I23" s="26">
        <f>SUM(J23:O23)</f>
        <v/>
      </c>
      <c r="J23" s="26" t="n">
        <v>0</v>
      </c>
      <c r="K23" s="26" t="n">
        <v>0.17</v>
      </c>
      <c r="L23" s="26" t="n">
        <v>1.08</v>
      </c>
      <c r="M23" s="26" t="n">
        <v>0.36</v>
      </c>
      <c r="N23" s="26" t="n">
        <v>0.11</v>
      </c>
      <c r="O23" s="26" t="n">
        <v>0.16</v>
      </c>
      <c r="P23" s="26" t="inlineStr">
        <is>
          <t>-</t>
        </is>
      </c>
      <c r="Q23" s="11">
        <f>((H23-(SUM(J23)))/H23)*100</f>
        <v/>
      </c>
      <c r="R23" s="11">
        <f>((H23-(SUM(J23:K23)))/H23)*100</f>
        <v/>
      </c>
      <c r="S23" s="11">
        <f>((H23-(SUM(J23:L23)))/H23)*100</f>
        <v/>
      </c>
      <c r="T23" s="11">
        <f>((H23-(SUM(J23:M23)))/H23)*100</f>
        <v/>
      </c>
      <c r="U23" s="11">
        <f>((H23-(SUM(J23:N23)))/H23)*100</f>
        <v/>
      </c>
      <c r="V23" s="11">
        <f>((H23-(SUM(J23:O23)))/H23)*100</f>
        <v/>
      </c>
      <c r="W23" s="11">
        <f>100-Q23</f>
        <v/>
      </c>
      <c r="X23" s="11">
        <f>Q23-V23</f>
        <v/>
      </c>
      <c r="Y23" s="11">
        <f>V23</f>
        <v/>
      </c>
    </row>
  </sheetData>
  <mergeCells count="21">
    <mergeCell ref="D5:D23"/>
    <mergeCell ref="A2:A4"/>
    <mergeCell ref="C2:C4"/>
    <mergeCell ref="Q4:V4"/>
    <mergeCell ref="X2:X3"/>
    <mergeCell ref="J2:P2"/>
    <mergeCell ref="F2:F3"/>
    <mergeCell ref="H2:H3"/>
    <mergeCell ref="Y2:Y3"/>
    <mergeCell ref="C5:C23"/>
    <mergeCell ref="E2:E3"/>
    <mergeCell ref="W2:W3"/>
    <mergeCell ref="Q2:V2"/>
    <mergeCell ref="A1:Y1"/>
    <mergeCell ref="W4:Y4"/>
    <mergeCell ref="B2:B4"/>
    <mergeCell ref="D2:D4"/>
    <mergeCell ref="J4:P4"/>
    <mergeCell ref="G2:G3"/>
    <mergeCell ref="I2:I3"/>
    <mergeCell ref="B5:B2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3"/>
  <sheetViews>
    <sheetView topLeftCell="M1" zoomScaleNormal="100" workbookViewId="0">
      <selection activeCell="Y25" sqref="Y25"/>
    </sheetView>
  </sheetViews>
  <sheetFormatPr baseColWidth="8" defaultRowHeight="15"/>
  <cols>
    <col width="9.7109375" customWidth="1" style="49" min="5" max="12"/>
    <col width="9.7109375" bestFit="1" customWidth="1" style="49" min="13" max="36"/>
    <col width="9.7109375" bestFit="1" customWidth="1" style="49" min="39" max="49"/>
    <col width="10.5703125" bestFit="1" customWidth="1" style="49" min="50" max="50"/>
  </cols>
  <sheetData>
    <row r="1">
      <c r="A1" s="108" t="inlineStr">
        <is>
          <t>Sr No.</t>
        </is>
      </c>
      <c r="B1" s="109" t="inlineStr">
        <is>
          <t>BH ID</t>
        </is>
      </c>
      <c r="C1" s="109" t="inlineStr">
        <is>
          <t>Depth</t>
        </is>
      </c>
      <c r="D1" s="108" t="inlineStr">
        <is>
          <t>Sample Type</t>
        </is>
      </c>
      <c r="E1" s="108" t="inlineStr">
        <is>
          <t xml:space="preserve">Temperature </t>
        </is>
      </c>
      <c r="F1" s="108" t="inlineStr">
        <is>
          <t xml:space="preserve">Coefficent of Viscosity </t>
        </is>
      </c>
      <c r="G1" s="108" t="inlineStr">
        <is>
          <t>SPGR</t>
        </is>
      </c>
      <c r="H1" s="108" t="inlineStr">
        <is>
          <t xml:space="preserve"> Meniscus Correction (Cm)</t>
        </is>
      </c>
      <c r="I1" s="89" t="inlineStr">
        <is>
          <t>Hydrometer No.</t>
        </is>
      </c>
      <c r="J1" s="108" t="inlineStr">
        <is>
          <t>Cylinder Type</t>
        </is>
      </c>
      <c r="K1" s="108" t="inlineStr">
        <is>
          <t>Mt (temperature correction)</t>
        </is>
      </c>
      <c r="L1" s="108" t="inlineStr">
        <is>
          <t>X (dispersion correction)</t>
        </is>
      </c>
      <c r="M1" s="87" t="inlineStr">
        <is>
          <t xml:space="preserve"> Hydrometer Reading at Elapsed Time (min)</t>
        </is>
      </c>
      <c r="N1" s="100" t="n"/>
      <c r="O1" s="100" t="n"/>
      <c r="P1" s="100" t="n"/>
      <c r="Q1" s="100" t="n"/>
      <c r="R1" s="100" t="n"/>
      <c r="S1" s="100" t="n"/>
      <c r="T1" s="100" t="n"/>
      <c r="U1" s="100" t="n"/>
      <c r="V1" s="100" t="n"/>
      <c r="W1" s="100" t="n"/>
      <c r="X1" s="100" t="n"/>
      <c r="Y1" s="101" t="n"/>
      <c r="Z1" s="87" t="inlineStr">
        <is>
          <t>Diameter of the particle at Elapsed Time</t>
        </is>
      </c>
      <c r="AA1" s="100" t="n"/>
      <c r="AB1" s="100" t="n"/>
      <c r="AC1" s="100" t="n"/>
      <c r="AD1" s="100" t="n"/>
      <c r="AE1" s="100" t="n"/>
      <c r="AF1" s="100" t="n"/>
      <c r="AG1" s="100" t="n"/>
      <c r="AH1" s="100" t="n"/>
      <c r="AI1" s="100" t="n"/>
      <c r="AJ1" s="100" t="n"/>
      <c r="AK1" s="100" t="n"/>
      <c r="AL1" s="101" t="n"/>
      <c r="AM1" s="88" t="inlineStr">
        <is>
          <t>Percentge finer than Diameter of the particle at Elapsed Time</t>
        </is>
      </c>
      <c r="AN1" s="100" t="n"/>
      <c r="AO1" s="100" t="n"/>
      <c r="AP1" s="100" t="n"/>
      <c r="AQ1" s="100" t="n"/>
      <c r="AR1" s="100" t="n"/>
      <c r="AS1" s="100" t="n"/>
      <c r="AT1" s="100" t="n"/>
      <c r="AU1" s="100" t="n"/>
      <c r="AV1" s="100" t="n"/>
      <c r="AW1" s="100" t="n"/>
      <c r="AX1" s="100" t="n"/>
      <c r="AY1" s="101" t="n"/>
      <c r="AZ1" s="22" t="n"/>
      <c r="BA1" s="22" t="n"/>
    </row>
    <row r="2">
      <c r="A2" s="102" t="n"/>
      <c r="B2" s="102" t="n"/>
      <c r="C2" s="102" t="n"/>
      <c r="D2" s="102" t="n"/>
      <c r="E2" s="102" t="n"/>
      <c r="F2" s="102" t="n"/>
      <c r="G2" s="102" t="n"/>
      <c r="H2" s="102" t="n"/>
      <c r="I2" s="107" t="n"/>
      <c r="J2" s="102" t="n"/>
      <c r="K2" s="102" t="n"/>
      <c r="L2" s="102" t="n"/>
      <c r="M2" s="110" t="n">
        <v>0.5</v>
      </c>
      <c r="N2" s="86" t="n">
        <v>1</v>
      </c>
      <c r="O2" s="86" t="n">
        <v>2</v>
      </c>
      <c r="P2" s="86" t="n">
        <v>4</v>
      </c>
      <c r="Q2" s="86" t="n">
        <v>8</v>
      </c>
      <c r="R2" s="86" t="n">
        <v>15</v>
      </c>
      <c r="S2" s="86" t="n">
        <v>30</v>
      </c>
      <c r="T2" s="86" t="n">
        <v>60</v>
      </c>
      <c r="U2" s="86" t="n">
        <v>120</v>
      </c>
      <c r="V2" s="86" t="n">
        <v>240</v>
      </c>
      <c r="W2" s="86" t="n">
        <v>480</v>
      </c>
      <c r="X2" s="86" t="n">
        <v>960</v>
      </c>
      <c r="Y2" s="86" t="n">
        <v>1440</v>
      </c>
      <c r="Z2" s="110" t="n">
        <v>0.5</v>
      </c>
      <c r="AA2" s="86" t="n">
        <v>1</v>
      </c>
      <c r="AB2" s="86" t="n">
        <v>2</v>
      </c>
      <c r="AC2" s="86" t="n">
        <v>4</v>
      </c>
      <c r="AD2" s="86" t="n">
        <v>8</v>
      </c>
      <c r="AE2" s="86" t="n">
        <v>15</v>
      </c>
      <c r="AF2" s="86" t="n">
        <v>30</v>
      </c>
      <c r="AG2" s="86" t="n">
        <v>60</v>
      </c>
      <c r="AH2" s="86" t="n">
        <v>120</v>
      </c>
      <c r="AI2" s="86" t="n">
        <v>240</v>
      </c>
      <c r="AJ2" s="86" t="n">
        <v>480</v>
      </c>
      <c r="AK2" s="86" t="n">
        <v>960</v>
      </c>
      <c r="AL2" s="86" t="n">
        <v>1440</v>
      </c>
      <c r="AM2" s="110" t="n">
        <v>0.5</v>
      </c>
      <c r="AN2" s="86" t="n">
        <v>1</v>
      </c>
      <c r="AO2" s="86" t="n">
        <v>2</v>
      </c>
      <c r="AP2" s="86" t="n">
        <v>4</v>
      </c>
      <c r="AQ2" s="86" t="n">
        <v>8</v>
      </c>
      <c r="AR2" s="86" t="n">
        <v>15</v>
      </c>
      <c r="AS2" s="86" t="n">
        <v>30</v>
      </c>
      <c r="AT2" s="86" t="n">
        <v>60</v>
      </c>
      <c r="AU2" s="86" t="n">
        <v>120</v>
      </c>
      <c r="AV2" s="86" t="n">
        <v>240</v>
      </c>
      <c r="AW2" s="86" t="n">
        <v>480</v>
      </c>
      <c r="AX2" s="86" t="n">
        <v>960</v>
      </c>
      <c r="AY2" s="86" t="n">
        <v>1440</v>
      </c>
      <c r="AZ2" s="22" t="n"/>
      <c r="BA2" s="22" t="n"/>
    </row>
    <row r="3">
      <c r="A3" s="102" t="n"/>
      <c r="B3" s="102" t="n"/>
      <c r="C3" s="102" t="n"/>
      <c r="D3" s="104" t="n"/>
      <c r="E3" s="104" t="n"/>
      <c r="F3" s="104" t="n"/>
      <c r="G3" s="104" t="n"/>
      <c r="H3" s="104" t="n"/>
      <c r="I3" s="103" t="n"/>
      <c r="J3" s="104" t="n"/>
      <c r="K3" s="104" t="n"/>
      <c r="L3" s="104" t="n"/>
      <c r="M3" s="103" t="n"/>
      <c r="N3" s="103" t="n"/>
      <c r="O3" s="103" t="n"/>
      <c r="P3" s="103" t="n"/>
      <c r="Q3" s="103" t="n"/>
      <c r="R3" s="103" t="n"/>
      <c r="S3" s="103" t="n"/>
      <c r="T3" s="103" t="n"/>
      <c r="U3" s="103" t="n"/>
      <c r="V3" s="103" t="n"/>
      <c r="W3" s="103" t="n"/>
      <c r="X3" s="103" t="n"/>
      <c r="Y3" s="103" t="n"/>
      <c r="Z3" s="103" t="n"/>
      <c r="AA3" s="103" t="n"/>
      <c r="AB3" s="103" t="n"/>
      <c r="AC3" s="103" t="n"/>
      <c r="AD3" s="103" t="n"/>
      <c r="AE3" s="103" t="n"/>
      <c r="AF3" s="103" t="n"/>
      <c r="AG3" s="103" t="n"/>
      <c r="AH3" s="103" t="n"/>
      <c r="AI3" s="103" t="n"/>
      <c r="AJ3" s="103" t="n"/>
      <c r="AK3" s="103" t="n"/>
      <c r="AL3" s="103" t="n"/>
      <c r="AM3" s="103" t="n"/>
      <c r="AN3" s="103" t="n"/>
      <c r="AO3" s="103" t="n"/>
      <c r="AP3" s="103" t="n"/>
      <c r="AQ3" s="103" t="n"/>
      <c r="AR3" s="103" t="n"/>
      <c r="AS3" s="103" t="n"/>
      <c r="AT3" s="103" t="n"/>
      <c r="AU3" s="103" t="n"/>
      <c r="AV3" s="103" t="n"/>
      <c r="AW3" s="103" t="n"/>
      <c r="AX3" s="103" t="n"/>
      <c r="AY3" s="103" t="n"/>
      <c r="AZ3" s="22" t="n"/>
      <c r="BA3" s="22" t="n"/>
    </row>
    <row r="4">
      <c r="A4" s="104" t="n"/>
      <c r="B4" s="104" t="n"/>
      <c r="C4" s="104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89" t="inlineStr">
        <is>
          <t>-</t>
        </is>
      </c>
      <c r="J4" s="91" t="n"/>
      <c r="K4" s="91" t="inlineStr">
        <is>
          <t>-</t>
        </is>
      </c>
      <c r="L4" s="91" t="inlineStr">
        <is>
          <t>-</t>
        </is>
      </c>
      <c r="M4" s="89" t="n"/>
      <c r="N4" s="100" t="n"/>
      <c r="O4" s="100" t="n"/>
      <c r="P4" s="100" t="n"/>
      <c r="Q4" s="100" t="n"/>
      <c r="R4" s="100" t="n"/>
      <c r="S4" s="100" t="n"/>
      <c r="T4" s="100" t="n"/>
      <c r="U4" s="100" t="n"/>
      <c r="V4" s="100" t="n"/>
      <c r="W4" s="100" t="n"/>
      <c r="X4" s="100" t="n"/>
      <c r="Y4" s="101" t="n"/>
      <c r="Z4" s="89" t="inlineStr">
        <is>
          <t>(mm)</t>
        </is>
      </c>
      <c r="AA4" s="100" t="n"/>
      <c r="AB4" s="100" t="n"/>
      <c r="AC4" s="100" t="n"/>
      <c r="AD4" s="100" t="n"/>
      <c r="AE4" s="100" t="n"/>
      <c r="AF4" s="100" t="n"/>
      <c r="AG4" s="100" t="n"/>
      <c r="AH4" s="100" t="n"/>
      <c r="AI4" s="100" t="n"/>
      <c r="AJ4" s="100" t="n"/>
      <c r="AK4" s="100" t="n"/>
      <c r="AL4" s="101" t="n"/>
      <c r="AM4" s="89" t="inlineStr">
        <is>
          <t>(%)</t>
        </is>
      </c>
      <c r="AN4" s="100" t="n"/>
      <c r="AO4" s="100" t="n"/>
      <c r="AP4" s="100" t="n"/>
      <c r="AQ4" s="100" t="n"/>
      <c r="AR4" s="100" t="n"/>
      <c r="AS4" s="100" t="n"/>
      <c r="AT4" s="100" t="n"/>
      <c r="AU4" s="100" t="n"/>
      <c r="AV4" s="100" t="n"/>
      <c r="AW4" s="100" t="n"/>
      <c r="AX4" s="100" t="n"/>
      <c r="AY4" s="101" t="n"/>
      <c r="AZ4" s="20" t="n"/>
      <c r="BA4" s="20" t="n"/>
    </row>
    <row r="5">
      <c r="A5" s="43" t="n">
        <v>1</v>
      </c>
      <c r="B5" s="43">
        <f>GSD!B5</f>
        <v/>
      </c>
      <c r="C5" s="34">
        <f>GSD!F5</f>
        <v/>
      </c>
      <c r="D5" s="37">
        <f>GSD!E5</f>
        <v/>
      </c>
      <c r="E5" s="34" t="n">
        <v>27</v>
      </c>
      <c r="F5" s="38">
        <f>(0.000000002615*E5^4) - (0.00000030607*E5^3) + (0.000016427499*E5^2) - (0.000618546309*E5) + 0.017919182437</f>
        <v/>
      </c>
      <c r="G5" s="111" t="n"/>
      <c r="H5" s="43" t="n">
        <v>0.0005</v>
      </c>
      <c r="I5" s="43" t="n">
        <v>1</v>
      </c>
      <c r="J5" s="43" t="n">
        <v>1</v>
      </c>
      <c r="K5" s="44">
        <f>(E5-27)*0.25</f>
        <v/>
      </c>
      <c r="L5" s="43" t="n">
        <v>0.3</v>
      </c>
      <c r="M5" s="111" t="n"/>
      <c r="N5" s="111" t="n"/>
      <c r="O5" s="111" t="n"/>
      <c r="P5" s="111" t="n"/>
      <c r="Q5" s="111" t="n"/>
      <c r="R5" s="111" t="n"/>
      <c r="S5" s="111" t="n"/>
      <c r="T5" s="111" t="n"/>
      <c r="U5" s="111" t="n"/>
      <c r="V5" s="111" t="n"/>
      <c r="W5" s="111" t="n"/>
      <c r="X5" s="111" t="n"/>
      <c r="Y5" s="111" t="n"/>
      <c r="Z5" s="33" t="n"/>
      <c r="AA5" s="33" t="n"/>
      <c r="AB5" s="33" t="n"/>
      <c r="AC5" s="33" t="n"/>
      <c r="AD5" s="33" t="n"/>
      <c r="AE5" s="33" t="n"/>
      <c r="AF5" s="33" t="n"/>
      <c r="AG5" s="33" t="n"/>
      <c r="AH5" s="33" t="n"/>
      <c r="AI5" s="33" t="n"/>
      <c r="AJ5" s="33" t="n"/>
      <c r="AK5" s="33" t="n"/>
      <c r="AL5" s="33" t="n"/>
      <c r="AM5" s="34" t="n"/>
      <c r="AN5" s="34" t="n"/>
      <c r="AO5" s="34" t="n"/>
      <c r="AP5" s="34" t="n"/>
      <c r="AQ5" s="34" t="n"/>
      <c r="AR5" s="34" t="n"/>
      <c r="AS5" s="34" t="n"/>
      <c r="AT5" s="34" t="n"/>
      <c r="AU5" s="34" t="n"/>
      <c r="AV5" s="34" t="n"/>
      <c r="AW5" s="34" t="n"/>
      <c r="AX5" s="34" t="n"/>
      <c r="AY5" s="34" t="n"/>
      <c r="AZ5" s="48" t="n"/>
      <c r="BA5" s="48" t="n"/>
    </row>
    <row r="6">
      <c r="A6" s="43" t="n">
        <v>2</v>
      </c>
      <c r="B6" s="43">
        <f>B5</f>
        <v/>
      </c>
      <c r="C6" s="34">
        <f>GSD!F6</f>
        <v/>
      </c>
      <c r="D6" s="37">
        <f>GSD!E6</f>
        <v/>
      </c>
      <c r="E6" s="34" t="n">
        <v>27</v>
      </c>
      <c r="F6" s="38">
        <f>(0.000000002615*E6^4) - (0.00000030607*E6^3) + (0.000016427499*E6^2) - (0.000618546309*E6) + 0.017919182437</f>
        <v/>
      </c>
      <c r="G6" s="111" t="n"/>
      <c r="H6" s="43" t="n">
        <v>0.0005</v>
      </c>
      <c r="I6" s="43" t="n">
        <v>1</v>
      </c>
      <c r="J6" s="43" t="n">
        <v>1</v>
      </c>
      <c r="K6" s="44">
        <f>(E6-27)*0.25</f>
        <v/>
      </c>
      <c r="L6" s="43" t="n">
        <v>0.3</v>
      </c>
      <c r="M6" s="112" t="n"/>
      <c r="N6" s="112" t="n"/>
      <c r="O6" s="112" t="n"/>
      <c r="P6" s="112" t="n"/>
      <c r="Q6" s="112" t="n"/>
      <c r="R6" s="112" t="n"/>
      <c r="S6" s="112" t="n"/>
      <c r="T6" s="112" t="n"/>
      <c r="U6" s="112" t="n"/>
      <c r="V6" s="112" t="n"/>
      <c r="W6" s="112" t="n"/>
      <c r="X6" s="112" t="n"/>
      <c r="Y6" s="112" t="n"/>
      <c r="Z6" s="33" t="n"/>
      <c r="AA6" s="33" t="n"/>
      <c r="AB6" s="33" t="n"/>
      <c r="AC6" s="33" t="n"/>
      <c r="AD6" s="33" t="n"/>
      <c r="AE6" s="33" t="n"/>
      <c r="AF6" s="33" t="n"/>
      <c r="AG6" s="33" t="n"/>
      <c r="AH6" s="33" t="n"/>
      <c r="AI6" s="33" t="n"/>
      <c r="AJ6" s="33" t="n"/>
      <c r="AK6" s="33" t="n"/>
      <c r="AL6" s="33" t="n"/>
      <c r="AM6" s="34" t="n"/>
      <c r="AN6" s="34" t="n"/>
      <c r="AO6" s="34" t="n"/>
      <c r="AP6" s="34" t="n"/>
      <c r="AQ6" s="34" t="n"/>
      <c r="AR6" s="34" t="n"/>
      <c r="AS6" s="34" t="n"/>
      <c r="AT6" s="34" t="n"/>
      <c r="AU6" s="34" t="n"/>
      <c r="AV6" s="34" t="n"/>
      <c r="AW6" s="34" t="n"/>
      <c r="AX6" s="34" t="n"/>
      <c r="AY6" s="34" t="n"/>
      <c r="AZ6" s="48" t="n"/>
      <c r="BA6" s="48" t="n"/>
    </row>
    <row r="7" customFormat="1" s="41">
      <c r="A7" s="37" t="n">
        <v>3</v>
      </c>
      <c r="B7" s="37">
        <f>B6</f>
        <v/>
      </c>
      <c r="C7" s="34">
        <f>GSD!F7</f>
        <v/>
      </c>
      <c r="D7" s="37">
        <f>GSD!E7</f>
        <v/>
      </c>
      <c r="E7" s="34" t="n">
        <v>27</v>
      </c>
      <c r="F7" s="38" t="n">
        <v>0.008559421270000001</v>
      </c>
      <c r="G7" s="111" t="n">
        <v>2.7</v>
      </c>
      <c r="H7" s="37" t="n">
        <v>0.0005</v>
      </c>
      <c r="I7" s="37" t="n">
        <v>1</v>
      </c>
      <c r="J7" s="37" t="n">
        <v>1</v>
      </c>
      <c r="K7" s="34" t="n">
        <v>0</v>
      </c>
      <c r="L7" s="37" t="n">
        <v>0.3</v>
      </c>
      <c r="M7" s="111" t="n">
        <v>1.019</v>
      </c>
      <c r="N7" s="111" t="n">
        <v>1.019</v>
      </c>
      <c r="O7" s="111" t="n">
        <v>1.018</v>
      </c>
      <c r="P7" s="111" t="n">
        <v>1.018</v>
      </c>
      <c r="Q7" s="111" t="n">
        <v>1.017</v>
      </c>
      <c r="R7" s="111" t="n">
        <v>1.017</v>
      </c>
      <c r="S7" s="111" t="n">
        <v>1.016</v>
      </c>
      <c r="T7" s="111" t="n">
        <v>1.016</v>
      </c>
      <c r="U7" s="111" t="n">
        <v>1.015</v>
      </c>
      <c r="V7" s="111" t="n">
        <v>1.015</v>
      </c>
      <c r="W7" s="111" t="n">
        <v>1.014</v>
      </c>
      <c r="X7" s="111" t="n">
        <v>1.014</v>
      </c>
      <c r="Y7" s="111" t="n">
        <v>1.014</v>
      </c>
      <c r="Z7" s="33" t="n">
        <v>0.05887885652409839</v>
      </c>
      <c r="AA7" s="33" t="n">
        <v>0.04163363871669976</v>
      </c>
      <c r="AB7" s="33" t="n">
        <v>0.02943942826204919</v>
      </c>
      <c r="AC7" s="33" t="n">
        <v>0.02110360643482038</v>
      </c>
      <c r="AD7" s="33" t="n">
        <v>0.01566574158770124</v>
      </c>
      <c r="AE7" s="33" t="n">
        <v>0.01157990391834507</v>
      </c>
      <c r="AF7" s="33" t="n">
        <v>0.008188228586150476</v>
      </c>
      <c r="AG7" s="33" t="n">
        <v>0.005858756362349211</v>
      </c>
      <c r="AH7" s="33" t="n">
        <v>0.004142766353136956</v>
      </c>
      <c r="AI7" s="33" t="n">
        <v>0.002963381030900725</v>
      </c>
      <c r="AJ7" s="33" t="n">
        <v>0.002119197694914588</v>
      </c>
      <c r="AK7" s="33" t="n">
        <v>0.001498499060749006</v>
      </c>
      <c r="AL7" s="33" t="n">
        <v>0.001237091235265412</v>
      </c>
      <c r="AM7" s="34" t="n">
        <v>59.40158823529381</v>
      </c>
      <c r="AN7" s="34" t="n">
        <v>59.40158823529381</v>
      </c>
      <c r="AO7" s="34" t="n">
        <v>59.40158823529381</v>
      </c>
      <c r="AP7" s="34" t="n">
        <v>56.22511764705887</v>
      </c>
      <c r="AQ7" s="34" t="n">
        <v>56.22511764705887</v>
      </c>
      <c r="AR7" s="34" t="n">
        <v>53.04864705882322</v>
      </c>
      <c r="AS7" s="34" t="n">
        <v>53.04864705882322</v>
      </c>
      <c r="AT7" s="34" t="n">
        <v>49.87217647058827</v>
      </c>
      <c r="AU7" s="34" t="n">
        <v>49.87217647058827</v>
      </c>
      <c r="AV7" s="34" t="n">
        <v>46.69570588235263</v>
      </c>
      <c r="AW7" s="34" t="n">
        <v>43.51923529411768</v>
      </c>
      <c r="AX7" s="34" t="n">
        <v>43.51923529411768</v>
      </c>
      <c r="AY7" s="34" t="n">
        <v>40.34276470588204</v>
      </c>
      <c r="AZ7" s="40" t="n"/>
      <c r="BA7" s="40" t="n"/>
    </row>
    <row r="8">
      <c r="A8" s="43" t="n">
        <v>4</v>
      </c>
      <c r="B8" s="43">
        <f>B7</f>
        <v/>
      </c>
      <c r="C8" s="34">
        <f>GSD!F8</f>
        <v/>
      </c>
      <c r="D8" s="37">
        <f>GSD!E8</f>
        <v/>
      </c>
      <c r="E8" s="34" t="n">
        <v>27</v>
      </c>
      <c r="F8" s="38" t="n">
        <v>0.008559421270000001</v>
      </c>
      <c r="G8" s="111" t="n">
        <v>2.74</v>
      </c>
      <c r="H8" s="43" t="n">
        <v>0.0005</v>
      </c>
      <c r="I8" s="43" t="n">
        <v>1</v>
      </c>
      <c r="J8" s="43" t="n">
        <v>1</v>
      </c>
      <c r="K8" s="44" t="n">
        <v>0</v>
      </c>
      <c r="L8" s="43" t="n">
        <v>0.3</v>
      </c>
      <c r="M8" s="112" t="n">
        <v>1.03</v>
      </c>
      <c r="N8" s="112" t="n">
        <v>1.029</v>
      </c>
      <c r="O8" s="112" t="n">
        <v>1.027</v>
      </c>
      <c r="P8" s="112" t="n">
        <v>1.026</v>
      </c>
      <c r="Q8" s="112" t="n">
        <v>1.025</v>
      </c>
      <c r="R8" s="112" t="n">
        <v>1.024</v>
      </c>
      <c r="S8" s="112" t="n">
        <v>1.023</v>
      </c>
      <c r="T8" s="112" t="n">
        <v>1.022</v>
      </c>
      <c r="U8" s="112" t="n">
        <v>1.021</v>
      </c>
      <c r="V8" s="112" t="n">
        <v>1.019</v>
      </c>
      <c r="W8" s="112" t="n">
        <v>1.018</v>
      </c>
      <c r="X8" s="112" t="n">
        <v>1.018</v>
      </c>
      <c r="Y8" s="112" t="n">
        <v>1.018</v>
      </c>
      <c r="Z8" s="33" t="n">
        <v>0.0548740140625194</v>
      </c>
      <c r="AA8" s="33" t="n">
        <v>0.03880178745453344</v>
      </c>
      <c r="AB8" s="33" t="n">
        <v>0.0274370070312597</v>
      </c>
      <c r="AC8" s="33" t="n">
        <v>0.01970128271267428</v>
      </c>
      <c r="AD8" s="33" t="n">
        <v>0.01470652911381904</v>
      </c>
      <c r="AE8" s="33" t="n">
        <v>0.0108849726413282</v>
      </c>
      <c r="AF8" s="33" t="n">
        <v>0.00779791188603085</v>
      </c>
      <c r="AG8" s="33" t="n">
        <v>0.005513956373707595</v>
      </c>
      <c r="AH8" s="33" t="n">
        <v>0.003948846187919044</v>
      </c>
      <c r="AI8" s="33" t="n">
        <v>0.002827093470873411</v>
      </c>
      <c r="AJ8" s="33" t="n">
        <v>0.001999056964302802</v>
      </c>
      <c r="AK8" s="33" t="n">
        <v>0.001413546735436705</v>
      </c>
      <c r="AL8" s="33" t="n">
        <v>0.001168205310022515</v>
      </c>
      <c r="AM8" s="34" t="n">
        <v>71.49352873563188</v>
      </c>
      <c r="AN8" s="34" t="n">
        <v>71.49352873563188</v>
      </c>
      <c r="AO8" s="34" t="n">
        <v>71.49352873563188</v>
      </c>
      <c r="AP8" s="34" t="n">
        <v>68.34410344827592</v>
      </c>
      <c r="AQ8" s="34" t="n">
        <v>68.34410344827592</v>
      </c>
      <c r="AR8" s="34" t="n">
        <v>65.19467816091924</v>
      </c>
      <c r="AS8" s="34" t="n">
        <v>62.04525287356327</v>
      </c>
      <c r="AT8" s="34" t="n">
        <v>62.04525287356327</v>
      </c>
      <c r="AU8" s="34" t="n">
        <v>58.8958275862066</v>
      </c>
      <c r="AV8" s="34" t="n">
        <v>55.74640229885061</v>
      </c>
      <c r="AW8" s="34" t="n">
        <v>55.74640229885061</v>
      </c>
      <c r="AX8" s="34" t="n">
        <v>55.74640229885061</v>
      </c>
      <c r="AY8" s="34" t="n">
        <v>52.59697701149395</v>
      </c>
      <c r="AZ8" s="48" t="n"/>
      <c r="BA8" s="48" t="n"/>
    </row>
    <row r="9" customFormat="1" s="41">
      <c r="A9" s="37" t="n">
        <v>5</v>
      </c>
      <c r="B9" s="37">
        <f>B8</f>
        <v/>
      </c>
      <c r="C9" s="34">
        <f>GSD!F9</f>
        <v/>
      </c>
      <c r="D9" s="37">
        <f>GSD!E9</f>
        <v/>
      </c>
      <c r="E9" s="34" t="n">
        <v>27</v>
      </c>
      <c r="F9" s="38" t="n">
        <v>0.008559421270000001</v>
      </c>
      <c r="G9" s="111" t="n">
        <v>2.7</v>
      </c>
      <c r="H9" s="37" t="n">
        <v>0.0005</v>
      </c>
      <c r="I9" s="37" t="n">
        <v>1</v>
      </c>
      <c r="J9" s="37" t="n">
        <v>1</v>
      </c>
      <c r="K9" s="34" t="n">
        <v>0</v>
      </c>
      <c r="L9" s="37" t="n">
        <v>0.3</v>
      </c>
      <c r="M9" s="111" t="n">
        <v>1.024</v>
      </c>
      <c r="N9" s="111" t="n">
        <v>1.023</v>
      </c>
      <c r="O9" s="111" t="n">
        <v>1.022</v>
      </c>
      <c r="P9" s="111" t="n">
        <v>1.022</v>
      </c>
      <c r="Q9" s="111" t="n">
        <v>1.021</v>
      </c>
      <c r="R9" s="111" t="n">
        <v>1.02</v>
      </c>
      <c r="S9" s="111" t="n">
        <v>1.019</v>
      </c>
      <c r="T9" s="111" t="n">
        <v>1.018</v>
      </c>
      <c r="U9" s="111" t="n">
        <v>1.017</v>
      </c>
      <c r="V9" s="111" t="n">
        <v>1.016</v>
      </c>
      <c r="W9" s="111" t="n">
        <v>1.015</v>
      </c>
      <c r="X9" s="111" t="n">
        <v>1.015</v>
      </c>
      <c r="Y9" s="111" t="n">
        <v>1.015</v>
      </c>
      <c r="Z9" s="33" t="n">
        <v>0.0580563679084764</v>
      </c>
      <c r="AA9" s="33" t="n">
        <v>0.04105205143914472</v>
      </c>
      <c r="AB9" s="33" t="n">
        <v>0.0290281839542382</v>
      </c>
      <c r="AC9" s="33" t="n">
        <v>0.02081681935834988</v>
      </c>
      <c r="AD9" s="33" t="n">
        <v>0.01547269664001144</v>
      </c>
      <c r="AE9" s="33" t="n">
        <v>0.01144064006350769</v>
      </c>
      <c r="AF9" s="33" t="n">
        <v>0.008089754170020778</v>
      </c>
      <c r="AG9" s="33" t="n">
        <v>0.005789951959172537</v>
      </c>
      <c r="AH9" s="33" t="n">
        <v>0.004142766353136956</v>
      </c>
      <c r="AI9" s="33" t="n">
        <v>0.002963381030900725</v>
      </c>
      <c r="AJ9" s="33" t="n">
        <v>0.002095426822189485</v>
      </c>
      <c r="AK9" s="33" t="n">
        <v>0.001498499060749006</v>
      </c>
      <c r="AL9" s="33" t="n">
        <v>0.001223519359624972</v>
      </c>
      <c r="AM9" s="34" t="n">
        <v>62.57805882352946</v>
      </c>
      <c r="AN9" s="34" t="n">
        <v>62.57805882352946</v>
      </c>
      <c r="AO9" s="34" t="n">
        <v>62.57805882352946</v>
      </c>
      <c r="AP9" s="34" t="n">
        <v>59.40158823529381</v>
      </c>
      <c r="AQ9" s="34" t="n">
        <v>59.40158823529381</v>
      </c>
      <c r="AR9" s="34" t="n">
        <v>56.22511764705887</v>
      </c>
      <c r="AS9" s="34" t="n">
        <v>56.22511764705887</v>
      </c>
      <c r="AT9" s="34" t="n">
        <v>53.04864705882322</v>
      </c>
      <c r="AU9" s="34" t="n">
        <v>49.87217647058827</v>
      </c>
      <c r="AV9" s="34" t="n">
        <v>46.69570588235263</v>
      </c>
      <c r="AW9" s="34" t="n">
        <v>46.69570588235263</v>
      </c>
      <c r="AX9" s="34" t="n">
        <v>43.51923529411768</v>
      </c>
      <c r="AY9" s="34" t="n">
        <v>43.51923529411768</v>
      </c>
      <c r="AZ9" s="40" t="n"/>
      <c r="BA9" s="40" t="n"/>
    </row>
    <row r="10" customFormat="1" s="41">
      <c r="A10" s="37" t="n">
        <v>6</v>
      </c>
      <c r="B10" s="37">
        <f>B9</f>
        <v/>
      </c>
      <c r="C10" s="34">
        <f>GSD!F10</f>
        <v/>
      </c>
      <c r="D10" s="37">
        <f>GSD!E10</f>
        <v/>
      </c>
      <c r="E10" s="34" t="n">
        <v>27</v>
      </c>
      <c r="F10" s="38" t="n">
        <v>0.008559421270000001</v>
      </c>
      <c r="G10" s="111" t="n">
        <v>2.63</v>
      </c>
      <c r="H10" s="37" t="n">
        <v>0.0005</v>
      </c>
      <c r="I10" s="37" t="n">
        <v>1</v>
      </c>
      <c r="J10" s="37" t="n">
        <v>1</v>
      </c>
      <c r="K10" s="34" t="n">
        <v>0</v>
      </c>
      <c r="L10" s="37" t="n">
        <v>0.3</v>
      </c>
      <c r="M10" s="111" t="n">
        <v>1.028</v>
      </c>
      <c r="N10" s="111" t="n">
        <v>1.027</v>
      </c>
      <c r="O10" s="111" t="n">
        <v>1.026</v>
      </c>
      <c r="P10" s="111" t="n">
        <v>1.025</v>
      </c>
      <c r="Q10" s="111" t="n">
        <v>1.024</v>
      </c>
      <c r="R10" s="111" t="n">
        <v>1.024</v>
      </c>
      <c r="S10" s="111" t="n">
        <v>1.023</v>
      </c>
      <c r="T10" s="111" t="n">
        <v>1.021</v>
      </c>
      <c r="U10" s="111" t="n">
        <v>1.02</v>
      </c>
      <c r="V10" s="111" t="n">
        <v>1.019</v>
      </c>
      <c r="W10" s="111" t="n">
        <v>1.018</v>
      </c>
      <c r="X10" s="111" t="n">
        <v>1.018</v>
      </c>
      <c r="Y10" s="111" t="n">
        <v>1.018</v>
      </c>
      <c r="Z10" s="33" t="n">
        <v>0.05669536455251515</v>
      </c>
      <c r="AA10" s="33" t="n">
        <v>0.04008967673692687</v>
      </c>
      <c r="AB10" s="33" t="n">
        <v>0.02834768227625757</v>
      </c>
      <c r="AC10" s="33" t="n">
        <v>0.02035519771297646</v>
      </c>
      <c r="AD10" s="33" t="n">
        <v>0.01519466078169873</v>
      </c>
      <c r="AE10" s="33" t="n">
        <v>0.01124626114177007</v>
      </c>
      <c r="AF10" s="33" t="n">
        <v>0.008056736228977303</v>
      </c>
      <c r="AG10" s="33" t="n">
        <v>0.005696972821741184</v>
      </c>
      <c r="AH10" s="33" t="n">
        <v>0.004079914291139812</v>
      </c>
      <c r="AI10" s="33" t="n">
        <v>0.002920928925895392</v>
      </c>
      <c r="AJ10" s="33" t="n">
        <v>0.00206540865086457</v>
      </c>
      <c r="AK10" s="33" t="n">
        <v>0.001460464462947696</v>
      </c>
      <c r="AL10" s="33" t="n">
        <v>0.001206979789166705</v>
      </c>
      <c r="AM10" s="34" t="n">
        <v>73.25437423312853</v>
      </c>
      <c r="AN10" s="34" t="n">
        <v>73.25437423312853</v>
      </c>
      <c r="AO10" s="34" t="n">
        <v>73.25437423312853</v>
      </c>
      <c r="AP10" s="34" t="n">
        <v>70.02738036809822</v>
      </c>
      <c r="AQ10" s="34" t="n">
        <v>70.02738036809822</v>
      </c>
      <c r="AR10" s="34" t="n">
        <v>66.80038650306719</v>
      </c>
      <c r="AS10" s="34" t="n">
        <v>63.57339263803686</v>
      </c>
      <c r="AT10" s="34" t="n">
        <v>63.57339263803686</v>
      </c>
      <c r="AU10" s="34" t="n">
        <v>60.34639877300584</v>
      </c>
      <c r="AV10" s="34" t="n">
        <v>57.1194049079755</v>
      </c>
      <c r="AW10" s="34" t="n">
        <v>57.1194049079755</v>
      </c>
      <c r="AX10" s="34" t="n">
        <v>57.1194049079755</v>
      </c>
      <c r="AY10" s="34" t="n">
        <v>53.89241104294447</v>
      </c>
      <c r="AZ10" s="40" t="n"/>
      <c r="BA10" s="40" t="n"/>
    </row>
    <row r="11" s="49">
      <c r="A11" s="43" t="n">
        <v>7</v>
      </c>
      <c r="B11" s="43">
        <f>B10</f>
        <v/>
      </c>
      <c r="C11" s="44">
        <f>GSD!F11</f>
        <v/>
      </c>
      <c r="D11" s="43">
        <f>GSD!E11</f>
        <v/>
      </c>
      <c r="E11" s="44" t="n">
        <v>27</v>
      </c>
      <c r="F11" s="45" t="n">
        <v>0.008559421270000001</v>
      </c>
      <c r="G11" s="112" t="n">
        <v>2.63</v>
      </c>
      <c r="H11" s="43" t="n">
        <v>0.0005</v>
      </c>
      <c r="I11" s="43" t="n">
        <v>2</v>
      </c>
      <c r="J11" s="43" t="n">
        <v>2</v>
      </c>
      <c r="K11" s="44" t="n">
        <v>0</v>
      </c>
      <c r="L11" s="43" t="n">
        <v>0.3</v>
      </c>
      <c r="M11" s="112" t="n">
        <v>1.026</v>
      </c>
      <c r="N11" s="112" t="n">
        <v>1.026</v>
      </c>
      <c r="O11" s="112" t="n">
        <v>1.025</v>
      </c>
      <c r="P11" s="112" t="n">
        <v>1.024</v>
      </c>
      <c r="Q11" s="112" t="n">
        <v>1.024</v>
      </c>
      <c r="R11" s="112" t="n">
        <v>1.023</v>
      </c>
      <c r="S11" s="112" t="n">
        <v>1.022</v>
      </c>
      <c r="T11" s="112" t="n">
        <v>1.021</v>
      </c>
      <c r="U11" s="112" t="n">
        <v>1.02</v>
      </c>
      <c r="V11" s="112" t="n">
        <v>1.019</v>
      </c>
      <c r="W11" s="112" t="n">
        <v>1.018</v>
      </c>
      <c r="X11" s="112" t="n">
        <v>1.018</v>
      </c>
      <c r="Y11" s="112" t="n">
        <v>1.018</v>
      </c>
      <c r="Z11" s="47" t="n">
        <v>0.05669536455251515</v>
      </c>
      <c r="AA11" s="47" t="n">
        <v>0.04008967673692687</v>
      </c>
      <c r="AB11" s="47" t="n">
        <v>0.02834768227625757</v>
      </c>
      <c r="AC11" s="47" t="n">
        <v>0.02035519771297646</v>
      </c>
      <c r="AD11" s="47" t="n">
        <v>0.01519466078169873</v>
      </c>
      <c r="AE11" s="47" t="n">
        <v>0.01124626114177007</v>
      </c>
      <c r="AF11" s="47" t="n">
        <v>0.008056736228977303</v>
      </c>
      <c r="AG11" s="47" t="n">
        <v>0.005696972821741184</v>
      </c>
      <c r="AH11" s="47" t="n">
        <v>0.004028368114488651</v>
      </c>
      <c r="AI11" s="47" t="n">
        <v>0.002920928925895392</v>
      </c>
      <c r="AJ11" s="47" t="n">
        <v>0.00206540865086457</v>
      </c>
      <c r="AK11" s="47" t="n">
        <v>0.001460464462947696</v>
      </c>
      <c r="AL11" s="47" t="n">
        <v>0.001206979789166705</v>
      </c>
      <c r="AM11" s="44" t="n">
        <v>73.25437423312853</v>
      </c>
      <c r="AN11" s="44" t="n">
        <v>73.25437423312853</v>
      </c>
      <c r="AO11" s="44" t="n">
        <v>73.25437423312853</v>
      </c>
      <c r="AP11" s="44" t="n">
        <v>70.02738036809822</v>
      </c>
      <c r="AQ11" s="44" t="n">
        <v>70.02738036809822</v>
      </c>
      <c r="AR11" s="44" t="n">
        <v>66.80038650306719</v>
      </c>
      <c r="AS11" s="44" t="n">
        <v>63.57339263803686</v>
      </c>
      <c r="AT11" s="44" t="n">
        <v>63.57339263803686</v>
      </c>
      <c r="AU11" s="44" t="n">
        <v>63.57339263803686</v>
      </c>
      <c r="AV11" s="44" t="n">
        <v>57.1194049079755</v>
      </c>
      <c r="AW11" s="44" t="n">
        <v>57.1194049079755</v>
      </c>
      <c r="AX11" s="44" t="n">
        <v>57.1194049079755</v>
      </c>
      <c r="AY11" s="44" t="n">
        <v>53.89241104294447</v>
      </c>
      <c r="AZ11" s="48" t="n"/>
      <c r="BA11" s="48" t="n"/>
    </row>
    <row r="12" customFormat="1" s="41">
      <c r="A12" s="43" t="n">
        <v>8</v>
      </c>
      <c r="B12" s="37">
        <f>B11</f>
        <v/>
      </c>
      <c r="C12" s="34">
        <f>GSD!F12</f>
        <v/>
      </c>
      <c r="D12" s="37">
        <f>GSD!E12</f>
        <v/>
      </c>
      <c r="E12" s="34" t="n">
        <v>27</v>
      </c>
      <c r="F12" s="38" t="n">
        <v>0.008559421270000001</v>
      </c>
      <c r="G12" s="111" t="n">
        <v>2.72</v>
      </c>
      <c r="H12" s="37" t="n">
        <v>0.0005</v>
      </c>
      <c r="I12" s="37" t="n">
        <v>2</v>
      </c>
      <c r="J12" s="37" t="n">
        <v>2</v>
      </c>
      <c r="K12" s="34" t="n">
        <v>0</v>
      </c>
      <c r="L12" s="37" t="n">
        <v>0.3</v>
      </c>
      <c r="M12" s="111" t="n">
        <v>1.028</v>
      </c>
      <c r="N12" s="111" t="n">
        <v>1.027</v>
      </c>
      <c r="O12" s="111" t="n">
        <v>1.026</v>
      </c>
      <c r="P12" s="111" t="n">
        <v>1.025</v>
      </c>
      <c r="Q12" s="111" t="n">
        <v>1.024</v>
      </c>
      <c r="R12" s="111" t="n">
        <v>1.024</v>
      </c>
      <c r="S12" s="111" t="n">
        <v>1.022</v>
      </c>
      <c r="T12" s="111" t="n">
        <v>1.021</v>
      </c>
      <c r="U12" s="111" t="n">
        <v>1.02</v>
      </c>
      <c r="V12" s="111" t="n">
        <v>1.019</v>
      </c>
      <c r="W12" s="111" t="n">
        <v>1.018</v>
      </c>
      <c r="X12" s="111" t="n">
        <v>1.018</v>
      </c>
      <c r="Y12" s="111" t="n">
        <v>1.018</v>
      </c>
      <c r="Z12" s="33" t="n">
        <v>0.0551921269539227</v>
      </c>
      <c r="AA12" s="33" t="n">
        <v>0.03902672723722758</v>
      </c>
      <c r="AB12" s="33" t="n">
        <v>0.02759606347696135</v>
      </c>
      <c r="AC12" s="33" t="n">
        <v>0.01981549400403237</v>
      </c>
      <c r="AD12" s="33" t="n">
        <v>0.01479178506928047</v>
      </c>
      <c r="AE12" s="33" t="n">
        <v>0.01094807446063075</v>
      </c>
      <c r="AF12" s="33" t="n">
        <v>0.007843117551031904</v>
      </c>
      <c r="AG12" s="33" t="n">
        <v>0.005545921605977887</v>
      </c>
      <c r="AH12" s="33" t="n">
        <v>0.003921558775515952</v>
      </c>
      <c r="AI12" s="33" t="n">
        <v>0.002843482555828309</v>
      </c>
      <c r="AJ12" s="33" t="n">
        <v>0.002010645797411853</v>
      </c>
      <c r="AK12" s="33" t="n">
        <v>0.001421741277914155</v>
      </c>
      <c r="AL12" s="33" t="n">
        <v>0.001174977571452133</v>
      </c>
      <c r="AM12" s="34" t="n">
        <v>71.79693023255784</v>
      </c>
      <c r="AN12" s="34" t="n">
        <v>71.79693023255784</v>
      </c>
      <c r="AO12" s="34" t="n">
        <v>71.79693023255784</v>
      </c>
      <c r="AP12" s="34" t="n">
        <v>68.63413953488379</v>
      </c>
      <c r="AQ12" s="34" t="n">
        <v>68.63413953488379</v>
      </c>
      <c r="AR12" s="34" t="n">
        <v>65.47134883720901</v>
      </c>
      <c r="AS12" s="34" t="n">
        <v>62.30855813953493</v>
      </c>
      <c r="AT12" s="34" t="n">
        <v>62.30855813953493</v>
      </c>
      <c r="AU12" s="34" t="n">
        <v>62.30855813953493</v>
      </c>
      <c r="AV12" s="34" t="n">
        <v>55.98297674418608</v>
      </c>
      <c r="AW12" s="34" t="n">
        <v>55.98297674418608</v>
      </c>
      <c r="AX12" s="34" t="n">
        <v>55.98297674418608</v>
      </c>
      <c r="AY12" s="34" t="n">
        <v>52.82018604651132</v>
      </c>
      <c r="AZ12" s="40" t="n"/>
      <c r="BA12" s="40" t="n"/>
    </row>
    <row r="13" s="49">
      <c r="A13" s="43" t="n">
        <v>9</v>
      </c>
      <c r="B13" s="43">
        <f>B12</f>
        <v/>
      </c>
      <c r="C13" s="44">
        <f>GSD!F13</f>
        <v/>
      </c>
      <c r="D13" s="43">
        <f>GSD!E13</f>
        <v/>
      </c>
      <c r="E13" s="44" t="n">
        <v>27</v>
      </c>
      <c r="F13" s="45" t="n">
        <v>0.008559421270000001</v>
      </c>
      <c r="G13" s="112" t="n">
        <v>2.51</v>
      </c>
      <c r="H13" s="43" t="n">
        <v>0.0005</v>
      </c>
      <c r="I13" s="43" t="n">
        <v>2</v>
      </c>
      <c r="J13" s="43" t="n">
        <v>2</v>
      </c>
      <c r="K13" s="44" t="n">
        <v>0</v>
      </c>
      <c r="L13" s="43" t="n">
        <v>0.3</v>
      </c>
      <c r="M13" s="112" t="n">
        <v>1.029</v>
      </c>
      <c r="N13" s="112" t="n">
        <v>1.028</v>
      </c>
      <c r="O13" s="112" t="n">
        <v>1.027</v>
      </c>
      <c r="P13" s="112" t="n">
        <v>1.026</v>
      </c>
      <c r="Q13" s="112" t="n">
        <v>1.025</v>
      </c>
      <c r="R13" s="112" t="n">
        <v>1.024</v>
      </c>
      <c r="S13" s="112" t="n">
        <v>1.022</v>
      </c>
      <c r="T13" s="112" t="n">
        <v>1.021</v>
      </c>
      <c r="U13" s="112" t="n">
        <v>1.019</v>
      </c>
      <c r="V13" s="112" t="n">
        <v>1.018</v>
      </c>
      <c r="W13" s="112" t="n">
        <v>1.017</v>
      </c>
      <c r="X13" s="112" t="n">
        <v>1.016</v>
      </c>
      <c r="Y13" s="112" t="n">
        <v>1.016</v>
      </c>
      <c r="Z13" s="47" t="n">
        <v>0.05981714036013114</v>
      </c>
      <c r="AA13" s="47" t="n">
        <v>0.04229710557983625</v>
      </c>
      <c r="AB13" s="47" t="n">
        <v>0.03035774211606312</v>
      </c>
      <c r="AC13" s="47" t="n">
        <v>0.02146616531178069</v>
      </c>
      <c r="AD13" s="47" t="n">
        <v>0.01641730996173852</v>
      </c>
      <c r="AE13" s="47" t="n">
        <v>0.01198950799946462</v>
      </c>
      <c r="AF13" s="47" t="n">
        <v>0.008583636376612866</v>
      </c>
      <c r="AG13" s="47" t="n">
        <v>0.006069547489142483</v>
      </c>
      <c r="AH13" s="47" t="n">
        <v>0.004344061344445157</v>
      </c>
      <c r="AI13" s="47" t="n">
        <v>0.003071715234547521</v>
      </c>
      <c r="AJ13" s="47" t="n">
        <v>0.002197841814549407</v>
      </c>
      <c r="AK13" s="47" t="n">
        <v>0.001554108851043232</v>
      </c>
      <c r="AL13" s="47" t="n">
        <v>0.001283653645197699</v>
      </c>
      <c r="AM13" s="44" t="n">
        <v>72.14338410596034</v>
      </c>
      <c r="AN13" s="44" t="n">
        <v>72.14338410596034</v>
      </c>
      <c r="AO13" s="44" t="n">
        <v>68.81888079470168</v>
      </c>
      <c r="AP13" s="44" t="n">
        <v>68.81888079470168</v>
      </c>
      <c r="AQ13" s="44" t="n">
        <v>62.16987417218512</v>
      </c>
      <c r="AR13" s="44" t="n">
        <v>62.16987417218512</v>
      </c>
      <c r="AS13" s="44" t="n">
        <v>58.8453708609272</v>
      </c>
      <c r="AT13" s="44" t="n">
        <v>58.8453708609272</v>
      </c>
      <c r="AU13" s="44" t="n">
        <v>55.52086754966855</v>
      </c>
      <c r="AV13" s="44" t="n">
        <v>55.52086754966855</v>
      </c>
      <c r="AW13" s="44" t="n">
        <v>52.19636423841064</v>
      </c>
      <c r="AX13" s="44" t="n">
        <v>52.19636423841064</v>
      </c>
      <c r="AY13" s="44" t="n">
        <v>48.871860927152</v>
      </c>
      <c r="AZ13" s="48" t="n"/>
      <c r="BA13" s="48" t="n"/>
    </row>
    <row r="14" s="49">
      <c r="A14" s="43" t="n">
        <v>10</v>
      </c>
      <c r="B14" s="43">
        <f>B13</f>
        <v/>
      </c>
      <c r="C14" s="44">
        <f>GSD!F14</f>
        <v/>
      </c>
      <c r="D14" s="43">
        <f>GSD!E14</f>
        <v/>
      </c>
      <c r="E14" s="44" t="n">
        <v>27</v>
      </c>
      <c r="F14" s="45" t="n">
        <v>0.008559421270000001</v>
      </c>
      <c r="G14" s="112" t="n">
        <v>2.67</v>
      </c>
      <c r="H14" s="43" t="n">
        <v>0.0005</v>
      </c>
      <c r="I14" s="43" t="n">
        <v>2</v>
      </c>
      <c r="J14" s="43" t="n">
        <v>2</v>
      </c>
      <c r="K14" s="44" t="n">
        <v>0</v>
      </c>
      <c r="L14" s="43" t="n">
        <v>0.3</v>
      </c>
      <c r="M14" s="112" t="n">
        <v>1.029</v>
      </c>
      <c r="N14" s="112" t="n">
        <v>1.028</v>
      </c>
      <c r="O14" s="112" t="n">
        <v>1.027</v>
      </c>
      <c r="P14" s="112" t="n">
        <v>1.026</v>
      </c>
      <c r="Q14" s="112" t="n">
        <v>1.025</v>
      </c>
      <c r="R14" s="112" t="n">
        <v>1.024</v>
      </c>
      <c r="S14" s="112" t="n">
        <v>1.023</v>
      </c>
      <c r="T14" s="112" t="n">
        <v>1.022</v>
      </c>
      <c r="U14" s="112" t="n">
        <v>1.021</v>
      </c>
      <c r="V14" s="112" t="n">
        <v>1.02</v>
      </c>
      <c r="W14" s="112" t="n">
        <v>1.019</v>
      </c>
      <c r="X14" s="112" t="n">
        <v>1.019</v>
      </c>
      <c r="Y14" s="112" t="n">
        <v>1.019</v>
      </c>
      <c r="Z14" s="47" t="n">
        <v>0.05601226293042516</v>
      </c>
      <c r="AA14" s="47" t="n">
        <v>0.03960665094770751</v>
      </c>
      <c r="AB14" s="47" t="n">
        <v>0.02800613146521258</v>
      </c>
      <c r="AC14" s="47" t="n">
        <v>0.02010994541262627</v>
      </c>
      <c r="AD14" s="47" t="n">
        <v>0.01501158589525944</v>
      </c>
      <c r="AE14" s="47" t="n">
        <v>0.01096291229167997</v>
      </c>
      <c r="AF14" s="47" t="n">
        <v>0.00785649308412628</v>
      </c>
      <c r="AG14" s="47" t="n">
        <v>0.005555379536130905</v>
      </c>
      <c r="AH14" s="47" t="n">
        <v>0.003979831786781756</v>
      </c>
      <c r="AI14" s="47" t="n">
        <v>0.002850175539061234</v>
      </c>
      <c r="AJ14" s="47" t="n">
        <v>0.002015378451242222</v>
      </c>
      <c r="AK14" s="47" t="n">
        <v>0.001442867863093042</v>
      </c>
      <c r="AL14" s="47" t="n">
        <v>0.00119243733303617</v>
      </c>
      <c r="AM14" s="44" t="n">
        <v>72.58722754490988</v>
      </c>
      <c r="AN14" s="44" t="n">
        <v>72.58722754490988</v>
      </c>
      <c r="AO14" s="44" t="n">
        <v>72.58722754490988</v>
      </c>
      <c r="AP14" s="44" t="n">
        <v>69.38962275449109</v>
      </c>
      <c r="AQ14" s="44" t="n">
        <v>69.38962275449109</v>
      </c>
      <c r="AR14" s="44" t="n">
        <v>69.38962275449109</v>
      </c>
      <c r="AS14" s="44" t="n">
        <v>66.19201796407155</v>
      </c>
      <c r="AT14" s="44" t="n">
        <v>66.19201796407155</v>
      </c>
      <c r="AU14" s="44" t="n">
        <v>62.99441317365275</v>
      </c>
      <c r="AV14" s="44" t="n">
        <v>59.79680838323323</v>
      </c>
      <c r="AW14" s="44" t="n">
        <v>59.79680838323323</v>
      </c>
      <c r="AX14" s="44" t="n">
        <v>56.59920359281441</v>
      </c>
      <c r="AY14" s="44" t="n">
        <v>53.4015988023949</v>
      </c>
      <c r="AZ14" s="48" t="n"/>
      <c r="BA14" s="48" t="n"/>
    </row>
    <row r="15" s="49">
      <c r="A15" s="43" t="n">
        <v>11</v>
      </c>
      <c r="B15" s="43">
        <f>B14</f>
        <v/>
      </c>
      <c r="C15" s="44">
        <f>GSD!F15</f>
        <v/>
      </c>
      <c r="D15" s="43">
        <f>GSD!E15</f>
        <v/>
      </c>
      <c r="E15" s="44" t="n">
        <v>27</v>
      </c>
      <c r="F15" s="45" t="n">
        <v>0.008559421270000001</v>
      </c>
      <c r="G15" s="112" t="n">
        <v>2.52</v>
      </c>
      <c r="H15" s="43" t="n">
        <v>0.0005</v>
      </c>
      <c r="I15" s="43" t="n">
        <v>3</v>
      </c>
      <c r="J15" s="43" t="n">
        <v>3</v>
      </c>
      <c r="K15" s="44" t="n">
        <v>0</v>
      </c>
      <c r="L15" s="43" t="n">
        <v>0.3</v>
      </c>
      <c r="M15" s="111" t="n">
        <v>1.024</v>
      </c>
      <c r="N15" s="111" t="n">
        <v>1.023</v>
      </c>
      <c r="O15" s="111" t="n">
        <v>1.022</v>
      </c>
      <c r="P15" s="111" t="n">
        <v>1.022</v>
      </c>
      <c r="Q15" s="111" t="n">
        <v>1.021</v>
      </c>
      <c r="R15" s="111" t="n">
        <v>1.02</v>
      </c>
      <c r="S15" s="111" t="n">
        <v>1.019</v>
      </c>
      <c r="T15" s="111" t="n">
        <v>1.018</v>
      </c>
      <c r="U15" s="111" t="n">
        <v>1.018</v>
      </c>
      <c r="V15" s="111" t="n">
        <v>1.017</v>
      </c>
      <c r="W15" s="111" t="n">
        <v>1.016</v>
      </c>
      <c r="X15" s="111" t="n">
        <v>1.016</v>
      </c>
      <c r="Y15" s="111" t="n">
        <v>1.016</v>
      </c>
      <c r="Z15" s="47" t="n">
        <v>0.06051543266938614</v>
      </c>
      <c r="AA15" s="47" t="n">
        <v>0.04279087280696087</v>
      </c>
      <c r="AB15" s="47" t="n">
        <v>0.03069888014691913</v>
      </c>
      <c r="AC15" s="47" t="n">
        <v>0.02170738632671959</v>
      </c>
      <c r="AD15" s="47" t="n">
        <v>0.01636321653638959</v>
      </c>
      <c r="AE15" s="47" t="n">
        <v>0.01195000374709618</v>
      </c>
      <c r="AF15" s="47" t="n">
        <v>0.008555354137035081</v>
      </c>
      <c r="AG15" s="47" t="n">
        <v>0.006049548925749889</v>
      </c>
      <c r="AH15" s="47" t="n">
        <v>0.004329748088583231</v>
      </c>
      <c r="AI15" s="47" t="n">
        <v>0.003097976429756961</v>
      </c>
      <c r="AJ15" s="47" t="n">
        <v>0.002190600141437237</v>
      </c>
      <c r="AK15" s="47" t="n">
        <v>0.001566968144488295</v>
      </c>
      <c r="AL15" s="47" t="n">
        <v>0.001279424132397356</v>
      </c>
      <c r="AM15" s="44" t="n">
        <v>68.63849999999969</v>
      </c>
      <c r="AN15" s="44" t="n">
        <v>68.63849999999969</v>
      </c>
      <c r="AO15" s="44" t="n">
        <v>65.32271052631584</v>
      </c>
      <c r="AP15" s="44" t="n">
        <v>65.32271052631584</v>
      </c>
      <c r="AQ15" s="44" t="n">
        <v>62.00692105263127</v>
      </c>
      <c r="AR15" s="44" t="n">
        <v>62.00692105263127</v>
      </c>
      <c r="AS15" s="44" t="n">
        <v>58.69113157894741</v>
      </c>
      <c r="AT15" s="44" t="n">
        <v>58.69113157894741</v>
      </c>
      <c r="AU15" s="44" t="n">
        <v>55.37534210526284</v>
      </c>
      <c r="AV15" s="44" t="n">
        <v>52.05955263157899</v>
      </c>
      <c r="AW15" s="44" t="n">
        <v>52.05955263157899</v>
      </c>
      <c r="AX15" s="44" t="n">
        <v>48.74376315789441</v>
      </c>
      <c r="AY15" s="44" t="n">
        <v>48.74376315789441</v>
      </c>
      <c r="AZ15" s="48" t="n"/>
      <c r="BA15" s="48" t="n"/>
    </row>
    <row r="16" customFormat="1" s="41">
      <c r="A16" s="43" t="n">
        <v>12</v>
      </c>
      <c r="B16" s="37">
        <f>B15</f>
        <v/>
      </c>
      <c r="C16" s="34">
        <f>GSD!F16</f>
        <v/>
      </c>
      <c r="D16" s="37">
        <f>GSD!E16</f>
        <v/>
      </c>
      <c r="E16" s="34" t="n">
        <v>27</v>
      </c>
      <c r="F16" s="38">
        <f>(0.000000002615*E16^4) - (0.00000030607*E16^3) + (0.000016427499*E16^2) - (0.000618546309*E16) + 0.017919182437</f>
        <v/>
      </c>
      <c r="G16" s="111" t="n"/>
      <c r="H16" s="37" t="n">
        <v>0.0005</v>
      </c>
      <c r="I16" s="37" t="n">
        <v>1</v>
      </c>
      <c r="J16" s="37" t="n">
        <v>1</v>
      </c>
      <c r="K16" s="34">
        <f>(E16-27)*0.25</f>
        <v/>
      </c>
      <c r="L16" s="37" t="n">
        <v>0.3</v>
      </c>
      <c r="M16" s="112" t="n">
        <v>1.024</v>
      </c>
      <c r="N16" s="112" t="n">
        <v>1.024</v>
      </c>
      <c r="O16" s="112" t="n">
        <v>1.024</v>
      </c>
      <c r="P16" s="112" t="n">
        <v>1.023</v>
      </c>
      <c r="Q16" s="112" t="n">
        <v>1.023</v>
      </c>
      <c r="R16" s="112" t="n">
        <v>1.022</v>
      </c>
      <c r="S16" s="112" t="n">
        <v>1.021</v>
      </c>
      <c r="T16" s="112" t="n">
        <v>1.021</v>
      </c>
      <c r="U16" s="112" t="n">
        <v>1.02</v>
      </c>
      <c r="V16" s="112" t="n">
        <v>1.019</v>
      </c>
      <c r="W16" s="112" t="n">
        <v>1.019</v>
      </c>
      <c r="X16" s="112" t="n">
        <v>1.018</v>
      </c>
      <c r="Y16" s="112" t="n">
        <v>1.017</v>
      </c>
      <c r="Z16" s="33" t="n"/>
      <c r="AA16" s="33" t="n"/>
      <c r="AB16" s="33" t="n"/>
      <c r="AC16" s="33" t="n"/>
      <c r="AD16" s="33" t="n"/>
      <c r="AE16" s="33" t="n"/>
      <c r="AF16" s="33" t="n"/>
      <c r="AG16" s="33" t="n"/>
      <c r="AH16" s="33" t="n"/>
      <c r="AI16" s="33" t="n"/>
      <c r="AJ16" s="33" t="n"/>
      <c r="AK16" s="33" t="n"/>
      <c r="AL16" s="33" t="n"/>
      <c r="AM16" s="34" t="n"/>
      <c r="AN16" s="34" t="n"/>
      <c r="AO16" s="34" t="n"/>
      <c r="AP16" s="34" t="n"/>
      <c r="AQ16" s="34" t="n"/>
      <c r="AR16" s="34" t="n"/>
      <c r="AS16" s="34" t="n"/>
      <c r="AT16" s="34" t="n"/>
      <c r="AU16" s="34" t="n"/>
      <c r="AV16" s="34" t="n"/>
      <c r="AW16" s="34" t="n"/>
      <c r="AX16" s="34" t="n"/>
      <c r="AY16" s="34" t="n"/>
      <c r="AZ16" s="40" t="n"/>
      <c r="BA16" s="40" t="n"/>
    </row>
    <row r="17" customFormat="1" s="61">
      <c r="A17" s="55" t="n">
        <v>13</v>
      </c>
      <c r="B17" s="55">
        <f>B16</f>
        <v/>
      </c>
      <c r="C17" s="56">
        <f>GSD!F17</f>
        <v/>
      </c>
      <c r="D17" s="55">
        <f>GSD!E17</f>
        <v/>
      </c>
      <c r="E17" s="56" t="n">
        <v>27</v>
      </c>
      <c r="F17" s="57" t="n">
        <v>0.008559421270000001</v>
      </c>
      <c r="G17" s="113" t="n">
        <v>2.56</v>
      </c>
      <c r="H17" s="55" t="n">
        <v>0.0005</v>
      </c>
      <c r="I17" s="55" t="n">
        <v>3</v>
      </c>
      <c r="J17" s="55" t="n">
        <v>3</v>
      </c>
      <c r="K17" s="56" t="n">
        <v>0</v>
      </c>
      <c r="L17" s="55" t="n">
        <v>0.3</v>
      </c>
      <c r="M17" s="113" t="n">
        <v>1.018</v>
      </c>
      <c r="N17" s="113" t="n">
        <v>1.017</v>
      </c>
      <c r="O17" s="113" t="n">
        <v>1.017</v>
      </c>
      <c r="P17" s="113" t="n">
        <v>1.016</v>
      </c>
      <c r="Q17" s="113" t="n">
        <v>1.016</v>
      </c>
      <c r="R17" s="113" t="n">
        <v>1.016</v>
      </c>
      <c r="S17" s="113" t="n">
        <v>1.015</v>
      </c>
      <c r="T17" s="113" t="n">
        <v>1.014</v>
      </c>
      <c r="U17" s="113" t="n">
        <v>1.014</v>
      </c>
      <c r="V17" s="113" t="n">
        <v>1.013</v>
      </c>
      <c r="W17" s="113" t="n">
        <v>1.013</v>
      </c>
      <c r="X17" s="113" t="n">
        <v>1.013</v>
      </c>
      <c r="Y17" s="113" t="n">
        <v>1.013</v>
      </c>
      <c r="Z17" s="59" t="n">
        <v>0.0623108727288423</v>
      </c>
      <c r="AA17" s="59" t="n">
        <v>0.04406044064821631</v>
      </c>
      <c r="AB17" s="59" t="n">
        <v>0.03115543636442115</v>
      </c>
      <c r="AC17" s="59" t="n">
        <v>0.02232558537942178</v>
      </c>
      <c r="AD17" s="59" t="n">
        <v>0.01674936054932174</v>
      </c>
      <c r="AE17" s="59" t="n">
        <v>0.01223200346220085</v>
      </c>
      <c r="AF17" s="59" t="n">
        <v>0.00874972999680527</v>
      </c>
      <c r="AG17" s="59" t="n">
        <v>0.006186993414292355</v>
      </c>
      <c r="AH17" s="59" t="n">
        <v>0.004424494199463389</v>
      </c>
      <c r="AI17" s="59" t="n">
        <v>0.003128589851761107</v>
      </c>
      <c r="AJ17" s="59" t="n">
        <v>0.002236786427440154</v>
      </c>
      <c r="AK17" s="59" t="n">
        <v>0.001598810466204431</v>
      </c>
      <c r="AL17" s="59" t="n">
        <v>0.001305423279207382</v>
      </c>
      <c r="AM17" s="56" t="n">
        <v>58.09394871794876</v>
      </c>
      <c r="AN17" s="56" t="n">
        <v>58.09394871794876</v>
      </c>
      <c r="AO17" s="56" t="n">
        <v>58.09394871794876</v>
      </c>
      <c r="AP17" s="56" t="n">
        <v>54.81189743589712</v>
      </c>
      <c r="AQ17" s="56" t="n">
        <v>51.52984615384619</v>
      </c>
      <c r="AR17" s="56" t="n">
        <v>51.52984615384619</v>
      </c>
      <c r="AS17" s="56" t="n">
        <v>48.24779487179455</v>
      </c>
      <c r="AT17" s="56" t="n">
        <v>48.24779487179455</v>
      </c>
      <c r="AU17" s="56" t="n">
        <v>44.96574358974363</v>
      </c>
      <c r="AV17" s="56" t="n">
        <v>44.96574358974363</v>
      </c>
      <c r="AW17" s="56" t="n">
        <v>41.68369230769198</v>
      </c>
      <c r="AX17" s="56" t="n">
        <v>38.40164102564106</v>
      </c>
      <c r="AY17" s="56" t="n">
        <v>38.40164102564106</v>
      </c>
      <c r="AZ17" s="60" t="n"/>
      <c r="BA17" s="60" t="n"/>
    </row>
    <row r="18" customFormat="1" s="41">
      <c r="A18" s="37" t="n">
        <v>14</v>
      </c>
      <c r="B18" s="37">
        <f>B17</f>
        <v/>
      </c>
      <c r="C18" s="34">
        <f>GSD!F18</f>
        <v/>
      </c>
      <c r="D18" s="37">
        <f>GSD!E18</f>
        <v/>
      </c>
      <c r="E18" s="34" t="n">
        <v>27</v>
      </c>
      <c r="F18" s="38">
        <f>(0.000000002615*E18^4) - (0.00000030607*E18^3) + (0.000016427499*E18^2) - (0.000618546309*E18) + 0.017919182437</f>
        <v/>
      </c>
      <c r="G18" s="111" t="n"/>
      <c r="H18" s="37" t="n">
        <v>0.0005</v>
      </c>
      <c r="I18" s="37" t="n">
        <v>1</v>
      </c>
      <c r="J18" s="37" t="n">
        <v>1</v>
      </c>
      <c r="K18" s="34">
        <f>(E18-27)*0.25</f>
        <v/>
      </c>
      <c r="L18" s="37" t="n">
        <v>0.3</v>
      </c>
      <c r="M18" s="111" t="n">
        <v>1.024</v>
      </c>
      <c r="N18" s="111" t="n">
        <v>1.023</v>
      </c>
      <c r="O18" s="111" t="n">
        <v>1.023</v>
      </c>
      <c r="P18" s="111" t="n">
        <v>1.023</v>
      </c>
      <c r="Q18" s="111" t="n">
        <v>1.023</v>
      </c>
      <c r="R18" s="111" t="n">
        <v>1.022</v>
      </c>
      <c r="S18" s="111" t="n">
        <v>1.021</v>
      </c>
      <c r="T18" s="111" t="n">
        <v>1.021</v>
      </c>
      <c r="U18" s="111" t="n">
        <v>1.02</v>
      </c>
      <c r="V18" s="111" t="n">
        <v>1.019</v>
      </c>
      <c r="W18" s="111" t="n">
        <v>1.019</v>
      </c>
      <c r="X18" s="111" t="n">
        <v>1.019</v>
      </c>
      <c r="Y18" s="111" t="n">
        <v>1.018</v>
      </c>
      <c r="Z18" s="33" t="n"/>
      <c r="AA18" s="33" t="n"/>
      <c r="AB18" s="33" t="n"/>
      <c r="AC18" s="33" t="n"/>
      <c r="AD18" s="33" t="n"/>
      <c r="AE18" s="33" t="n"/>
      <c r="AF18" s="33" t="n"/>
      <c r="AG18" s="33" t="n"/>
      <c r="AH18" s="33" t="n"/>
      <c r="AI18" s="33" t="n"/>
      <c r="AJ18" s="33" t="n"/>
      <c r="AK18" s="33" t="n"/>
      <c r="AL18" s="33" t="n"/>
      <c r="AM18" s="34" t="n"/>
      <c r="AN18" s="34" t="n"/>
      <c r="AO18" s="34" t="n"/>
      <c r="AP18" s="34" t="n"/>
      <c r="AQ18" s="34" t="n"/>
      <c r="AR18" s="34" t="n"/>
      <c r="AS18" s="34" t="n"/>
      <c r="AT18" s="34" t="n"/>
      <c r="AU18" s="34" t="n"/>
      <c r="AV18" s="34" t="n"/>
      <c r="AW18" s="34" t="n"/>
      <c r="AX18" s="34" t="n"/>
      <c r="AY18" s="34" t="n"/>
      <c r="AZ18" s="40" t="n"/>
      <c r="BA18" s="40" t="n"/>
    </row>
    <row r="19" customFormat="1" s="61">
      <c r="A19" s="55" t="n">
        <v>15</v>
      </c>
      <c r="B19" s="55">
        <f>B18</f>
        <v/>
      </c>
      <c r="C19" s="56">
        <f>GSD!F19</f>
        <v/>
      </c>
      <c r="D19" s="55">
        <f>GSD!E19</f>
        <v/>
      </c>
      <c r="E19" s="56" t="n">
        <v>27</v>
      </c>
      <c r="F19" s="57" t="n">
        <v>0.008559421270000001</v>
      </c>
      <c r="G19" s="113" t="n">
        <v>2.48</v>
      </c>
      <c r="H19" s="55" t="n">
        <v>0.0005</v>
      </c>
      <c r="I19" s="55" t="n">
        <v>3</v>
      </c>
      <c r="J19" s="55" t="n">
        <v>3</v>
      </c>
      <c r="K19" s="56" t="n">
        <v>0</v>
      </c>
      <c r="L19" s="55" t="n">
        <v>0.3</v>
      </c>
      <c r="M19" s="113" t="n">
        <v>1.018</v>
      </c>
      <c r="N19" s="113" t="n">
        <v>1.018</v>
      </c>
      <c r="O19" s="113" t="n">
        <v>1.017</v>
      </c>
      <c r="P19" s="113" t="n">
        <v>1.017</v>
      </c>
      <c r="Q19" s="113" t="n">
        <v>1.016</v>
      </c>
      <c r="R19" s="113" t="n">
        <v>1.016</v>
      </c>
      <c r="S19" s="113" t="n">
        <v>1.015</v>
      </c>
      <c r="T19" s="113" t="n">
        <v>1.015</v>
      </c>
      <c r="U19" s="113" t="n">
        <v>1.014</v>
      </c>
      <c r="V19" s="113" t="n">
        <v>1.013</v>
      </c>
      <c r="W19" s="113" t="n">
        <v>1.013</v>
      </c>
      <c r="X19" s="113" t="n">
        <v>1.013</v>
      </c>
      <c r="Y19" s="113" t="n">
        <v>1.013</v>
      </c>
      <c r="Z19" s="59" t="n">
        <v>0.06397278761612277</v>
      </c>
      <c r="AA19" s="59" t="n">
        <v>0.04523559193476719</v>
      </c>
      <c r="AB19" s="59" t="n">
        <v>0.03241524394380254</v>
      </c>
      <c r="AC19" s="59" t="n">
        <v>0.02292103880647894</v>
      </c>
      <c r="AD19" s="59" t="n">
        <v>0.01719608855087742</v>
      </c>
      <c r="AE19" s="59" t="n">
        <v>0.01255824746689585</v>
      </c>
      <c r="AF19" s="59" t="n">
        <v>0.008983097078737413</v>
      </c>
      <c r="AG19" s="59" t="n">
        <v>0.006352008860432291</v>
      </c>
      <c r="AH19" s="59" t="n">
        <v>0.004542501418055444</v>
      </c>
      <c r="AI19" s="59" t="n">
        <v>0.003212033556256513</v>
      </c>
      <c r="AJ19" s="59" t="n">
        <v>0.002296444533652315</v>
      </c>
      <c r="AK19" s="59" t="n">
        <v>0.001641452894393293</v>
      </c>
      <c r="AL19" s="59" t="n">
        <v>0.001354475657700167</v>
      </c>
      <c r="AM19" s="56" t="n">
        <v>59.32059459459464</v>
      </c>
      <c r="AN19" s="56" t="n">
        <v>59.32059459459464</v>
      </c>
      <c r="AO19" s="56" t="n">
        <v>55.96924324324292</v>
      </c>
      <c r="AP19" s="56" t="n">
        <v>55.96924324324292</v>
      </c>
      <c r="AQ19" s="56" t="n">
        <v>52.61789189189194</v>
      </c>
      <c r="AR19" s="56" t="n">
        <v>52.61789189189194</v>
      </c>
      <c r="AS19" s="56" t="n">
        <v>49.26654054054021</v>
      </c>
      <c r="AT19" s="56" t="n">
        <v>49.26654054054021</v>
      </c>
      <c r="AU19" s="56" t="n">
        <v>45.91518918918923</v>
      </c>
      <c r="AV19" s="56" t="n">
        <v>45.91518918918923</v>
      </c>
      <c r="AW19" s="56" t="n">
        <v>42.5638378378375</v>
      </c>
      <c r="AX19" s="56" t="n">
        <v>39.21248648648653</v>
      </c>
      <c r="AY19" s="56" t="n">
        <v>35.86113513513479</v>
      </c>
      <c r="AZ19" s="60" t="n"/>
      <c r="BA19" s="60" t="n"/>
    </row>
    <row r="20" customFormat="1" s="61">
      <c r="A20" s="55" t="n">
        <v>16</v>
      </c>
      <c r="B20" s="55">
        <f>B19</f>
        <v/>
      </c>
      <c r="C20" s="56">
        <f>GSD!F20</f>
        <v/>
      </c>
      <c r="D20" s="55">
        <f>GSD!E20</f>
        <v/>
      </c>
      <c r="E20" s="56" t="n">
        <v>27</v>
      </c>
      <c r="F20" s="57" t="n">
        <v>0.008559421270000001</v>
      </c>
      <c r="G20" s="113" t="n">
        <v>2.58</v>
      </c>
      <c r="H20" s="55" t="n">
        <v>0.0005</v>
      </c>
      <c r="I20" s="55" t="n">
        <v>3</v>
      </c>
      <c r="J20" s="55" t="n">
        <v>3</v>
      </c>
      <c r="K20" s="56" t="n">
        <v>0</v>
      </c>
      <c r="L20" s="55" t="n">
        <v>0.3</v>
      </c>
      <c r="M20" s="113" t="n">
        <v>1.019</v>
      </c>
      <c r="N20" s="113" t="n">
        <v>1.018</v>
      </c>
      <c r="O20" s="113" t="n">
        <v>1.018</v>
      </c>
      <c r="P20" s="113" t="n">
        <v>1.017</v>
      </c>
      <c r="Q20" s="113" t="n">
        <v>1.017</v>
      </c>
      <c r="R20" s="113" t="n">
        <v>1.016</v>
      </c>
      <c r="S20" s="113" t="n">
        <v>1.016</v>
      </c>
      <c r="T20" s="113" t="n">
        <v>1.015</v>
      </c>
      <c r="U20" s="113" t="n">
        <v>1.014</v>
      </c>
      <c r="V20" s="113" t="n">
        <v>1.014</v>
      </c>
      <c r="W20" s="113" t="n">
        <v>1.013</v>
      </c>
      <c r="X20" s="113" t="n">
        <v>1.013</v>
      </c>
      <c r="Y20" s="113" t="n">
        <v>1.013</v>
      </c>
      <c r="Z20" s="59" t="n">
        <v>0.06191524414016255</v>
      </c>
      <c r="AA20" s="59" t="n">
        <v>0.04378068899032959</v>
      </c>
      <c r="AB20" s="59" t="n">
        <v>0.03095762207008127</v>
      </c>
      <c r="AC20" s="59" t="n">
        <v>0.0221838341978335</v>
      </c>
      <c r="AD20" s="59" t="n">
        <v>0.01644756112968866</v>
      </c>
      <c r="AE20" s="59" t="n">
        <v>0.01215433916294548</v>
      </c>
      <c r="AF20" s="59" t="n">
        <v>0.008594415642959973</v>
      </c>
      <c r="AG20" s="59" t="n">
        <v>0.006147710519261831</v>
      </c>
      <c r="AH20" s="59" t="n">
        <v>0.004396401888778335</v>
      </c>
      <c r="AI20" s="59" t="n">
        <v>0.003108725588376506</v>
      </c>
      <c r="AJ20" s="59" t="n">
        <v>0.002222584465267081</v>
      </c>
      <c r="AK20" s="59" t="n">
        <v>0.00157160454715023</v>
      </c>
      <c r="AL20" s="59" t="n">
        <v>0.001310911938551785</v>
      </c>
      <c r="AM20" s="56" t="n">
        <v>57.80669620253169</v>
      </c>
      <c r="AN20" s="56" t="n">
        <v>57.80669620253169</v>
      </c>
      <c r="AO20" s="56" t="n">
        <v>57.80669620253169</v>
      </c>
      <c r="AP20" s="56" t="n">
        <v>54.5408734177212</v>
      </c>
      <c r="AQ20" s="56" t="n">
        <v>54.5408734177212</v>
      </c>
      <c r="AR20" s="56" t="n">
        <v>51.27505063291144</v>
      </c>
      <c r="AS20" s="56" t="n">
        <v>51.27505063291144</v>
      </c>
      <c r="AT20" s="56" t="n">
        <v>48.00922784810095</v>
      </c>
      <c r="AU20" s="56" t="n">
        <v>44.74340506329118</v>
      </c>
      <c r="AV20" s="56" t="n">
        <v>44.74340506329118</v>
      </c>
      <c r="AW20" s="56" t="n">
        <v>41.47758227848069</v>
      </c>
      <c r="AX20" s="56" t="n">
        <v>41.47758227848069</v>
      </c>
      <c r="AY20" s="56" t="n">
        <v>34.94593670886043</v>
      </c>
      <c r="AZ20" s="60" t="n"/>
      <c r="BA20" s="60" t="n"/>
    </row>
    <row r="21" s="49">
      <c r="A21" s="43" t="n">
        <v>17</v>
      </c>
      <c r="B21" s="43">
        <f>B20</f>
        <v/>
      </c>
      <c r="C21" s="44">
        <f>GSD!F21</f>
        <v/>
      </c>
      <c r="D21" s="43">
        <f>GSD!E21</f>
        <v/>
      </c>
      <c r="E21" s="44" t="n">
        <v>27</v>
      </c>
      <c r="F21" s="45" t="n">
        <v>0.008559421270000001</v>
      </c>
      <c r="G21" s="112" t="n">
        <v>2.67</v>
      </c>
      <c r="H21" s="43" t="n">
        <v>0.0005</v>
      </c>
      <c r="I21" s="43" t="n">
        <v>3</v>
      </c>
      <c r="J21" s="43" t="n">
        <v>3</v>
      </c>
      <c r="K21" s="44" t="n">
        <v>0</v>
      </c>
      <c r="L21" s="43" t="n">
        <v>0.3</v>
      </c>
      <c r="M21" s="111" t="n">
        <v>1.027</v>
      </c>
      <c r="N21" s="111" t="n">
        <v>1.026</v>
      </c>
      <c r="O21" s="111" t="n">
        <v>1.025</v>
      </c>
      <c r="P21" s="111" t="n">
        <v>1.024</v>
      </c>
      <c r="Q21" s="111" t="n">
        <v>1.023</v>
      </c>
      <c r="R21" s="111" t="n">
        <v>1.022</v>
      </c>
      <c r="S21" s="111" t="n">
        <v>1.021</v>
      </c>
      <c r="T21" s="111" t="n">
        <v>1.02</v>
      </c>
      <c r="U21" s="111" t="n">
        <v>1.018</v>
      </c>
      <c r="V21" s="111" t="n">
        <v>1.017</v>
      </c>
      <c r="W21" s="111" t="n">
        <v>1.016</v>
      </c>
      <c r="X21" s="111" t="n">
        <v>1.016</v>
      </c>
      <c r="Y21" s="111" t="n">
        <v>1.016</v>
      </c>
      <c r="Z21" s="47" t="n">
        <v>0.05687951508223735</v>
      </c>
      <c r="AA21" s="47" t="n">
        <v>0.04021989082525254</v>
      </c>
      <c r="AB21" s="47" t="n">
        <v>0.02886687060192824</v>
      </c>
      <c r="AC21" s="47" t="n">
        <v>0.02070957058583441</v>
      </c>
      <c r="AD21" s="47" t="n">
        <v>0.01541382223091265</v>
      </c>
      <c r="AE21" s="47" t="n">
        <v>0.01154294290474433</v>
      </c>
      <c r="AF21" s="47" t="n">
        <v>0.008162093202793862</v>
      </c>
      <c r="AG21" s="47" t="n">
        <v>0.005841726032367656</v>
      </c>
      <c r="AH21" s="47" t="n">
        <v>0.004130724091321154</v>
      </c>
      <c r="AI21" s="47" t="n">
        <v>0.002955572844176609</v>
      </c>
      <c r="AJ21" s="47" t="n">
        <v>0.002089905600408091</v>
      </c>
      <c r="AK21" s="47" t="n">
        <v>0.001494939874640279</v>
      </c>
      <c r="AL21" s="47" t="n">
        <v>0.001220613296336311</v>
      </c>
      <c r="AM21" s="44" t="n">
        <v>69.38962275449109</v>
      </c>
      <c r="AN21" s="44" t="n">
        <v>69.38962275449109</v>
      </c>
      <c r="AO21" s="44" t="n">
        <v>66.19201796407155</v>
      </c>
      <c r="AP21" s="44" t="n">
        <v>62.99441317365275</v>
      </c>
      <c r="AQ21" s="44" t="n">
        <v>62.99441317365275</v>
      </c>
      <c r="AR21" s="44" t="n">
        <v>56.59920359281441</v>
      </c>
      <c r="AS21" s="44" t="n">
        <v>56.59920359281441</v>
      </c>
      <c r="AT21" s="44" t="n">
        <v>53.4015988023949</v>
      </c>
      <c r="AU21" s="44" t="n">
        <v>53.4015988023949</v>
      </c>
      <c r="AV21" s="44" t="n">
        <v>50.20399401197609</v>
      </c>
      <c r="AW21" s="44" t="n">
        <v>50.20399401197609</v>
      </c>
      <c r="AX21" s="44" t="n">
        <v>47.00638922155657</v>
      </c>
      <c r="AY21" s="44" t="n">
        <v>47.00638922155657</v>
      </c>
      <c r="AZ21" s="48" t="n"/>
      <c r="BA21" s="48" t="n"/>
    </row>
    <row r="22" customFormat="1" s="41">
      <c r="A22" s="37" t="n">
        <v>18</v>
      </c>
      <c r="B22" s="37">
        <f>B21</f>
        <v/>
      </c>
      <c r="C22" s="34">
        <f>GSD!F22</f>
        <v/>
      </c>
      <c r="D22" s="37">
        <f>GSD!E22</f>
        <v/>
      </c>
      <c r="E22" s="34" t="n">
        <v>27</v>
      </c>
      <c r="F22" s="38">
        <f>(0.000000002615*E22^4) - (0.00000030607*E22^3) + (0.000016427499*E22^2) - (0.000618546309*E22) + 0.017919182437</f>
        <v/>
      </c>
      <c r="G22" s="111" t="n"/>
      <c r="H22" s="37" t="n">
        <v>0.0005</v>
      </c>
      <c r="I22" s="37" t="n">
        <v>1</v>
      </c>
      <c r="J22" s="37" t="n">
        <v>1</v>
      </c>
      <c r="K22" s="34">
        <f>(E22-27)*0.25</f>
        <v/>
      </c>
      <c r="L22" s="37" t="n">
        <v>0.3</v>
      </c>
      <c r="M22" s="111" t="n">
        <v>1.02</v>
      </c>
      <c r="N22" s="111" t="n">
        <v>1.02</v>
      </c>
      <c r="O22" s="111" t="n">
        <v>1.02</v>
      </c>
      <c r="P22" s="111" t="n">
        <v>1.02</v>
      </c>
      <c r="Q22" s="111" t="n">
        <v>1.019</v>
      </c>
      <c r="R22" s="111" t="n">
        <v>1.019</v>
      </c>
      <c r="S22" s="111" t="n">
        <v>1.019</v>
      </c>
      <c r="T22" s="111" t="n">
        <v>1.018</v>
      </c>
      <c r="U22" s="111" t="n">
        <v>1.018</v>
      </c>
      <c r="V22" s="111" t="n">
        <v>1.0171</v>
      </c>
      <c r="W22" s="111" t="n">
        <v>1.016</v>
      </c>
      <c r="X22" s="111" t="n">
        <v>1.016</v>
      </c>
      <c r="Y22" s="111" t="n">
        <v>1.015</v>
      </c>
      <c r="Z22" s="33" t="n"/>
      <c r="AA22" s="33" t="n"/>
      <c r="AB22" s="33" t="n"/>
      <c r="AC22" s="33" t="n"/>
      <c r="AD22" s="33" t="n"/>
      <c r="AE22" s="33" t="n"/>
      <c r="AF22" s="33" t="n"/>
      <c r="AG22" s="33" t="n"/>
      <c r="AH22" s="33" t="n"/>
      <c r="AI22" s="33" t="n"/>
      <c r="AJ22" s="33" t="n"/>
      <c r="AK22" s="33" t="n"/>
      <c r="AL22" s="33" t="n"/>
      <c r="AM22" s="34" t="n"/>
      <c r="AN22" s="34" t="n"/>
      <c r="AO22" s="34" t="n"/>
      <c r="AP22" s="34" t="n"/>
      <c r="AQ22" s="34" t="n"/>
      <c r="AR22" s="34" t="n"/>
      <c r="AS22" s="34" t="n"/>
      <c r="AT22" s="34" t="n"/>
      <c r="AU22" s="34" t="n"/>
      <c r="AV22" s="34" t="n"/>
      <c r="AW22" s="34" t="n"/>
      <c r="AX22" s="34" t="n"/>
      <c r="AY22" s="34" t="n"/>
      <c r="AZ22" s="40" t="n"/>
      <c r="BA22" s="40" t="n"/>
    </row>
    <row r="23" customFormat="1" s="41">
      <c r="A23" s="37" t="n">
        <v>19</v>
      </c>
      <c r="B23" s="37">
        <f>B22</f>
        <v/>
      </c>
      <c r="C23" s="34">
        <f>GSD!F23</f>
        <v/>
      </c>
      <c r="D23" s="37">
        <f>GSD!E23</f>
        <v/>
      </c>
      <c r="E23" s="34" t="n">
        <v>27</v>
      </c>
      <c r="F23" s="38">
        <f>(0.000000002615*E23^4) - (0.00000030607*E23^3) + (0.000016427499*E23^2) - (0.000618546309*E23) + 0.017919182437</f>
        <v/>
      </c>
      <c r="G23" s="111" t="n"/>
      <c r="H23" s="37" t="n">
        <v>0.0005</v>
      </c>
      <c r="I23" s="37" t="n">
        <v>1</v>
      </c>
      <c r="J23" s="37" t="n">
        <v>1</v>
      </c>
      <c r="K23" s="34">
        <f>(E23-27)*0.25</f>
        <v/>
      </c>
      <c r="L23" s="37" t="n">
        <v>0.3</v>
      </c>
      <c r="M23" s="112" t="n">
        <v>1.024</v>
      </c>
      <c r="N23" s="112" t="n">
        <v>1.024</v>
      </c>
      <c r="O23" s="112" t="n">
        <v>1.024</v>
      </c>
      <c r="P23" s="112" t="n">
        <v>1.023</v>
      </c>
      <c r="Q23" s="112" t="n">
        <v>1.023</v>
      </c>
      <c r="R23" s="112" t="n">
        <v>1.023</v>
      </c>
      <c r="S23" s="112" t="n">
        <v>1.022</v>
      </c>
      <c r="T23" s="112" t="n">
        <v>1.022</v>
      </c>
      <c r="U23" s="112" t="n">
        <v>1.021</v>
      </c>
      <c r="V23" s="112" t="n">
        <v>1.02</v>
      </c>
      <c r="W23" s="112" t="n">
        <v>1.02</v>
      </c>
      <c r="X23" s="112" t="n">
        <v>1.019</v>
      </c>
      <c r="Y23" s="112" t="n">
        <v>1.018</v>
      </c>
      <c r="Z23" s="33" t="n"/>
      <c r="AA23" s="33" t="n"/>
      <c r="AB23" s="33" t="n"/>
      <c r="AC23" s="33" t="n"/>
      <c r="AD23" s="33" t="n"/>
      <c r="AE23" s="33" t="n"/>
      <c r="AF23" s="33" t="n"/>
      <c r="AG23" s="33" t="n"/>
      <c r="AH23" s="33" t="n"/>
      <c r="AI23" s="33" t="n"/>
      <c r="AJ23" s="33" t="n"/>
      <c r="AK23" s="33" t="n"/>
      <c r="AL23" s="33" t="n"/>
      <c r="AM23" s="34" t="n"/>
      <c r="AN23" s="34" t="n"/>
      <c r="AO23" s="34" t="n"/>
      <c r="AP23" s="34" t="n"/>
      <c r="AQ23" s="34" t="n"/>
      <c r="AR23" s="34" t="n"/>
      <c r="AS23" s="34" t="n"/>
      <c r="AT23" s="34" t="n"/>
      <c r="AU23" s="34" t="n"/>
      <c r="AV23" s="34" t="n"/>
      <c r="AW23" s="34" t="n"/>
      <c r="AX23" s="34" t="n"/>
      <c r="AY23" s="34" t="n"/>
      <c r="AZ23" s="40" t="n"/>
      <c r="BA2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 s="49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35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35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35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35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35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35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35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35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35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35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35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35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35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35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35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35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35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35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35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35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35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35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35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35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35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35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35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35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35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35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35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35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35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35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35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35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35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35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35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35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U36"/>
  <sheetViews>
    <sheetView topLeftCell="AI1" zoomScale="85" zoomScaleNormal="85" workbookViewId="0">
      <selection activeCell="AT26" sqref="AT26"/>
    </sheetView>
  </sheetViews>
  <sheetFormatPr baseColWidth="8" defaultRowHeight="15"/>
  <cols>
    <col width="9.140625" customWidth="1" style="49" min="4" max="27"/>
    <col width="9.140625" customWidth="1" style="42" min="28" max="28"/>
  </cols>
  <sheetData>
    <row r="1">
      <c r="J1" s="25" t="n">
        <v>0.5</v>
      </c>
      <c r="K1" s="25" t="n">
        <v>1</v>
      </c>
      <c r="L1" s="25" t="n">
        <v>2</v>
      </c>
      <c r="M1" s="25" t="n">
        <v>4</v>
      </c>
      <c r="N1" s="25" t="n">
        <v>8</v>
      </c>
      <c r="O1" s="25" t="n">
        <v>15</v>
      </c>
      <c r="P1" s="25" t="n">
        <v>30</v>
      </c>
      <c r="Q1" s="25" t="n">
        <v>60</v>
      </c>
      <c r="R1" s="25" t="n">
        <v>120</v>
      </c>
      <c r="S1" s="25" t="n">
        <v>240</v>
      </c>
      <c r="T1" s="25" t="n">
        <v>480</v>
      </c>
      <c r="U1" s="25" t="n">
        <v>960</v>
      </c>
      <c r="V1" s="25" t="n">
        <v>1440</v>
      </c>
      <c r="W1" s="25" t="n">
        <v>4.75</v>
      </c>
      <c r="X1" s="114" t="n">
        <v>2</v>
      </c>
      <c r="Y1" s="28" t="n">
        <v>0.425</v>
      </c>
      <c r="Z1" s="28" t="n">
        <v>0.212</v>
      </c>
      <c r="AA1" s="28" t="n">
        <v>0.15</v>
      </c>
      <c r="AB1" s="25" t="n">
        <v>0.075</v>
      </c>
      <c r="AC1" s="25" t="n">
        <v>0.5</v>
      </c>
      <c r="AD1" s="25" t="n">
        <v>1</v>
      </c>
      <c r="AE1" s="25" t="n">
        <v>2</v>
      </c>
      <c r="AF1" s="25" t="n">
        <v>4</v>
      </c>
      <c r="AG1" s="25" t="n">
        <v>8</v>
      </c>
      <c r="AH1" s="25" t="n">
        <v>15</v>
      </c>
      <c r="AI1" s="25" t="n">
        <v>30</v>
      </c>
      <c r="AJ1" s="25" t="n">
        <v>60</v>
      </c>
      <c r="AK1" s="25" t="n">
        <v>120</v>
      </c>
      <c r="AL1" s="25" t="n">
        <v>240</v>
      </c>
      <c r="AM1" s="25" t="n">
        <v>480</v>
      </c>
      <c r="AN1" s="25" t="n">
        <v>960</v>
      </c>
      <c r="AO1" s="25" t="n">
        <v>1440</v>
      </c>
    </row>
    <row r="2">
      <c r="A2" s="95" t="inlineStr">
        <is>
          <t>SR No.</t>
        </is>
      </c>
      <c r="B2" s="95" t="inlineStr">
        <is>
          <t>BH ID</t>
        </is>
      </c>
      <c r="C2" s="95" t="inlineStr">
        <is>
          <t>Depth</t>
        </is>
      </c>
      <c r="D2" s="94" t="inlineStr">
        <is>
          <t>Particle Size in mm (GSD)</t>
        </is>
      </c>
      <c r="E2" s="100" t="n"/>
      <c r="F2" s="100" t="n"/>
      <c r="G2" s="100" t="n"/>
      <c r="H2" s="100" t="n"/>
      <c r="I2" s="101" t="n"/>
      <c r="J2" s="94" t="inlineStr">
        <is>
          <t>Particle Size in mm (HYD)</t>
        </is>
      </c>
      <c r="K2" s="100" t="n"/>
      <c r="L2" s="100" t="n"/>
      <c r="M2" s="100" t="n"/>
      <c r="N2" s="100" t="n"/>
      <c r="O2" s="100" t="n"/>
      <c r="P2" s="100" t="n"/>
      <c r="Q2" s="100" t="n"/>
      <c r="R2" s="100" t="n"/>
      <c r="S2" s="100" t="n"/>
      <c r="T2" s="100" t="n"/>
      <c r="U2" s="100" t="n"/>
      <c r="V2" s="101" t="n"/>
      <c r="W2" s="95" t="inlineStr">
        <is>
          <t>% Passing (GSD)</t>
        </is>
      </c>
      <c r="X2" s="100" t="n"/>
      <c r="Y2" s="100" t="n"/>
      <c r="Z2" s="100" t="n"/>
      <c r="AA2" s="100" t="n"/>
      <c r="AB2" s="101" t="n"/>
      <c r="AC2" s="94" t="inlineStr">
        <is>
          <t>% Passing (HYD)</t>
        </is>
      </c>
      <c r="AD2" s="100" t="n"/>
      <c r="AE2" s="100" t="n"/>
      <c r="AF2" s="100" t="n"/>
      <c r="AG2" s="100" t="n"/>
      <c r="AH2" s="100" t="n"/>
      <c r="AI2" s="100" t="n"/>
      <c r="AJ2" s="100" t="n"/>
      <c r="AK2" s="100" t="n"/>
      <c r="AL2" s="100" t="n"/>
      <c r="AM2" s="100" t="n"/>
      <c r="AN2" s="100" t="n"/>
      <c r="AO2" s="101" t="n"/>
      <c r="AP2" s="95" t="inlineStr">
        <is>
          <t>% Gravel</t>
        </is>
      </c>
      <c r="AQ2" s="95" t="inlineStr">
        <is>
          <t>% Sand</t>
        </is>
      </c>
      <c r="AR2" s="95" t="inlineStr">
        <is>
          <t>% Silt</t>
        </is>
      </c>
      <c r="AS2" s="95" t="inlineStr">
        <is>
          <t>% Clay</t>
        </is>
      </c>
    </row>
    <row r="3" customFormat="1" s="35">
      <c r="A3" s="35" t="n">
        <v>1</v>
      </c>
      <c r="B3" s="35">
        <f>GSD!B5</f>
        <v/>
      </c>
      <c r="C3" s="27">
        <f>GSD!F5</f>
        <v/>
      </c>
      <c r="D3" s="115" t="n">
        <v>4.75</v>
      </c>
      <c r="E3" s="115" t="n">
        <v>2</v>
      </c>
      <c r="F3" s="115" t="n">
        <v>0.425</v>
      </c>
      <c r="G3" s="115" t="n">
        <v>0.212</v>
      </c>
      <c r="H3" s="115" t="n">
        <v>0.15</v>
      </c>
      <c r="I3" s="115" t="n">
        <v>0.075</v>
      </c>
      <c r="J3" s="116">
        <f>HYD!Z5</f>
        <v/>
      </c>
      <c r="K3" s="116">
        <f>HYD!AA5</f>
        <v/>
      </c>
      <c r="L3" s="116">
        <f>HYD!AB5</f>
        <v/>
      </c>
      <c r="M3" s="116">
        <f>HYD!AC5</f>
        <v/>
      </c>
      <c r="N3" s="116">
        <f>HYD!AD5</f>
        <v/>
      </c>
      <c r="O3" s="116">
        <f>HYD!AE5</f>
        <v/>
      </c>
      <c r="P3" s="116">
        <f>HYD!AF5</f>
        <v/>
      </c>
      <c r="Q3" s="116">
        <f>HYD!AG5</f>
        <v/>
      </c>
      <c r="R3" s="116">
        <f>HYD!AH5</f>
        <v/>
      </c>
      <c r="S3" s="116">
        <f>HYD!AI5</f>
        <v/>
      </c>
      <c r="T3" s="116">
        <f>HYD!AJ5</f>
        <v/>
      </c>
      <c r="U3" s="116">
        <f>HYD!AK5</f>
        <v/>
      </c>
      <c r="V3" s="116">
        <f>HYD!AL5</f>
        <v/>
      </c>
      <c r="W3" s="51">
        <f>GSD!Q5</f>
        <v/>
      </c>
      <c r="X3" s="51">
        <f>GSD!R5</f>
        <v/>
      </c>
      <c r="Y3" s="51">
        <f>GSD!S5</f>
        <v/>
      </c>
      <c r="Z3" s="51">
        <f>GSD!T5</f>
        <v/>
      </c>
      <c r="AA3" s="51">
        <f>GSD!U5</f>
        <v/>
      </c>
      <c r="AB3" s="52">
        <f>GSD!V5</f>
        <v/>
      </c>
      <c r="AC3" s="52">
        <f>HYD!AM5</f>
        <v/>
      </c>
      <c r="AD3" s="51">
        <f>HYD!AN5</f>
        <v/>
      </c>
      <c r="AE3" s="51">
        <f>HYD!AO5</f>
        <v/>
      </c>
      <c r="AF3" s="51">
        <f>HYD!AP5</f>
        <v/>
      </c>
      <c r="AG3" s="51">
        <f>HYD!AQ5</f>
        <v/>
      </c>
      <c r="AH3" s="51">
        <f>HYD!AR5</f>
        <v/>
      </c>
      <c r="AI3" s="51">
        <f>HYD!AS5</f>
        <v/>
      </c>
      <c r="AJ3" s="51">
        <f>HYD!AT5</f>
        <v/>
      </c>
      <c r="AK3" s="51">
        <f>HYD!AU5</f>
        <v/>
      </c>
      <c r="AL3" s="51">
        <f>HYD!AV5</f>
        <v/>
      </c>
      <c r="AM3" s="51">
        <f>HYD!AW5</f>
        <v/>
      </c>
      <c r="AN3" s="51">
        <f>HYD!AX5</f>
        <v/>
      </c>
      <c r="AO3" s="51">
        <f>HYD!AY5</f>
        <v/>
      </c>
      <c r="AP3" s="51" t="n">
        <v>1.030000000000001</v>
      </c>
      <c r="AQ3" s="51" t="n">
        <v>77.7</v>
      </c>
      <c r="AR3" s="51" t="n"/>
      <c r="AS3" s="51" t="n"/>
    </row>
    <row r="4">
      <c r="A4" s="35" t="n">
        <v>2</v>
      </c>
      <c r="B4" s="35">
        <f>B3</f>
        <v/>
      </c>
      <c r="C4" s="27">
        <f>GSD!F6</f>
        <v/>
      </c>
      <c r="D4" s="115" t="n">
        <v>4.75</v>
      </c>
      <c r="E4" s="115" t="n">
        <v>2</v>
      </c>
      <c r="F4" s="115" t="n">
        <v>0.425</v>
      </c>
      <c r="G4" s="115" t="n">
        <v>0.212</v>
      </c>
      <c r="H4" s="115" t="n">
        <v>0.15</v>
      </c>
      <c r="I4" s="115" t="n">
        <v>0.075</v>
      </c>
      <c r="J4" s="116">
        <f>HYD!Z6</f>
        <v/>
      </c>
      <c r="K4" s="116">
        <f>HYD!AA6</f>
        <v/>
      </c>
      <c r="L4" s="116">
        <f>HYD!AB6</f>
        <v/>
      </c>
      <c r="M4" s="116">
        <f>HYD!AC6</f>
        <v/>
      </c>
      <c r="N4" s="116">
        <f>HYD!AD6</f>
        <v/>
      </c>
      <c r="O4" s="116">
        <f>HYD!AE6</f>
        <v/>
      </c>
      <c r="P4" s="116">
        <f>HYD!AF6</f>
        <v/>
      </c>
      <c r="Q4" s="116">
        <f>HYD!AG6</f>
        <v/>
      </c>
      <c r="R4" s="116">
        <f>HYD!AH6</f>
        <v/>
      </c>
      <c r="S4" s="116">
        <f>HYD!AI6</f>
        <v/>
      </c>
      <c r="T4" s="116">
        <f>HYD!AJ6</f>
        <v/>
      </c>
      <c r="U4" s="116">
        <f>HYD!AK6</f>
        <v/>
      </c>
      <c r="V4" s="116">
        <f>HYD!AL6</f>
        <v/>
      </c>
      <c r="W4" s="51">
        <f>GSD!Q6</f>
        <v/>
      </c>
      <c r="X4" s="51">
        <f>GSD!R6</f>
        <v/>
      </c>
      <c r="Y4" s="51">
        <f>GSD!S6</f>
        <v/>
      </c>
      <c r="Z4" s="51">
        <f>GSD!T6</f>
        <v/>
      </c>
      <c r="AA4" s="51">
        <f>GSD!U6</f>
        <v/>
      </c>
      <c r="AB4" s="52">
        <f>GSD!V6</f>
        <v/>
      </c>
      <c r="AC4" s="52">
        <f>HYD!AM6</f>
        <v/>
      </c>
      <c r="AD4" s="51">
        <f>HYD!AN6</f>
        <v/>
      </c>
      <c r="AE4" s="51">
        <f>HYD!AO6</f>
        <v/>
      </c>
      <c r="AF4" s="51">
        <f>HYD!AP6</f>
        <v/>
      </c>
      <c r="AG4" s="51">
        <f>HYD!AQ6</f>
        <v/>
      </c>
      <c r="AH4" s="51">
        <f>HYD!AR6</f>
        <v/>
      </c>
      <c r="AI4" s="51">
        <f>HYD!AS6</f>
        <v/>
      </c>
      <c r="AJ4" s="51">
        <f>HYD!AT6</f>
        <v/>
      </c>
      <c r="AK4" s="51">
        <f>HYD!AU6</f>
        <v/>
      </c>
      <c r="AL4" s="51">
        <f>HYD!AV6</f>
        <v/>
      </c>
      <c r="AM4" s="51">
        <f>HYD!AW6</f>
        <v/>
      </c>
      <c r="AN4" s="51">
        <f>HYD!AX6</f>
        <v/>
      </c>
      <c r="AO4" s="51">
        <f>HYD!AY6</f>
        <v/>
      </c>
      <c r="AP4" s="51" t="n">
        <v>1.219999999999999</v>
      </c>
      <c r="AQ4" s="51" t="n">
        <v>5.469999999999999</v>
      </c>
      <c r="AR4" s="51" t="n"/>
      <c r="AS4" s="51" t="n"/>
      <c r="AT4" s="35" t="n"/>
      <c r="AU4" s="62" t="n"/>
    </row>
    <row r="5">
      <c r="A5" s="35" t="n">
        <v>3</v>
      </c>
      <c r="B5" s="35">
        <f>B4</f>
        <v/>
      </c>
      <c r="C5" s="27">
        <f>GSD!F7</f>
        <v/>
      </c>
      <c r="D5" s="115" t="n">
        <v>4.75</v>
      </c>
      <c r="E5" s="115" t="n">
        <v>2</v>
      </c>
      <c r="F5" s="115" t="n">
        <v>0.425</v>
      </c>
      <c r="G5" s="115" t="n">
        <v>0.212</v>
      </c>
      <c r="H5" s="115" t="n">
        <v>0.15</v>
      </c>
      <c r="I5" s="115" t="n">
        <v>0.075</v>
      </c>
      <c r="J5" s="116">
        <f>HYD!Z7</f>
        <v/>
      </c>
      <c r="K5" s="116">
        <f>HYD!AA7</f>
        <v/>
      </c>
      <c r="L5" s="116">
        <f>HYD!AB7</f>
        <v/>
      </c>
      <c r="M5" s="116">
        <f>HYD!AC7</f>
        <v/>
      </c>
      <c r="N5" s="116">
        <f>HYD!AD7</f>
        <v/>
      </c>
      <c r="O5" s="116">
        <f>HYD!AE7</f>
        <v/>
      </c>
      <c r="P5" s="116">
        <f>HYD!AF7</f>
        <v/>
      </c>
      <c r="Q5" s="116">
        <f>HYD!AG7</f>
        <v/>
      </c>
      <c r="R5" s="116">
        <f>HYD!AH7</f>
        <v/>
      </c>
      <c r="S5" s="116">
        <f>HYD!AI7</f>
        <v/>
      </c>
      <c r="T5" s="116">
        <f>HYD!AJ7</f>
        <v/>
      </c>
      <c r="U5" s="116">
        <f>HYD!AK7</f>
        <v/>
      </c>
      <c r="V5" s="116">
        <f>HYD!AL7</f>
        <v/>
      </c>
      <c r="W5" s="51">
        <f>GSD!Q7</f>
        <v/>
      </c>
      <c r="X5" s="51">
        <f>GSD!R7</f>
        <v/>
      </c>
      <c r="Y5" s="51">
        <f>GSD!S7</f>
        <v/>
      </c>
      <c r="Z5" s="51">
        <f>GSD!T7</f>
        <v/>
      </c>
      <c r="AA5" s="51">
        <f>GSD!U7</f>
        <v/>
      </c>
      <c r="AB5" s="52">
        <f>GSD!V7</f>
        <v/>
      </c>
      <c r="AC5" s="52">
        <f>HYD!AM7</f>
        <v/>
      </c>
      <c r="AD5" s="51">
        <f>HYD!AN7</f>
        <v/>
      </c>
      <c r="AE5" s="51">
        <f>HYD!AO7</f>
        <v/>
      </c>
      <c r="AF5" s="51">
        <f>HYD!AP7</f>
        <v/>
      </c>
      <c r="AG5" s="51">
        <f>HYD!AQ7</f>
        <v/>
      </c>
      <c r="AH5" s="51">
        <f>HYD!AR7</f>
        <v/>
      </c>
      <c r="AI5" s="51">
        <f>HYD!AS7</f>
        <v/>
      </c>
      <c r="AJ5" s="51">
        <f>HYD!AT7</f>
        <v/>
      </c>
      <c r="AK5" s="51">
        <f>HYD!AU7</f>
        <v/>
      </c>
      <c r="AL5" s="51">
        <f>HYD!AV7</f>
        <v/>
      </c>
      <c r="AM5" s="51">
        <f>HYD!AW7</f>
        <v/>
      </c>
      <c r="AN5" s="51">
        <f>HYD!AX7</f>
        <v/>
      </c>
      <c r="AO5" s="51">
        <f>HYD!AY7</f>
        <v/>
      </c>
      <c r="AP5" s="51" t="n">
        <v>0.5</v>
      </c>
      <c r="AQ5" s="51" t="n">
        <v>39.15</v>
      </c>
      <c r="AR5" s="51" t="n">
        <v>16.83076470588232</v>
      </c>
      <c r="AS5" s="51" t="n">
        <v>43.51923529411768</v>
      </c>
      <c r="AT5" s="35" t="n"/>
      <c r="AU5" s="62" t="n"/>
    </row>
    <row r="6">
      <c r="A6" s="35" t="n">
        <v>4</v>
      </c>
      <c r="B6" s="35">
        <f>B5</f>
        <v/>
      </c>
      <c r="C6" s="27">
        <f>GSD!F8</f>
        <v/>
      </c>
      <c r="D6" s="115" t="n">
        <v>4.75</v>
      </c>
      <c r="E6" s="115" t="n">
        <v>2</v>
      </c>
      <c r="F6" s="115" t="n">
        <v>0.425</v>
      </c>
      <c r="G6" s="115" t="n">
        <v>0.212</v>
      </c>
      <c r="H6" s="115" t="n">
        <v>0.15</v>
      </c>
      <c r="I6" s="115" t="n">
        <v>0.075</v>
      </c>
      <c r="J6" s="116">
        <f>HYD!Z8</f>
        <v/>
      </c>
      <c r="K6" s="116">
        <f>HYD!AA8</f>
        <v/>
      </c>
      <c r="L6" s="116">
        <f>HYD!AB8</f>
        <v/>
      </c>
      <c r="M6" s="116">
        <f>HYD!AC8</f>
        <v/>
      </c>
      <c r="N6" s="116">
        <f>HYD!AD8</f>
        <v/>
      </c>
      <c r="O6" s="116">
        <f>HYD!AE8</f>
        <v/>
      </c>
      <c r="P6" s="116">
        <f>HYD!AF8</f>
        <v/>
      </c>
      <c r="Q6" s="116">
        <f>HYD!AG8</f>
        <v/>
      </c>
      <c r="R6" s="116">
        <f>HYD!AH8</f>
        <v/>
      </c>
      <c r="S6" s="116">
        <f>HYD!AI8</f>
        <v/>
      </c>
      <c r="T6" s="116">
        <f>HYD!AJ8</f>
        <v/>
      </c>
      <c r="U6" s="116">
        <f>HYD!AK8</f>
        <v/>
      </c>
      <c r="V6" s="116">
        <f>HYD!AL8</f>
        <v/>
      </c>
      <c r="W6" s="51">
        <f>GSD!Q8</f>
        <v/>
      </c>
      <c r="X6" s="51">
        <f>GSD!R8</f>
        <v/>
      </c>
      <c r="Y6" s="51">
        <f>GSD!S8</f>
        <v/>
      </c>
      <c r="Z6" s="51">
        <f>GSD!T8</f>
        <v/>
      </c>
      <c r="AA6" s="51">
        <f>GSD!U8</f>
        <v/>
      </c>
      <c r="AB6" s="52">
        <f>GSD!V8</f>
        <v/>
      </c>
      <c r="AC6" s="52">
        <f>HYD!AM8</f>
        <v/>
      </c>
      <c r="AD6" s="51">
        <f>HYD!AN8</f>
        <v/>
      </c>
      <c r="AE6" s="51">
        <f>HYD!AO8</f>
        <v/>
      </c>
      <c r="AF6" s="51">
        <f>HYD!AP8</f>
        <v/>
      </c>
      <c r="AG6" s="51">
        <f>HYD!AQ8</f>
        <v/>
      </c>
      <c r="AH6" s="51">
        <f>HYD!AR8</f>
        <v/>
      </c>
      <c r="AI6" s="51">
        <f>HYD!AS8</f>
        <v/>
      </c>
      <c r="AJ6" s="51">
        <f>HYD!AT8</f>
        <v/>
      </c>
      <c r="AK6" s="51">
        <f>HYD!AU8</f>
        <v/>
      </c>
      <c r="AL6" s="51">
        <f>HYD!AV8</f>
        <v/>
      </c>
      <c r="AM6" s="51">
        <f>HYD!AW8</f>
        <v/>
      </c>
      <c r="AN6" s="51">
        <f>HYD!AX8</f>
        <v/>
      </c>
      <c r="AO6" s="51">
        <f>HYD!AY8</f>
        <v/>
      </c>
      <c r="AP6" s="51" t="n">
        <v>0</v>
      </c>
      <c r="AQ6" s="51" t="n">
        <v>4.510000000000005</v>
      </c>
      <c r="AR6" s="51" t="n">
        <v>39.74359770114938</v>
      </c>
      <c r="AS6" s="51" t="n">
        <v>55.74640229885061</v>
      </c>
      <c r="AT6" s="35" t="n"/>
      <c r="AU6" s="62" t="n"/>
    </row>
    <row r="7">
      <c r="A7" s="35" t="n">
        <v>5</v>
      </c>
      <c r="B7" s="35">
        <f>B6</f>
        <v/>
      </c>
      <c r="C7" s="27">
        <f>GSD!F9</f>
        <v/>
      </c>
      <c r="D7" s="115" t="n">
        <v>4.75</v>
      </c>
      <c r="E7" s="115" t="n">
        <v>2</v>
      </c>
      <c r="F7" s="115" t="n">
        <v>0.425</v>
      </c>
      <c r="G7" s="115" t="n">
        <v>0.212</v>
      </c>
      <c r="H7" s="115" t="n">
        <v>0.15</v>
      </c>
      <c r="I7" s="115" t="n">
        <v>0.075</v>
      </c>
      <c r="J7" s="116">
        <f>HYD!Z9</f>
        <v/>
      </c>
      <c r="K7" s="116">
        <f>HYD!AA9</f>
        <v/>
      </c>
      <c r="L7" s="116">
        <f>HYD!AB9</f>
        <v/>
      </c>
      <c r="M7" s="116">
        <f>HYD!AC9</f>
        <v/>
      </c>
      <c r="N7" s="116">
        <f>HYD!AD9</f>
        <v/>
      </c>
      <c r="O7" s="116">
        <f>HYD!AE9</f>
        <v/>
      </c>
      <c r="P7" s="116">
        <f>HYD!AF9</f>
        <v/>
      </c>
      <c r="Q7" s="116">
        <f>HYD!AG9</f>
        <v/>
      </c>
      <c r="R7" s="116">
        <f>HYD!AH9</f>
        <v/>
      </c>
      <c r="S7" s="116">
        <f>HYD!AI9</f>
        <v/>
      </c>
      <c r="T7" s="116">
        <f>HYD!AJ9</f>
        <v/>
      </c>
      <c r="U7" s="116">
        <f>HYD!AK9</f>
        <v/>
      </c>
      <c r="V7" s="116">
        <f>HYD!AL9</f>
        <v/>
      </c>
      <c r="W7" s="51">
        <f>GSD!Q9</f>
        <v/>
      </c>
      <c r="X7" s="51">
        <f>GSD!R9</f>
        <v/>
      </c>
      <c r="Y7" s="51">
        <f>GSD!S9</f>
        <v/>
      </c>
      <c r="Z7" s="51">
        <f>GSD!T9</f>
        <v/>
      </c>
      <c r="AA7" s="51">
        <f>GSD!U9</f>
        <v/>
      </c>
      <c r="AB7" s="52">
        <f>GSD!V9</f>
        <v/>
      </c>
      <c r="AC7" s="52">
        <f>HYD!AM9</f>
        <v/>
      </c>
      <c r="AD7" s="51">
        <f>HYD!AN9</f>
        <v/>
      </c>
      <c r="AE7" s="51">
        <f>HYD!AO9</f>
        <v/>
      </c>
      <c r="AF7" s="51">
        <f>HYD!AP9</f>
        <v/>
      </c>
      <c r="AG7" s="51">
        <f>HYD!AQ9</f>
        <v/>
      </c>
      <c r="AH7" s="51">
        <f>HYD!AR9</f>
        <v/>
      </c>
      <c r="AI7" s="51">
        <f>HYD!AS9</f>
        <v/>
      </c>
      <c r="AJ7" s="51">
        <f>HYD!AT9</f>
        <v/>
      </c>
      <c r="AK7" s="51">
        <f>HYD!AU9</f>
        <v/>
      </c>
      <c r="AL7" s="51">
        <f>HYD!AV9</f>
        <v/>
      </c>
      <c r="AM7" s="51">
        <f>HYD!AW9</f>
        <v/>
      </c>
      <c r="AN7" s="51">
        <f>HYD!AX9</f>
        <v/>
      </c>
      <c r="AO7" s="51">
        <f>HYD!AY9</f>
        <v/>
      </c>
      <c r="AP7" s="51" t="n">
        <v>1.275000000000006</v>
      </c>
      <c r="AQ7" s="51" t="n">
        <v>21.16499999999999</v>
      </c>
      <c r="AR7" s="51" t="n">
        <v>31.30586444765119</v>
      </c>
      <c r="AS7" s="51" t="n">
        <v>46.25413555234881</v>
      </c>
      <c r="AT7" s="35" t="n"/>
      <c r="AU7" s="62" t="n"/>
    </row>
    <row r="8">
      <c r="A8" s="35" t="n">
        <v>6</v>
      </c>
      <c r="B8" s="35">
        <f>B7</f>
        <v/>
      </c>
      <c r="C8" s="27">
        <f>GSD!F10</f>
        <v/>
      </c>
      <c r="D8" s="115" t="n">
        <v>4.75</v>
      </c>
      <c r="E8" s="115" t="n">
        <v>2</v>
      </c>
      <c r="F8" s="115" t="n">
        <v>0.425</v>
      </c>
      <c r="G8" s="115" t="n">
        <v>0.212</v>
      </c>
      <c r="H8" s="115" t="n">
        <v>0.15</v>
      </c>
      <c r="I8" s="115" t="n">
        <v>0.075</v>
      </c>
      <c r="J8" s="116">
        <f>HYD!Z10</f>
        <v/>
      </c>
      <c r="K8" s="116">
        <f>HYD!AA10</f>
        <v/>
      </c>
      <c r="L8" s="116">
        <f>HYD!AB10</f>
        <v/>
      </c>
      <c r="M8" s="116">
        <f>HYD!AC10</f>
        <v/>
      </c>
      <c r="N8" s="116">
        <f>HYD!AD10</f>
        <v/>
      </c>
      <c r="O8" s="116">
        <f>HYD!AE10</f>
        <v/>
      </c>
      <c r="P8" s="116">
        <f>HYD!AF10</f>
        <v/>
      </c>
      <c r="Q8" s="116">
        <f>HYD!AG10</f>
        <v/>
      </c>
      <c r="R8" s="116">
        <f>HYD!AH10</f>
        <v/>
      </c>
      <c r="S8" s="116">
        <f>HYD!AI10</f>
        <v/>
      </c>
      <c r="T8" s="116">
        <f>HYD!AJ10</f>
        <v/>
      </c>
      <c r="U8" s="116">
        <f>HYD!AK10</f>
        <v/>
      </c>
      <c r="V8" s="116">
        <f>HYD!AL10</f>
        <v/>
      </c>
      <c r="W8" s="51">
        <f>GSD!Q10</f>
        <v/>
      </c>
      <c r="X8" s="51">
        <f>GSD!R10</f>
        <v/>
      </c>
      <c r="Y8" s="51">
        <f>GSD!S10</f>
        <v/>
      </c>
      <c r="Z8" s="51">
        <f>GSD!T10</f>
        <v/>
      </c>
      <c r="AA8" s="51">
        <f>GSD!U10</f>
        <v/>
      </c>
      <c r="AB8" s="52">
        <f>GSD!V10</f>
        <v/>
      </c>
      <c r="AC8" s="52">
        <f>HYD!AM10</f>
        <v/>
      </c>
      <c r="AD8" s="51">
        <f>HYD!AN10</f>
        <v/>
      </c>
      <c r="AE8" s="51">
        <f>HYD!AO10</f>
        <v/>
      </c>
      <c r="AF8" s="51">
        <f>HYD!AP10</f>
        <v/>
      </c>
      <c r="AG8" s="51">
        <f>HYD!AQ10</f>
        <v/>
      </c>
      <c r="AH8" s="51">
        <f>HYD!AR10</f>
        <v/>
      </c>
      <c r="AI8" s="51">
        <f>HYD!AS10</f>
        <v/>
      </c>
      <c r="AJ8" s="51">
        <f>HYD!AT10</f>
        <v/>
      </c>
      <c r="AK8" s="51">
        <f>HYD!AU10</f>
        <v/>
      </c>
      <c r="AL8" s="51">
        <f>HYD!AV10</f>
        <v/>
      </c>
      <c r="AM8" s="51">
        <f>HYD!AW10</f>
        <v/>
      </c>
      <c r="AN8" s="51">
        <f>HYD!AX10</f>
        <v/>
      </c>
      <c r="AO8" s="51">
        <f>HYD!AY10</f>
        <v/>
      </c>
      <c r="AP8" s="51" t="n">
        <v>0</v>
      </c>
      <c r="AQ8" s="51" t="n">
        <v>8.019999999999996</v>
      </c>
      <c r="AR8" s="51" t="n">
        <v>34.8605950920245</v>
      </c>
      <c r="AS8" s="51" t="n">
        <v>57.1194049079755</v>
      </c>
      <c r="AT8" s="35" t="n"/>
      <c r="AU8" s="62" t="n"/>
    </row>
    <row r="9">
      <c r="A9" s="35" t="n">
        <v>7</v>
      </c>
      <c r="B9" s="35">
        <f>B8</f>
        <v/>
      </c>
      <c r="C9" s="27">
        <f>GSD!F11</f>
        <v/>
      </c>
      <c r="D9" s="115" t="n">
        <v>4.75</v>
      </c>
      <c r="E9" s="115" t="n">
        <v>2</v>
      </c>
      <c r="F9" s="115" t="n">
        <v>0.425</v>
      </c>
      <c r="G9" s="115" t="n">
        <v>0.212</v>
      </c>
      <c r="H9" s="115" t="n">
        <v>0.15</v>
      </c>
      <c r="I9" s="115" t="n">
        <v>0.075</v>
      </c>
      <c r="J9" s="116">
        <f>HYD!Z11</f>
        <v/>
      </c>
      <c r="K9" s="116">
        <f>HYD!AA11</f>
        <v/>
      </c>
      <c r="L9" s="116">
        <f>HYD!AB11</f>
        <v/>
      </c>
      <c r="M9" s="116">
        <f>HYD!AC11</f>
        <v/>
      </c>
      <c r="N9" s="116">
        <f>HYD!AD11</f>
        <v/>
      </c>
      <c r="O9" s="116">
        <f>HYD!AE11</f>
        <v/>
      </c>
      <c r="P9" s="116">
        <f>HYD!AF11</f>
        <v/>
      </c>
      <c r="Q9" s="116">
        <f>HYD!AG11</f>
        <v/>
      </c>
      <c r="R9" s="116">
        <f>HYD!AH11</f>
        <v/>
      </c>
      <c r="S9" s="116">
        <f>HYD!AI11</f>
        <v/>
      </c>
      <c r="T9" s="116">
        <f>HYD!AJ11</f>
        <v/>
      </c>
      <c r="U9" s="116">
        <f>HYD!AK11</f>
        <v/>
      </c>
      <c r="V9" s="116">
        <f>HYD!AL11</f>
        <v/>
      </c>
      <c r="W9" s="51">
        <f>GSD!Q11</f>
        <v/>
      </c>
      <c r="X9" s="51">
        <f>GSD!R11</f>
        <v/>
      </c>
      <c r="Y9" s="51">
        <f>GSD!S11</f>
        <v/>
      </c>
      <c r="Z9" s="51">
        <f>GSD!T11</f>
        <v/>
      </c>
      <c r="AA9" s="51">
        <f>GSD!U11</f>
        <v/>
      </c>
      <c r="AB9" s="52">
        <f>GSD!V11</f>
        <v/>
      </c>
      <c r="AC9" s="52">
        <f>HYD!AM11</f>
        <v/>
      </c>
      <c r="AD9" s="51">
        <f>HYD!AN11</f>
        <v/>
      </c>
      <c r="AE9" s="51">
        <f>HYD!AO11</f>
        <v/>
      </c>
      <c r="AF9" s="51">
        <f>HYD!AP11</f>
        <v/>
      </c>
      <c r="AG9" s="51">
        <f>HYD!AQ11</f>
        <v/>
      </c>
      <c r="AH9" s="51">
        <f>HYD!AR11</f>
        <v/>
      </c>
      <c r="AI9" s="51">
        <f>HYD!AS11</f>
        <v/>
      </c>
      <c r="AJ9" s="51">
        <f>HYD!AT11</f>
        <v/>
      </c>
      <c r="AK9" s="51">
        <f>HYD!AU11</f>
        <v/>
      </c>
      <c r="AL9" s="51">
        <f>HYD!AV11</f>
        <v/>
      </c>
      <c r="AM9" s="51">
        <f>HYD!AW11</f>
        <v/>
      </c>
      <c r="AN9" s="51">
        <f>HYD!AX11</f>
        <v/>
      </c>
      <c r="AO9" s="51">
        <f>HYD!AY11</f>
        <v/>
      </c>
      <c r="AP9" s="36" t="n">
        <v>0.4599999999999937</v>
      </c>
      <c r="AQ9" s="36" t="n">
        <v>13.94000000000001</v>
      </c>
      <c r="AR9" s="36" t="n">
        <v>28.48059509202449</v>
      </c>
      <c r="AS9" s="36" t="n">
        <v>57.1194049079755</v>
      </c>
      <c r="AT9" s="35" t="n"/>
      <c r="AU9" s="62" t="n"/>
    </row>
    <row r="10">
      <c r="A10" s="35" t="n">
        <v>8</v>
      </c>
      <c r="B10" s="35">
        <f>B9</f>
        <v/>
      </c>
      <c r="C10" s="27">
        <f>GSD!F12</f>
        <v/>
      </c>
      <c r="D10" s="115" t="n">
        <v>4.75</v>
      </c>
      <c r="E10" s="115" t="n">
        <v>2</v>
      </c>
      <c r="F10" s="115" t="n">
        <v>0.425</v>
      </c>
      <c r="G10" s="115" t="n">
        <v>0.212</v>
      </c>
      <c r="H10" s="115" t="n">
        <v>0.15</v>
      </c>
      <c r="I10" s="115" t="n">
        <v>0.075</v>
      </c>
      <c r="J10" s="116">
        <f>HYD!Z12</f>
        <v/>
      </c>
      <c r="K10" s="116">
        <f>HYD!AA12</f>
        <v/>
      </c>
      <c r="L10" s="116">
        <f>HYD!AB12</f>
        <v/>
      </c>
      <c r="M10" s="116">
        <f>HYD!AC12</f>
        <v/>
      </c>
      <c r="N10" s="116">
        <f>HYD!AD12</f>
        <v/>
      </c>
      <c r="O10" s="116">
        <f>HYD!AE12</f>
        <v/>
      </c>
      <c r="P10" s="116">
        <f>HYD!AF12</f>
        <v/>
      </c>
      <c r="Q10" s="116">
        <f>HYD!AG12</f>
        <v/>
      </c>
      <c r="R10" s="116">
        <f>HYD!AH12</f>
        <v/>
      </c>
      <c r="S10" s="116">
        <f>HYD!AI12</f>
        <v/>
      </c>
      <c r="T10" s="116">
        <f>HYD!AJ12</f>
        <v/>
      </c>
      <c r="U10" s="116">
        <f>HYD!AK12</f>
        <v/>
      </c>
      <c r="V10" s="116">
        <f>HYD!AL12</f>
        <v/>
      </c>
      <c r="W10" s="51">
        <f>GSD!Q12</f>
        <v/>
      </c>
      <c r="X10" s="51">
        <f>GSD!R12</f>
        <v/>
      </c>
      <c r="Y10" s="51">
        <f>GSD!S12</f>
        <v/>
      </c>
      <c r="Z10" s="51">
        <f>GSD!T12</f>
        <v/>
      </c>
      <c r="AA10" s="51">
        <f>GSD!U12</f>
        <v/>
      </c>
      <c r="AB10" s="52">
        <f>GSD!V12</f>
        <v/>
      </c>
      <c r="AC10" s="52">
        <f>HYD!AM12</f>
        <v/>
      </c>
      <c r="AD10" s="51">
        <f>HYD!AN12</f>
        <v/>
      </c>
      <c r="AE10" s="51">
        <f>HYD!AO12</f>
        <v/>
      </c>
      <c r="AF10" s="51">
        <f>HYD!AP12</f>
        <v/>
      </c>
      <c r="AG10" s="51">
        <f>HYD!AQ12</f>
        <v/>
      </c>
      <c r="AH10" s="51">
        <f>HYD!AR12</f>
        <v/>
      </c>
      <c r="AI10" s="51">
        <f>HYD!AS12</f>
        <v/>
      </c>
      <c r="AJ10" s="51">
        <f>HYD!AT12</f>
        <v/>
      </c>
      <c r="AK10" s="51">
        <f>HYD!AU12</f>
        <v/>
      </c>
      <c r="AL10" s="51">
        <f>HYD!AV12</f>
        <v/>
      </c>
      <c r="AM10" s="51">
        <f>HYD!AW12</f>
        <v/>
      </c>
      <c r="AN10" s="51">
        <f>HYD!AX12</f>
        <v/>
      </c>
      <c r="AO10" s="51">
        <f>HYD!AY12</f>
        <v/>
      </c>
      <c r="AP10" s="36" t="n">
        <v>0.6200000000000045</v>
      </c>
      <c r="AQ10" s="36" t="n">
        <v>10.06</v>
      </c>
      <c r="AR10" s="36" t="n">
        <v>33.33702325581391</v>
      </c>
      <c r="AS10" s="36" t="n">
        <v>55.98297674418608</v>
      </c>
      <c r="AT10" s="35" t="n"/>
      <c r="AU10" s="62" t="n"/>
    </row>
    <row r="11">
      <c r="A11" s="35" t="n">
        <v>9</v>
      </c>
      <c r="B11" s="35">
        <f>B10</f>
        <v/>
      </c>
      <c r="C11" s="27">
        <f>GSD!F13</f>
        <v/>
      </c>
      <c r="D11" s="115" t="n">
        <v>4.75</v>
      </c>
      <c r="E11" s="115" t="n">
        <v>2</v>
      </c>
      <c r="F11" s="115" t="n">
        <v>0.425</v>
      </c>
      <c r="G11" s="115" t="n">
        <v>0.212</v>
      </c>
      <c r="H11" s="115" t="n">
        <v>0.15</v>
      </c>
      <c r="I11" s="115" t="n">
        <v>0.075</v>
      </c>
      <c r="J11" s="116">
        <f>HYD!Z13</f>
        <v/>
      </c>
      <c r="K11" s="116">
        <f>HYD!AA13</f>
        <v/>
      </c>
      <c r="L11" s="116">
        <f>HYD!AB13</f>
        <v/>
      </c>
      <c r="M11" s="116">
        <f>HYD!AC13</f>
        <v/>
      </c>
      <c r="N11" s="116">
        <f>HYD!AD13</f>
        <v/>
      </c>
      <c r="O11" s="116">
        <f>HYD!AE13</f>
        <v/>
      </c>
      <c r="P11" s="116">
        <f>HYD!AF13</f>
        <v/>
      </c>
      <c r="Q11" s="116">
        <f>HYD!AG13</f>
        <v/>
      </c>
      <c r="R11" s="116">
        <f>HYD!AH13</f>
        <v/>
      </c>
      <c r="S11" s="116">
        <f>HYD!AI13</f>
        <v/>
      </c>
      <c r="T11" s="116">
        <f>HYD!AJ13</f>
        <v/>
      </c>
      <c r="U11" s="116">
        <f>HYD!AK13</f>
        <v/>
      </c>
      <c r="V11" s="116">
        <f>HYD!AL13</f>
        <v/>
      </c>
      <c r="W11" s="51">
        <f>GSD!Q13</f>
        <v/>
      </c>
      <c r="X11" s="51">
        <f>GSD!R13</f>
        <v/>
      </c>
      <c r="Y11" s="51">
        <f>GSD!S13</f>
        <v/>
      </c>
      <c r="Z11" s="51">
        <f>GSD!T13</f>
        <v/>
      </c>
      <c r="AA11" s="51">
        <f>GSD!U13</f>
        <v/>
      </c>
      <c r="AB11" s="52">
        <f>GSD!V13</f>
        <v/>
      </c>
      <c r="AC11" s="52">
        <f>HYD!AM13</f>
        <v/>
      </c>
      <c r="AD11" s="51">
        <f>HYD!AN13</f>
        <v/>
      </c>
      <c r="AE11" s="51">
        <f>HYD!AO13</f>
        <v/>
      </c>
      <c r="AF11" s="51">
        <f>HYD!AP13</f>
        <v/>
      </c>
      <c r="AG11" s="51">
        <f>HYD!AQ13</f>
        <v/>
      </c>
      <c r="AH11" s="51">
        <f>HYD!AR13</f>
        <v/>
      </c>
      <c r="AI11" s="51">
        <f>HYD!AS13</f>
        <v/>
      </c>
      <c r="AJ11" s="51">
        <f>HYD!AT13</f>
        <v/>
      </c>
      <c r="AK11" s="51">
        <f>HYD!AU13</f>
        <v/>
      </c>
      <c r="AL11" s="51">
        <f>HYD!AV13</f>
        <v/>
      </c>
      <c r="AM11" s="51">
        <f>HYD!AW13</f>
        <v/>
      </c>
      <c r="AN11" s="51">
        <f>HYD!AX13</f>
        <v/>
      </c>
      <c r="AO11" s="51">
        <f>HYD!AY13</f>
        <v/>
      </c>
      <c r="AP11" s="36" t="n">
        <v>0</v>
      </c>
      <c r="AQ11" s="36" t="n">
        <v>0.855000000000004</v>
      </c>
      <c r="AR11" s="36" t="n">
        <v>46.94863576158935</v>
      </c>
      <c r="AS11" s="36" t="n">
        <v>52.19636423841064</v>
      </c>
      <c r="AT11" s="35" t="n"/>
      <c r="AU11" s="62" t="n"/>
    </row>
    <row r="12">
      <c r="A12" s="35" t="n">
        <v>10</v>
      </c>
      <c r="B12" s="35">
        <f>B11</f>
        <v/>
      </c>
      <c r="C12" s="27">
        <f>GSD!F14</f>
        <v/>
      </c>
      <c r="D12" s="115" t="n">
        <v>4.75</v>
      </c>
      <c r="E12" s="115" t="n">
        <v>2</v>
      </c>
      <c r="F12" s="115" t="n">
        <v>0.425</v>
      </c>
      <c r="G12" s="115" t="n">
        <v>0.212</v>
      </c>
      <c r="H12" s="115" t="n">
        <v>0.15</v>
      </c>
      <c r="I12" s="115" t="n">
        <v>0.075</v>
      </c>
      <c r="J12" s="116">
        <f>HYD!Z14</f>
        <v/>
      </c>
      <c r="K12" s="116">
        <f>HYD!AA14</f>
        <v/>
      </c>
      <c r="L12" s="116">
        <f>HYD!AB14</f>
        <v/>
      </c>
      <c r="M12" s="116">
        <f>HYD!AC14</f>
        <v/>
      </c>
      <c r="N12" s="116">
        <f>HYD!AD14</f>
        <v/>
      </c>
      <c r="O12" s="116">
        <f>HYD!AE14</f>
        <v/>
      </c>
      <c r="P12" s="116">
        <f>HYD!AF14</f>
        <v/>
      </c>
      <c r="Q12" s="116">
        <f>HYD!AG14</f>
        <v/>
      </c>
      <c r="R12" s="116">
        <f>HYD!AH14</f>
        <v/>
      </c>
      <c r="S12" s="116">
        <f>HYD!AI14</f>
        <v/>
      </c>
      <c r="T12" s="116">
        <f>HYD!AJ14</f>
        <v/>
      </c>
      <c r="U12" s="116">
        <f>HYD!AK14</f>
        <v/>
      </c>
      <c r="V12" s="116">
        <f>HYD!AL14</f>
        <v/>
      </c>
      <c r="W12" s="51">
        <f>GSD!Q14</f>
        <v/>
      </c>
      <c r="X12" s="51">
        <f>GSD!R14</f>
        <v/>
      </c>
      <c r="Y12" s="51">
        <f>GSD!S14</f>
        <v/>
      </c>
      <c r="Z12" s="51">
        <f>GSD!T14</f>
        <v/>
      </c>
      <c r="AA12" s="51">
        <f>GSD!U14</f>
        <v/>
      </c>
      <c r="AB12" s="52">
        <f>GSD!V14</f>
        <v/>
      </c>
      <c r="AC12" s="52">
        <f>HYD!AM14</f>
        <v/>
      </c>
      <c r="AD12" s="51">
        <f>HYD!AN14</f>
        <v/>
      </c>
      <c r="AE12" s="51">
        <f>HYD!AO14</f>
        <v/>
      </c>
      <c r="AF12" s="51">
        <f>HYD!AP14</f>
        <v/>
      </c>
      <c r="AG12" s="51">
        <f>HYD!AQ14</f>
        <v/>
      </c>
      <c r="AH12" s="51">
        <f>HYD!AR14</f>
        <v/>
      </c>
      <c r="AI12" s="51">
        <f>HYD!AS14</f>
        <v/>
      </c>
      <c r="AJ12" s="51">
        <f>HYD!AT14</f>
        <v/>
      </c>
      <c r="AK12" s="51">
        <f>HYD!AU14</f>
        <v/>
      </c>
      <c r="AL12" s="51">
        <f>HYD!AV14</f>
        <v/>
      </c>
      <c r="AM12" s="51">
        <f>HYD!AW14</f>
        <v/>
      </c>
      <c r="AN12" s="51">
        <f>HYD!AX14</f>
        <v/>
      </c>
      <c r="AO12" s="51">
        <f>HYD!AY14</f>
        <v/>
      </c>
      <c r="AP12" s="36" t="n">
        <v>2.180000000000007</v>
      </c>
      <c r="AQ12" s="36" t="n">
        <v>5.219999999999999</v>
      </c>
      <c r="AR12" s="36" t="n">
        <v>32.87648588054947</v>
      </c>
      <c r="AS12" s="36" t="n">
        <v>59.72351411945052</v>
      </c>
      <c r="AT12" s="35" t="n"/>
      <c r="AU12" s="62" t="n"/>
    </row>
    <row r="13">
      <c r="A13" s="35" t="n">
        <v>11</v>
      </c>
      <c r="B13" s="35">
        <f>B12</f>
        <v/>
      </c>
      <c r="C13" s="27">
        <f>GSD!F15</f>
        <v/>
      </c>
      <c r="D13" s="115" t="n">
        <v>4.75</v>
      </c>
      <c r="E13" s="115" t="n">
        <v>2</v>
      </c>
      <c r="F13" s="115" t="n">
        <v>0.425</v>
      </c>
      <c r="G13" s="115" t="n">
        <v>0.212</v>
      </c>
      <c r="H13" s="115" t="n">
        <v>0.15</v>
      </c>
      <c r="I13" s="115" t="n">
        <v>0.075</v>
      </c>
      <c r="J13" s="116">
        <f>HYD!Z15</f>
        <v/>
      </c>
      <c r="K13" s="116">
        <f>HYD!AA15</f>
        <v/>
      </c>
      <c r="L13" s="116">
        <f>HYD!AB15</f>
        <v/>
      </c>
      <c r="M13" s="116">
        <f>HYD!AC15</f>
        <v/>
      </c>
      <c r="N13" s="116">
        <f>HYD!AD15</f>
        <v/>
      </c>
      <c r="O13" s="116">
        <f>HYD!AE15</f>
        <v/>
      </c>
      <c r="P13" s="116">
        <f>HYD!AF15</f>
        <v/>
      </c>
      <c r="Q13" s="116">
        <f>HYD!AG15</f>
        <v/>
      </c>
      <c r="R13" s="116">
        <f>HYD!AH15</f>
        <v/>
      </c>
      <c r="S13" s="116">
        <f>HYD!AI15</f>
        <v/>
      </c>
      <c r="T13" s="116">
        <f>HYD!AJ15</f>
        <v/>
      </c>
      <c r="U13" s="116">
        <f>HYD!AK15</f>
        <v/>
      </c>
      <c r="V13" s="116">
        <f>HYD!AL15</f>
        <v/>
      </c>
      <c r="W13" s="51">
        <f>GSD!Q15</f>
        <v/>
      </c>
      <c r="X13" s="51">
        <f>GSD!R15</f>
        <v/>
      </c>
      <c r="Y13" s="51">
        <f>GSD!S15</f>
        <v/>
      </c>
      <c r="Z13" s="51">
        <f>GSD!T15</f>
        <v/>
      </c>
      <c r="AA13" s="51">
        <f>GSD!U15</f>
        <v/>
      </c>
      <c r="AB13" s="52">
        <f>GSD!V15</f>
        <v/>
      </c>
      <c r="AC13" s="52">
        <f>HYD!AM15</f>
        <v/>
      </c>
      <c r="AD13" s="51">
        <f>HYD!AN15</f>
        <v/>
      </c>
      <c r="AE13" s="51">
        <f>HYD!AO15</f>
        <v/>
      </c>
      <c r="AF13" s="51">
        <f>HYD!AP15</f>
        <v/>
      </c>
      <c r="AG13" s="51">
        <f>HYD!AQ15</f>
        <v/>
      </c>
      <c r="AH13" s="51">
        <f>HYD!AR15</f>
        <v/>
      </c>
      <c r="AI13" s="51">
        <f>HYD!AS15</f>
        <v/>
      </c>
      <c r="AJ13" s="51">
        <f>HYD!AT15</f>
        <v/>
      </c>
      <c r="AK13" s="51">
        <f>HYD!AU15</f>
        <v/>
      </c>
      <c r="AL13" s="51">
        <f>HYD!AV15</f>
        <v/>
      </c>
      <c r="AM13" s="51">
        <f>HYD!AW15</f>
        <v/>
      </c>
      <c r="AN13" s="51">
        <f>HYD!AX15</f>
        <v/>
      </c>
      <c r="AO13" s="51">
        <f>HYD!AY15</f>
        <v/>
      </c>
      <c r="AP13" s="36" t="n">
        <v>0</v>
      </c>
      <c r="AQ13" s="36" t="n">
        <v>21.34999999999999</v>
      </c>
      <c r="AR13" s="36" t="n">
        <v>27.49134659111935</v>
      </c>
      <c r="AS13" s="36" t="n">
        <v>51.15865340888065</v>
      </c>
      <c r="AT13" s="35" t="n"/>
      <c r="AU13" s="62" t="n"/>
    </row>
    <row r="14">
      <c r="A14" s="35" t="n">
        <v>12</v>
      </c>
      <c r="B14" s="35">
        <f>B13</f>
        <v/>
      </c>
      <c r="C14" s="27">
        <f>GSD!F16</f>
        <v/>
      </c>
      <c r="D14" s="115" t="n">
        <v>4.75</v>
      </c>
      <c r="E14" s="115" t="n">
        <v>2</v>
      </c>
      <c r="F14" s="115" t="n">
        <v>0.425</v>
      </c>
      <c r="G14" s="115" t="n">
        <v>0.212</v>
      </c>
      <c r="H14" s="115" t="n">
        <v>0.15</v>
      </c>
      <c r="I14" s="115" t="n">
        <v>0.075</v>
      </c>
      <c r="J14" s="116">
        <f>HYD!Z16</f>
        <v/>
      </c>
      <c r="K14" s="116">
        <f>HYD!AA16</f>
        <v/>
      </c>
      <c r="L14" s="116">
        <f>HYD!AB16</f>
        <v/>
      </c>
      <c r="M14" s="116">
        <f>HYD!AC16</f>
        <v/>
      </c>
      <c r="N14" s="116">
        <f>HYD!AD16</f>
        <v/>
      </c>
      <c r="O14" s="116">
        <f>HYD!AE16</f>
        <v/>
      </c>
      <c r="P14" s="116">
        <f>HYD!AF16</f>
        <v/>
      </c>
      <c r="Q14" s="116">
        <f>HYD!AG16</f>
        <v/>
      </c>
      <c r="R14" s="116">
        <f>HYD!AH16</f>
        <v/>
      </c>
      <c r="S14" s="116">
        <f>HYD!AI16</f>
        <v/>
      </c>
      <c r="T14" s="116">
        <f>HYD!AJ16</f>
        <v/>
      </c>
      <c r="U14" s="116">
        <f>HYD!AK16</f>
        <v/>
      </c>
      <c r="V14" s="116">
        <f>HYD!AL16</f>
        <v/>
      </c>
      <c r="W14" s="51">
        <f>GSD!Q16</f>
        <v/>
      </c>
      <c r="X14" s="51">
        <f>GSD!R16</f>
        <v/>
      </c>
      <c r="Y14" s="51">
        <f>GSD!S16</f>
        <v/>
      </c>
      <c r="Z14" s="51">
        <f>GSD!T16</f>
        <v/>
      </c>
      <c r="AA14" s="51">
        <f>GSD!U16</f>
        <v/>
      </c>
      <c r="AB14" s="52">
        <f>GSD!V16</f>
        <v/>
      </c>
      <c r="AC14" s="52">
        <f>HYD!AM16</f>
        <v/>
      </c>
      <c r="AD14" s="51">
        <f>HYD!AN16</f>
        <v/>
      </c>
      <c r="AE14" s="51">
        <f>HYD!AO16</f>
        <v/>
      </c>
      <c r="AF14" s="51">
        <f>HYD!AP16</f>
        <v/>
      </c>
      <c r="AG14" s="51">
        <f>HYD!AQ16</f>
        <v/>
      </c>
      <c r="AH14" s="51">
        <f>HYD!AR16</f>
        <v/>
      </c>
      <c r="AI14" s="51">
        <f>HYD!AS16</f>
        <v/>
      </c>
      <c r="AJ14" s="51">
        <f>HYD!AT16</f>
        <v/>
      </c>
      <c r="AK14" s="51">
        <f>HYD!AU16</f>
        <v/>
      </c>
      <c r="AL14" s="51">
        <f>HYD!AV16</f>
        <v/>
      </c>
      <c r="AM14" s="51">
        <f>HYD!AW16</f>
        <v/>
      </c>
      <c r="AN14" s="51">
        <f>HYD!AX16</f>
        <v/>
      </c>
      <c r="AO14" s="51">
        <f>HYD!AY16</f>
        <v/>
      </c>
      <c r="AP14" s="36" t="n">
        <v>5.480000000000004</v>
      </c>
      <c r="AQ14" s="36" t="n">
        <v>13.03999999999999</v>
      </c>
      <c r="AR14" s="36" t="n"/>
      <c r="AS14" s="36" t="n"/>
      <c r="AT14" s="35" t="n"/>
      <c r="AU14" s="62" t="n"/>
    </row>
    <row r="15">
      <c r="A15" s="35" t="n">
        <v>13</v>
      </c>
      <c r="B15" s="35">
        <f>B14</f>
        <v/>
      </c>
      <c r="C15" s="27">
        <f>GSD!F17</f>
        <v/>
      </c>
      <c r="D15" s="115" t="n">
        <v>4.75</v>
      </c>
      <c r="E15" s="115" t="n">
        <v>2</v>
      </c>
      <c r="F15" s="115" t="n">
        <v>0.425</v>
      </c>
      <c r="G15" s="115" t="n">
        <v>0.212</v>
      </c>
      <c r="H15" s="115" t="n">
        <v>0.15</v>
      </c>
      <c r="I15" s="115" t="n">
        <v>0.075</v>
      </c>
      <c r="J15" s="116">
        <f>HYD!Z17</f>
        <v/>
      </c>
      <c r="K15" s="116">
        <f>HYD!AA17</f>
        <v/>
      </c>
      <c r="L15" s="116">
        <f>HYD!AB17</f>
        <v/>
      </c>
      <c r="M15" s="116">
        <f>HYD!AC17</f>
        <v/>
      </c>
      <c r="N15" s="116">
        <f>HYD!AD17</f>
        <v/>
      </c>
      <c r="O15" s="116">
        <f>HYD!AE17</f>
        <v/>
      </c>
      <c r="P15" s="116">
        <f>HYD!AF17</f>
        <v/>
      </c>
      <c r="Q15" s="116">
        <f>HYD!AG17</f>
        <v/>
      </c>
      <c r="R15" s="116">
        <f>HYD!AH17</f>
        <v/>
      </c>
      <c r="S15" s="116">
        <f>HYD!AI17</f>
        <v/>
      </c>
      <c r="T15" s="116">
        <f>HYD!AJ17</f>
        <v/>
      </c>
      <c r="U15" s="116">
        <f>HYD!AK17</f>
        <v/>
      </c>
      <c r="V15" s="116">
        <f>HYD!AL17</f>
        <v/>
      </c>
      <c r="W15" s="51">
        <f>GSD!Q17</f>
        <v/>
      </c>
      <c r="X15" s="51">
        <f>GSD!R17</f>
        <v/>
      </c>
      <c r="Y15" s="51">
        <f>GSD!S17</f>
        <v/>
      </c>
      <c r="Z15" s="51">
        <f>GSD!T17</f>
        <v/>
      </c>
      <c r="AA15" s="51">
        <f>GSD!U17</f>
        <v/>
      </c>
      <c r="AB15" s="52">
        <f>GSD!V17</f>
        <v/>
      </c>
      <c r="AC15" s="52">
        <f>HYD!AM17</f>
        <v/>
      </c>
      <c r="AD15" s="51">
        <f>HYD!AN17</f>
        <v/>
      </c>
      <c r="AE15" s="51">
        <f>HYD!AO17</f>
        <v/>
      </c>
      <c r="AF15" s="51">
        <f>HYD!AP17</f>
        <v/>
      </c>
      <c r="AG15" s="51">
        <f>HYD!AQ17</f>
        <v/>
      </c>
      <c r="AH15" s="51">
        <f>HYD!AR17</f>
        <v/>
      </c>
      <c r="AI15" s="51">
        <f>HYD!AS17</f>
        <v/>
      </c>
      <c r="AJ15" s="51">
        <f>HYD!AT17</f>
        <v/>
      </c>
      <c r="AK15" s="51">
        <f>HYD!AU17</f>
        <v/>
      </c>
      <c r="AL15" s="51">
        <f>HYD!AV17</f>
        <v/>
      </c>
      <c r="AM15" s="51">
        <f>HYD!AW17</f>
        <v/>
      </c>
      <c r="AN15" s="51">
        <f>HYD!AX17</f>
        <v/>
      </c>
      <c r="AO15" s="51">
        <f>HYD!AY17</f>
        <v/>
      </c>
      <c r="AP15" s="36" t="n">
        <v>2.019999999999996</v>
      </c>
      <c r="AQ15" s="36" t="n">
        <v>39.845</v>
      </c>
      <c r="AR15" s="36" t="n">
        <v>17.5449949420909</v>
      </c>
      <c r="AS15" s="36" t="n">
        <v>40.5900050579091</v>
      </c>
      <c r="AT15" s="35" t="n"/>
      <c r="AU15" s="62" t="n"/>
    </row>
    <row r="16">
      <c r="A16" s="35" t="n">
        <v>14</v>
      </c>
      <c r="B16" s="35">
        <f>B15</f>
        <v/>
      </c>
      <c r="C16" s="27">
        <f>GSD!F18</f>
        <v/>
      </c>
      <c r="D16" s="115" t="n">
        <v>4.75</v>
      </c>
      <c r="E16" s="115" t="n">
        <v>2</v>
      </c>
      <c r="F16" s="115" t="n">
        <v>0.425</v>
      </c>
      <c r="G16" s="115" t="n">
        <v>0.212</v>
      </c>
      <c r="H16" s="115" t="n">
        <v>0.15</v>
      </c>
      <c r="I16" s="115" t="n">
        <v>0.075</v>
      </c>
      <c r="J16" s="116">
        <f>HYD!Z18</f>
        <v/>
      </c>
      <c r="K16" s="116">
        <f>HYD!AA18</f>
        <v/>
      </c>
      <c r="L16" s="116">
        <f>HYD!AB18</f>
        <v/>
      </c>
      <c r="M16" s="116">
        <f>HYD!AC18</f>
        <v/>
      </c>
      <c r="N16" s="116">
        <f>HYD!AD18</f>
        <v/>
      </c>
      <c r="O16" s="116">
        <f>HYD!AE18</f>
        <v/>
      </c>
      <c r="P16" s="116">
        <f>HYD!AF18</f>
        <v/>
      </c>
      <c r="Q16" s="116">
        <f>HYD!AG18</f>
        <v/>
      </c>
      <c r="R16" s="116">
        <f>HYD!AH18</f>
        <v/>
      </c>
      <c r="S16" s="116">
        <f>HYD!AI18</f>
        <v/>
      </c>
      <c r="T16" s="116">
        <f>HYD!AJ18</f>
        <v/>
      </c>
      <c r="U16" s="116">
        <f>HYD!AK18</f>
        <v/>
      </c>
      <c r="V16" s="116">
        <f>HYD!AL18</f>
        <v/>
      </c>
      <c r="W16" s="51">
        <f>GSD!Q18</f>
        <v/>
      </c>
      <c r="X16" s="51">
        <f>GSD!R18</f>
        <v/>
      </c>
      <c r="Y16" s="51">
        <f>GSD!S18</f>
        <v/>
      </c>
      <c r="Z16" s="51">
        <f>GSD!T18</f>
        <v/>
      </c>
      <c r="AA16" s="51">
        <f>GSD!U18</f>
        <v/>
      </c>
      <c r="AB16" s="52">
        <f>GSD!V18</f>
        <v/>
      </c>
      <c r="AC16" s="52">
        <f>HYD!AM18</f>
        <v/>
      </c>
      <c r="AD16" s="51">
        <f>HYD!AN18</f>
        <v/>
      </c>
      <c r="AE16" s="51">
        <f>HYD!AO18</f>
        <v/>
      </c>
      <c r="AF16" s="51">
        <f>HYD!AP18</f>
        <v/>
      </c>
      <c r="AG16" s="51">
        <f>HYD!AQ18</f>
        <v/>
      </c>
      <c r="AH16" s="51">
        <f>HYD!AR18</f>
        <v/>
      </c>
      <c r="AI16" s="51">
        <f>HYD!AS18</f>
        <v/>
      </c>
      <c r="AJ16" s="51">
        <f>HYD!AT18</f>
        <v/>
      </c>
      <c r="AK16" s="51">
        <f>HYD!AU18</f>
        <v/>
      </c>
      <c r="AL16" s="51">
        <f>HYD!AV18</f>
        <v/>
      </c>
      <c r="AM16" s="51">
        <f>HYD!AW18</f>
        <v/>
      </c>
      <c r="AN16" s="51">
        <f>HYD!AX18</f>
        <v/>
      </c>
      <c r="AO16" s="51">
        <f>HYD!AY18</f>
        <v/>
      </c>
      <c r="AP16" s="36" t="n">
        <v>1.769999999999996</v>
      </c>
      <c r="AQ16" s="36" t="n">
        <v>11.82000000000001</v>
      </c>
      <c r="AR16" s="36" t="n"/>
      <c r="AS16" s="36" t="n"/>
      <c r="AT16" s="35" t="n"/>
      <c r="AU16" s="62" t="n"/>
    </row>
    <row r="17">
      <c r="A17" s="35" t="n">
        <v>15</v>
      </c>
      <c r="B17" s="35">
        <f>B16</f>
        <v/>
      </c>
      <c r="C17" s="27">
        <f>GSD!F19</f>
        <v/>
      </c>
      <c r="D17" s="115" t="n">
        <v>4.75</v>
      </c>
      <c r="E17" s="115" t="n">
        <v>2</v>
      </c>
      <c r="F17" s="115" t="n">
        <v>0.425</v>
      </c>
      <c r="G17" s="115" t="n">
        <v>0.212</v>
      </c>
      <c r="H17" s="115" t="n">
        <v>0.15</v>
      </c>
      <c r="I17" s="115" t="n">
        <v>0.075</v>
      </c>
      <c r="J17" s="116">
        <f>HYD!Z19</f>
        <v/>
      </c>
      <c r="K17" s="116">
        <f>HYD!AA19</f>
        <v/>
      </c>
      <c r="L17" s="116">
        <f>HYD!AB19</f>
        <v/>
      </c>
      <c r="M17" s="116">
        <f>HYD!AC19</f>
        <v/>
      </c>
      <c r="N17" s="116">
        <f>HYD!AD19</f>
        <v/>
      </c>
      <c r="O17" s="116">
        <f>HYD!AE19</f>
        <v/>
      </c>
      <c r="P17" s="116">
        <f>HYD!AF19</f>
        <v/>
      </c>
      <c r="Q17" s="116">
        <f>HYD!AG19</f>
        <v/>
      </c>
      <c r="R17" s="116">
        <f>HYD!AH19</f>
        <v/>
      </c>
      <c r="S17" s="116">
        <f>HYD!AI19</f>
        <v/>
      </c>
      <c r="T17" s="116">
        <f>HYD!AJ19</f>
        <v/>
      </c>
      <c r="U17" s="116">
        <f>HYD!AK19</f>
        <v/>
      </c>
      <c r="V17" s="116">
        <f>HYD!AL19</f>
        <v/>
      </c>
      <c r="W17" s="51">
        <f>GSD!Q19</f>
        <v/>
      </c>
      <c r="X17" s="51">
        <f>GSD!R19</f>
        <v/>
      </c>
      <c r="Y17" s="51">
        <f>GSD!S19</f>
        <v/>
      </c>
      <c r="Z17" s="51">
        <f>GSD!T19</f>
        <v/>
      </c>
      <c r="AA17" s="51">
        <f>GSD!U19</f>
        <v/>
      </c>
      <c r="AB17" s="52">
        <f>GSD!V19</f>
        <v/>
      </c>
      <c r="AC17" s="52">
        <f>HYD!AM19</f>
        <v/>
      </c>
      <c r="AD17" s="51">
        <f>HYD!AN19</f>
        <v/>
      </c>
      <c r="AE17" s="51">
        <f>HYD!AO19</f>
        <v/>
      </c>
      <c r="AF17" s="51">
        <f>HYD!AP19</f>
        <v/>
      </c>
      <c r="AG17" s="51">
        <f>HYD!AQ19</f>
        <v/>
      </c>
      <c r="AH17" s="51">
        <f>HYD!AR19</f>
        <v/>
      </c>
      <c r="AI17" s="51">
        <f>HYD!AS19</f>
        <v/>
      </c>
      <c r="AJ17" s="51">
        <f>HYD!AT19</f>
        <v/>
      </c>
      <c r="AK17" s="51">
        <f>HYD!AU19</f>
        <v/>
      </c>
      <c r="AL17" s="51">
        <f>HYD!AV19</f>
        <v/>
      </c>
      <c r="AM17" s="51">
        <f>HYD!AW19</f>
        <v/>
      </c>
      <c r="AN17" s="51">
        <f>HYD!AX19</f>
        <v/>
      </c>
      <c r="AO17" s="51">
        <f>HYD!AY19</f>
        <v/>
      </c>
      <c r="AP17" s="36" t="n">
        <v>2.329999999999998</v>
      </c>
      <c r="AQ17" s="36" t="n">
        <v>36.15999999999999</v>
      </c>
      <c r="AR17" s="36" t="n">
        <v>20.32565538351461</v>
      </c>
      <c r="AS17" s="36" t="n">
        <v>41.1843446164854</v>
      </c>
      <c r="AT17" s="35" t="n"/>
      <c r="AU17" s="62" t="n"/>
    </row>
    <row r="18">
      <c r="A18" s="35" t="n">
        <v>16</v>
      </c>
      <c r="B18" s="35">
        <f>B17</f>
        <v/>
      </c>
      <c r="C18" s="27">
        <f>GSD!F20</f>
        <v/>
      </c>
      <c r="D18" s="115" t="n">
        <v>4.75</v>
      </c>
      <c r="E18" s="115" t="n">
        <v>2</v>
      </c>
      <c r="F18" s="115" t="n">
        <v>0.425</v>
      </c>
      <c r="G18" s="115" t="n">
        <v>0.212</v>
      </c>
      <c r="H18" s="115" t="n">
        <v>0.15</v>
      </c>
      <c r="I18" s="115" t="n">
        <v>0.075</v>
      </c>
      <c r="J18" s="116">
        <f>HYD!Z20</f>
        <v/>
      </c>
      <c r="K18" s="116">
        <f>HYD!AA20</f>
        <v/>
      </c>
      <c r="L18" s="116">
        <f>HYD!AB20</f>
        <v/>
      </c>
      <c r="M18" s="116">
        <f>HYD!AC20</f>
        <v/>
      </c>
      <c r="N18" s="116">
        <f>HYD!AD20</f>
        <v/>
      </c>
      <c r="O18" s="116">
        <f>HYD!AE20</f>
        <v/>
      </c>
      <c r="P18" s="116">
        <f>HYD!AF20</f>
        <v/>
      </c>
      <c r="Q18" s="116">
        <f>HYD!AG20</f>
        <v/>
      </c>
      <c r="R18" s="116">
        <f>HYD!AH20</f>
        <v/>
      </c>
      <c r="S18" s="116">
        <f>HYD!AI20</f>
        <v/>
      </c>
      <c r="T18" s="116">
        <f>HYD!AJ20</f>
        <v/>
      </c>
      <c r="U18" s="116">
        <f>HYD!AK20</f>
        <v/>
      </c>
      <c r="V18" s="116">
        <f>HYD!AL20</f>
        <v/>
      </c>
      <c r="W18" s="51">
        <f>GSD!Q20</f>
        <v/>
      </c>
      <c r="X18" s="51">
        <f>GSD!R20</f>
        <v/>
      </c>
      <c r="Y18" s="51">
        <f>GSD!S20</f>
        <v/>
      </c>
      <c r="Z18" s="51">
        <f>GSD!T20</f>
        <v/>
      </c>
      <c r="AA18" s="51">
        <f>GSD!U20</f>
        <v/>
      </c>
      <c r="AB18" s="52">
        <f>GSD!V20</f>
        <v/>
      </c>
      <c r="AC18" s="52">
        <f>HYD!AM20</f>
        <v/>
      </c>
      <c r="AD18" s="51">
        <f>HYD!AN20</f>
        <v/>
      </c>
      <c r="AE18" s="51">
        <f>HYD!AO20</f>
        <v/>
      </c>
      <c r="AF18" s="51">
        <f>HYD!AP20</f>
        <v/>
      </c>
      <c r="AG18" s="51">
        <f>HYD!AQ20</f>
        <v/>
      </c>
      <c r="AH18" s="51">
        <f>HYD!AR20</f>
        <v/>
      </c>
      <c r="AI18" s="51">
        <f>HYD!AS20</f>
        <v/>
      </c>
      <c r="AJ18" s="51">
        <f>HYD!AT20</f>
        <v/>
      </c>
      <c r="AK18" s="51">
        <f>HYD!AU20</f>
        <v/>
      </c>
      <c r="AL18" s="51">
        <f>HYD!AV20</f>
        <v/>
      </c>
      <c r="AM18" s="51">
        <f>HYD!AW20</f>
        <v/>
      </c>
      <c r="AN18" s="51">
        <f>HYD!AX20</f>
        <v/>
      </c>
      <c r="AO18" s="51">
        <f>HYD!AY20</f>
        <v/>
      </c>
      <c r="AP18" s="36" t="n">
        <v>2.760000000000005</v>
      </c>
      <c r="AQ18" s="36" t="n">
        <v>36.89499999999999</v>
      </c>
      <c r="AR18" s="36" t="n">
        <v>18.86741772151932</v>
      </c>
      <c r="AS18" s="36" t="n">
        <v>41.47758227848069</v>
      </c>
      <c r="AT18" s="35" t="n"/>
      <c r="AU18" s="62" t="n"/>
    </row>
    <row r="19">
      <c r="A19" s="35" t="n">
        <v>17</v>
      </c>
      <c r="B19" s="35">
        <f>B18</f>
        <v/>
      </c>
      <c r="C19" s="27">
        <f>GSD!F21</f>
        <v/>
      </c>
      <c r="D19" s="115" t="n">
        <v>4.75</v>
      </c>
      <c r="E19" s="115" t="n">
        <v>2</v>
      </c>
      <c r="F19" s="115" t="n">
        <v>0.425</v>
      </c>
      <c r="G19" s="115" t="n">
        <v>0.212</v>
      </c>
      <c r="H19" s="115" t="n">
        <v>0.15</v>
      </c>
      <c r="I19" s="115" t="n">
        <v>0.075</v>
      </c>
      <c r="J19" s="116">
        <f>HYD!Z21</f>
        <v/>
      </c>
      <c r="K19" s="116">
        <f>HYD!AA21</f>
        <v/>
      </c>
      <c r="L19" s="116">
        <f>HYD!AB21</f>
        <v/>
      </c>
      <c r="M19" s="116">
        <f>HYD!AC21</f>
        <v/>
      </c>
      <c r="N19" s="116">
        <f>HYD!AD21</f>
        <v/>
      </c>
      <c r="O19" s="116">
        <f>HYD!AE21</f>
        <v/>
      </c>
      <c r="P19" s="116">
        <f>HYD!AF21</f>
        <v/>
      </c>
      <c r="Q19" s="116">
        <f>HYD!AG21</f>
        <v/>
      </c>
      <c r="R19" s="116">
        <f>HYD!AH21</f>
        <v/>
      </c>
      <c r="S19" s="116">
        <f>HYD!AI21</f>
        <v/>
      </c>
      <c r="T19" s="116">
        <f>HYD!AJ21</f>
        <v/>
      </c>
      <c r="U19" s="116">
        <f>HYD!AK21</f>
        <v/>
      </c>
      <c r="V19" s="116">
        <f>HYD!AL21</f>
        <v/>
      </c>
      <c r="W19" s="51">
        <f>GSD!Q21</f>
        <v/>
      </c>
      <c r="X19" s="51">
        <f>GSD!R21</f>
        <v/>
      </c>
      <c r="Y19" s="51">
        <f>GSD!S21</f>
        <v/>
      </c>
      <c r="Z19" s="51">
        <f>GSD!T21</f>
        <v/>
      </c>
      <c r="AA19" s="51">
        <f>GSD!U21</f>
        <v/>
      </c>
      <c r="AB19" s="52">
        <f>GSD!V21</f>
        <v/>
      </c>
      <c r="AC19" s="52">
        <f>HYD!AM21</f>
        <v/>
      </c>
      <c r="AD19" s="51">
        <f>HYD!AN21</f>
        <v/>
      </c>
      <c r="AE19" s="51">
        <f>HYD!AO21</f>
        <v/>
      </c>
      <c r="AF19" s="51">
        <f>HYD!AP21</f>
        <v/>
      </c>
      <c r="AG19" s="51">
        <f>HYD!AQ21</f>
        <v/>
      </c>
      <c r="AH19" s="51">
        <f>HYD!AR21</f>
        <v/>
      </c>
      <c r="AI19" s="51">
        <f>HYD!AS21</f>
        <v/>
      </c>
      <c r="AJ19" s="51">
        <f>HYD!AT21</f>
        <v/>
      </c>
      <c r="AK19" s="51">
        <f>HYD!AU21</f>
        <v/>
      </c>
      <c r="AL19" s="51">
        <f>HYD!AV21</f>
        <v/>
      </c>
      <c r="AM19" s="51">
        <f>HYD!AW21</f>
        <v/>
      </c>
      <c r="AN19" s="51">
        <f>HYD!AX21</f>
        <v/>
      </c>
      <c r="AO19" s="51">
        <f>HYD!AY21</f>
        <v/>
      </c>
      <c r="AP19" s="36" t="n">
        <v>1.760000000000005</v>
      </c>
      <c r="AQ19" s="36" t="n">
        <v>9.299999999999997</v>
      </c>
      <c r="AR19" s="36" t="n">
        <v>39.15567871101311</v>
      </c>
      <c r="AS19" s="36" t="n">
        <v>49.78432128898689</v>
      </c>
      <c r="AT19" s="35" t="n"/>
      <c r="AU19" s="62" t="n"/>
    </row>
    <row r="20">
      <c r="A20" s="35" t="n">
        <v>18</v>
      </c>
      <c r="B20" s="35">
        <f>B19</f>
        <v/>
      </c>
      <c r="C20" s="27">
        <f>GSD!F22</f>
        <v/>
      </c>
      <c r="D20" s="115" t="n">
        <v>4.75</v>
      </c>
      <c r="E20" s="115" t="n">
        <v>2</v>
      </c>
      <c r="F20" s="115" t="n">
        <v>0.425</v>
      </c>
      <c r="G20" s="115" t="n">
        <v>0.212</v>
      </c>
      <c r="H20" s="115" t="n">
        <v>0.15</v>
      </c>
      <c r="I20" s="115" t="n">
        <v>0.075</v>
      </c>
      <c r="J20" s="116">
        <f>HYD!Z22</f>
        <v/>
      </c>
      <c r="K20" s="116">
        <f>HYD!AA22</f>
        <v/>
      </c>
      <c r="L20" s="116">
        <f>HYD!AB22</f>
        <v/>
      </c>
      <c r="M20" s="116">
        <f>HYD!AC22</f>
        <v/>
      </c>
      <c r="N20" s="116">
        <f>HYD!AD22</f>
        <v/>
      </c>
      <c r="O20" s="116">
        <f>HYD!AE22</f>
        <v/>
      </c>
      <c r="P20" s="116">
        <f>HYD!AF22</f>
        <v/>
      </c>
      <c r="Q20" s="116">
        <f>HYD!AG22</f>
        <v/>
      </c>
      <c r="R20" s="116">
        <f>HYD!AH22</f>
        <v/>
      </c>
      <c r="S20" s="116">
        <f>HYD!AI22</f>
        <v/>
      </c>
      <c r="T20" s="116">
        <f>HYD!AJ22</f>
        <v/>
      </c>
      <c r="U20" s="116">
        <f>HYD!AK22</f>
        <v/>
      </c>
      <c r="V20" s="116">
        <f>HYD!AL22</f>
        <v/>
      </c>
      <c r="W20" s="51">
        <f>GSD!Q22</f>
        <v/>
      </c>
      <c r="X20" s="51">
        <f>GSD!R22</f>
        <v/>
      </c>
      <c r="Y20" s="51">
        <f>GSD!S22</f>
        <v/>
      </c>
      <c r="Z20" s="51">
        <f>GSD!T22</f>
        <v/>
      </c>
      <c r="AA20" s="51">
        <f>GSD!U22</f>
        <v/>
      </c>
      <c r="AB20" s="52">
        <f>GSD!V22</f>
        <v/>
      </c>
      <c r="AC20" s="52">
        <f>HYD!AM22</f>
        <v/>
      </c>
      <c r="AD20" s="51">
        <f>HYD!AN22</f>
        <v/>
      </c>
      <c r="AE20" s="51">
        <f>HYD!AO22</f>
        <v/>
      </c>
      <c r="AF20" s="51">
        <f>HYD!AP22</f>
        <v/>
      </c>
      <c r="AG20" s="51">
        <f>HYD!AQ22</f>
        <v/>
      </c>
      <c r="AH20" s="51">
        <f>HYD!AR22</f>
        <v/>
      </c>
      <c r="AI20" s="51">
        <f>HYD!AS22</f>
        <v/>
      </c>
      <c r="AJ20" s="51">
        <f>HYD!AT22</f>
        <v/>
      </c>
      <c r="AK20" s="51">
        <f>HYD!AU22</f>
        <v/>
      </c>
      <c r="AL20" s="51">
        <f>HYD!AV22</f>
        <v/>
      </c>
      <c r="AM20" s="51">
        <f>HYD!AW22</f>
        <v/>
      </c>
      <c r="AN20" s="51">
        <f>HYD!AX22</f>
        <v/>
      </c>
      <c r="AO20" s="51">
        <f>HYD!AY22</f>
        <v/>
      </c>
      <c r="AP20" s="36" t="n">
        <v>1.665000000000006</v>
      </c>
      <c r="AQ20" s="36" t="n">
        <v>42.505</v>
      </c>
      <c r="AR20" s="36" t="n"/>
      <c r="AS20" s="36" t="n"/>
      <c r="AT20" s="35" t="n"/>
      <c r="AU20" s="62" t="n"/>
    </row>
    <row r="21">
      <c r="A21" s="35" t="n">
        <v>19</v>
      </c>
      <c r="B21" s="35">
        <f>B20</f>
        <v/>
      </c>
      <c r="C21" s="27">
        <f>GSD!F23</f>
        <v/>
      </c>
      <c r="D21" s="115" t="n">
        <v>4.75</v>
      </c>
      <c r="E21" s="115" t="n">
        <v>2</v>
      </c>
      <c r="F21" s="115" t="n">
        <v>0.425</v>
      </c>
      <c r="G21" s="115" t="n">
        <v>0.212</v>
      </c>
      <c r="H21" s="115" t="n">
        <v>0.15</v>
      </c>
      <c r="I21" s="115" t="n">
        <v>0.075</v>
      </c>
      <c r="J21" s="116">
        <f>HYD!Z23</f>
        <v/>
      </c>
      <c r="K21" s="116">
        <f>HYD!AA23</f>
        <v/>
      </c>
      <c r="L21" s="116">
        <f>HYD!AB23</f>
        <v/>
      </c>
      <c r="M21" s="116">
        <f>HYD!AC23</f>
        <v/>
      </c>
      <c r="N21" s="116">
        <f>HYD!AD23</f>
        <v/>
      </c>
      <c r="O21" s="116">
        <f>HYD!AE23</f>
        <v/>
      </c>
      <c r="P21" s="116">
        <f>HYD!AF23</f>
        <v/>
      </c>
      <c r="Q21" s="116">
        <f>HYD!AG23</f>
        <v/>
      </c>
      <c r="R21" s="116">
        <f>HYD!AH23</f>
        <v/>
      </c>
      <c r="S21" s="116">
        <f>HYD!AI23</f>
        <v/>
      </c>
      <c r="T21" s="116">
        <f>HYD!AJ23</f>
        <v/>
      </c>
      <c r="U21" s="116">
        <f>HYD!AK23</f>
        <v/>
      </c>
      <c r="V21" s="116">
        <f>HYD!AL23</f>
        <v/>
      </c>
      <c r="W21" s="51">
        <f>GSD!Q23</f>
        <v/>
      </c>
      <c r="X21" s="51">
        <f>GSD!R23</f>
        <v/>
      </c>
      <c r="Y21" s="51">
        <f>GSD!S23</f>
        <v/>
      </c>
      <c r="Z21" s="51">
        <f>GSD!T23</f>
        <v/>
      </c>
      <c r="AA21" s="51">
        <f>GSD!U23</f>
        <v/>
      </c>
      <c r="AB21" s="52">
        <f>GSD!V23</f>
        <v/>
      </c>
      <c r="AC21" s="52">
        <f>HYD!AM23</f>
        <v/>
      </c>
      <c r="AD21" s="51">
        <f>HYD!AN23</f>
        <v/>
      </c>
      <c r="AE21" s="51">
        <f>HYD!AO23</f>
        <v/>
      </c>
      <c r="AF21" s="51">
        <f>HYD!AP23</f>
        <v/>
      </c>
      <c r="AG21" s="51">
        <f>HYD!AQ23</f>
        <v/>
      </c>
      <c r="AH21" s="51">
        <f>HYD!AR23</f>
        <v/>
      </c>
      <c r="AI21" s="51">
        <f>HYD!AS23</f>
        <v/>
      </c>
      <c r="AJ21" s="51">
        <f>HYD!AT23</f>
        <v/>
      </c>
      <c r="AK21" s="51">
        <f>HYD!AU23</f>
        <v/>
      </c>
      <c r="AL21" s="51">
        <f>HYD!AV23</f>
        <v/>
      </c>
      <c r="AM21" s="51">
        <f>HYD!AW23</f>
        <v/>
      </c>
      <c r="AN21" s="51">
        <f>HYD!AX23</f>
        <v/>
      </c>
      <c r="AO21" s="51">
        <f>HYD!AY23</f>
        <v/>
      </c>
      <c r="AP21" s="36" t="n">
        <v>0</v>
      </c>
      <c r="AQ21" s="36" t="n">
        <v>1.879999999999995</v>
      </c>
      <c r="AR21" s="36" t="n"/>
      <c r="AS21" s="36" t="n"/>
      <c r="AT21" s="35" t="n"/>
      <c r="AU21" s="62" t="n"/>
    </row>
    <row r="22">
      <c r="AB22" s="51" t="n"/>
      <c r="AC22" s="36" t="n"/>
      <c r="AU22" s="62" t="n"/>
    </row>
    <row r="23">
      <c r="AB23" s="51" t="n"/>
      <c r="AC23" s="36" t="n"/>
      <c r="AU23" s="62" t="n"/>
    </row>
    <row r="24">
      <c r="AB24" s="51" t="n"/>
      <c r="AC24" s="36" t="n"/>
      <c r="AU24" s="62" t="n"/>
    </row>
    <row r="25">
      <c r="AB25" s="51" t="n"/>
      <c r="AC25" s="36" t="n"/>
      <c r="AU25" s="62" t="n"/>
    </row>
    <row r="26">
      <c r="AB26" s="51" t="n"/>
      <c r="AC26" s="36" t="n"/>
      <c r="AU26" s="62" t="n"/>
    </row>
    <row r="27">
      <c r="AB27" s="51" t="n"/>
      <c r="AC27" s="36" t="n"/>
      <c r="AU27" s="62" t="n"/>
    </row>
    <row r="28">
      <c r="AB28" s="51" t="n"/>
      <c r="AC28" s="36" t="n"/>
      <c r="AU28" s="62" t="n"/>
    </row>
    <row r="29">
      <c r="AB29" s="51" t="n"/>
      <c r="AC29" s="36" t="n"/>
      <c r="AU29" s="62" t="n"/>
    </row>
    <row r="30">
      <c r="AB30" s="51" t="n"/>
      <c r="AC30" s="36" t="n"/>
      <c r="AU30" s="62" t="n"/>
    </row>
    <row r="31">
      <c r="AB31" s="51" t="n"/>
      <c r="AC31" s="36" t="n"/>
      <c r="AU31" s="62" t="n"/>
    </row>
    <row r="32">
      <c r="AB32" s="51" t="n"/>
      <c r="AC32" s="36" t="n"/>
      <c r="AU32" s="62" t="n"/>
    </row>
    <row r="33">
      <c r="AB33" s="51" t="n"/>
      <c r="AC33" s="36" t="n"/>
      <c r="AU33" s="62" t="n"/>
    </row>
    <row r="34">
      <c r="AB34" s="51" t="n"/>
      <c r="AC34" s="36" t="n"/>
    </row>
    <row r="35">
      <c r="AB35" s="51" t="n"/>
      <c r="AC35" s="36" t="n"/>
    </row>
    <row r="36">
      <c r="AB36" s="51" t="n"/>
      <c r="AC36" s="36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2026-09-26T06:02:05Z</dcterms:modified>
  <cp:lastModifiedBy>baps</cp:lastModifiedBy>
</cp:coreProperties>
</file>