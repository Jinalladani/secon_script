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'GSD'!$A$1:$Y$14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95.47</v>
                </pt>
                <pt idx="1">
                  <v>91.41</v>
                </pt>
                <pt idx="2">
                  <v>68.78</v>
                </pt>
                <pt idx="3">
                  <v>38.11</v>
                </pt>
                <pt idx="4">
                  <v>34.86</v>
                </pt>
                <pt idx="5">
                  <v>29.28999999999999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91.11499999999999</v>
                </pt>
                <pt idx="1">
                  <v>85.63</v>
                </pt>
                <pt idx="2">
                  <v>65.515</v>
                </pt>
                <pt idx="3">
                  <v>42.46</v>
                </pt>
                <pt idx="4">
                  <v>40.47</v>
                </pt>
                <pt idx="5">
                  <v>37.215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88.97</v>
                </pt>
                <pt idx="1">
                  <v>83.75</v>
                </pt>
                <pt idx="2">
                  <v>62.82</v>
                </pt>
                <pt idx="3">
                  <v>35.56</v>
                </pt>
                <pt idx="4">
                  <v>32.60000000000001</v>
                </pt>
                <pt idx="5">
                  <v>27.98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71.13</v>
                </pt>
                <pt idx="1">
                  <v>62.26999999999999</v>
                </pt>
                <pt idx="2">
                  <v>45.31</v>
                </pt>
                <pt idx="3">
                  <v>27.63999999999999</v>
                </pt>
                <pt idx="4">
                  <v>26.29999999999998</v>
                </pt>
                <pt idx="5">
                  <v>23.34999999999998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96.97</v>
                </pt>
                <pt idx="1">
                  <v>93.51000000000001</v>
                </pt>
                <pt idx="2">
                  <v>75.17</v>
                </pt>
                <pt idx="3">
                  <v>47.67</v>
                </pt>
                <pt idx="4">
                  <v>45.72</v>
                </pt>
                <pt idx="5">
                  <v>38.88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92.45999999999999</v>
                </pt>
                <pt idx="1">
                  <v>87.56</v>
                </pt>
                <pt idx="2">
                  <v>72.25</v>
                </pt>
                <pt idx="3">
                  <v>55.62</v>
                </pt>
                <pt idx="4">
                  <v>54.36000000000001</v>
                </pt>
                <pt idx="5">
                  <v>49.97000000000001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95.16</v>
                </pt>
                <pt idx="1">
                  <v>93.81999999999999</v>
                </pt>
                <pt idx="2">
                  <v>70.94</v>
                </pt>
                <pt idx="3">
                  <v>50.91</v>
                </pt>
                <pt idx="4">
                  <v>49.06</v>
                </pt>
                <pt idx="5">
                  <v>44.06999999999999</v>
                </pt>
              </numCache>
            </numRef>
          </yVal>
          <smooth val="1"/>
        </ser>
        <ser>
          <idx val="7"/>
          <order val="7"/>
          <tx>
            <strRef>
              <f>GSD!$F$13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81.78999999999999</v>
                </pt>
                <pt idx="1">
                  <v>78.09999999999999</v>
                </pt>
                <pt idx="2">
                  <v>57.98999999999999</v>
                </pt>
                <pt idx="3">
                  <v>32.28</v>
                </pt>
                <pt idx="4">
                  <v>31.34999999999999</v>
                </pt>
                <pt idx="5">
                  <v>29.72</v>
                </pt>
              </numCache>
            </numRef>
          </yVal>
          <smooth val="1"/>
        </ser>
        <ser>
          <idx val="8"/>
          <order val="8"/>
          <tx>
            <strRef>
              <f>GSD!$F$14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69.53</v>
                </pt>
                <pt idx="1">
                  <v>65.03999999999999</v>
                </pt>
                <pt idx="2">
                  <v>51.83</v>
                </pt>
                <pt idx="3">
                  <v>30.50999999999999</v>
                </pt>
                <pt idx="4">
                  <v>27.74999999999999</v>
                </pt>
                <pt idx="5">
                  <v>21.83999999999999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95.47</v>
                </pt>
                <pt idx="1">
                  <v>91.41</v>
                </pt>
                <pt idx="2">
                  <v>68.78</v>
                </pt>
                <pt idx="3">
                  <v>38.11</v>
                </pt>
                <pt idx="4">
                  <v>34.86</v>
                </pt>
                <pt idx="5">
                  <v>29.28999999999999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91.11499999999999</v>
                </pt>
                <pt idx="1">
                  <v>85.63</v>
                </pt>
                <pt idx="2">
                  <v>65.515</v>
                </pt>
                <pt idx="3">
                  <v>42.46</v>
                </pt>
                <pt idx="4">
                  <v>40.47</v>
                </pt>
                <pt idx="5">
                  <v>37.215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88.97</v>
                </pt>
                <pt idx="1">
                  <v>83.75</v>
                </pt>
                <pt idx="2">
                  <v>62.82</v>
                </pt>
                <pt idx="3">
                  <v>35.56</v>
                </pt>
                <pt idx="4">
                  <v>32.60000000000001</v>
                </pt>
                <pt idx="5">
                  <v>27.98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71.13</v>
                </pt>
                <pt idx="1">
                  <v>62.26999999999999</v>
                </pt>
                <pt idx="2">
                  <v>45.31</v>
                </pt>
                <pt idx="3">
                  <v>27.63999999999999</v>
                </pt>
                <pt idx="4">
                  <v>26.29999999999998</v>
                </pt>
                <pt idx="5">
                  <v>23.34999999999998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96.97</v>
                </pt>
                <pt idx="1">
                  <v>93.51000000000001</v>
                </pt>
                <pt idx="2">
                  <v>75.17</v>
                </pt>
                <pt idx="3">
                  <v>47.67</v>
                </pt>
                <pt idx="4">
                  <v>45.72</v>
                </pt>
                <pt idx="5">
                  <v>38.88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92.45999999999999</v>
                </pt>
                <pt idx="1">
                  <v>87.56</v>
                </pt>
                <pt idx="2">
                  <v>72.25</v>
                </pt>
                <pt idx="3">
                  <v>55.62</v>
                </pt>
                <pt idx="4">
                  <v>54.36000000000001</v>
                </pt>
                <pt idx="5">
                  <v>49.97000000000001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95.16</v>
                </pt>
                <pt idx="1">
                  <v>93.81999999999999</v>
                </pt>
                <pt idx="2">
                  <v>70.94</v>
                </pt>
                <pt idx="3">
                  <v>50.91</v>
                </pt>
                <pt idx="4">
                  <v>49.06</v>
                </pt>
                <pt idx="5">
                  <v>44.06999999999999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81.78999999999999</v>
                </pt>
                <pt idx="1">
                  <v>78.09999999999999</v>
                </pt>
                <pt idx="2">
                  <v>57.98999999999999</v>
                </pt>
                <pt idx="3">
                  <v>32.28</v>
                </pt>
                <pt idx="4">
                  <v>31.34999999999999</v>
                </pt>
                <pt idx="5">
                  <v>29.72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69.53</v>
                </pt>
                <pt idx="1">
                  <v>65.03999999999999</v>
                </pt>
                <pt idx="2">
                  <v>51.83</v>
                </pt>
                <pt idx="3">
                  <v>30.50999999999999</v>
                </pt>
                <pt idx="4">
                  <v>27.74999999999999</v>
                </pt>
                <pt idx="5">
                  <v>21.83999999999999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14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4"/>
  <sheetViews>
    <sheetView tabSelected="1" workbookViewId="0">
      <selection activeCell="J9" sqref="J9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4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0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0" t="inlineStr">
        <is>
          <t>% Passing</t>
        </is>
      </c>
      <c r="R2" s="77" t="n"/>
      <c r="S2" s="77" t="n"/>
      <c r="T2" s="77" t="n"/>
      <c r="U2" s="77" t="n"/>
      <c r="V2" s="78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3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3" t="inlineStr">
        <is>
          <t>Pan</t>
        </is>
      </c>
      <c r="Q3" s="51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0" t="inlineStr">
        <is>
          <t>(gm)</t>
        </is>
      </c>
      <c r="R4" s="77" t="n"/>
      <c r="S4" s="77" t="n"/>
      <c r="T4" s="77" t="n"/>
      <c r="U4" s="77" t="n"/>
      <c r="V4" s="78" t="n"/>
      <c r="W4" s="55" t="inlineStr">
        <is>
          <t>%</t>
        </is>
      </c>
      <c r="X4" s="77" t="n"/>
      <c r="Y4" s="78" t="n"/>
    </row>
    <row r="5" ht="30" customHeight="1">
      <c r="A5" s="55" t="n">
        <v>1</v>
      </c>
      <c r="B5" s="41" t="inlineStr">
        <is>
          <t>NBH-03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4.53</v>
      </c>
      <c r="K5" s="25" t="n">
        <v>4.06</v>
      </c>
      <c r="L5" s="25" t="n">
        <v>22.63</v>
      </c>
      <c r="M5" s="25" t="n">
        <v>30.67</v>
      </c>
      <c r="N5" s="25" t="n">
        <v>3.25</v>
      </c>
      <c r="O5" s="25" t="n">
        <v>5.57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4" t="n"/>
      <c r="C6" s="84" t="n"/>
      <c r="D6" s="84" t="n"/>
      <c r="E6" s="43" t="inlineStr">
        <is>
          <t>SPT</t>
        </is>
      </c>
      <c r="F6" s="25" t="n">
        <v>1.5</v>
      </c>
      <c r="G6" s="43" t="n"/>
      <c r="H6" s="43" t="n">
        <v>200</v>
      </c>
      <c r="I6" s="25">
        <f>SUM(J6:O6)</f>
        <v/>
      </c>
      <c r="J6" s="25" t="n">
        <v>17.77</v>
      </c>
      <c r="K6" s="25" t="n">
        <v>10.97</v>
      </c>
      <c r="L6" s="25" t="n">
        <v>40.23</v>
      </c>
      <c r="M6" s="25" t="n">
        <v>46.11</v>
      </c>
      <c r="N6" s="25" t="n">
        <v>3.98</v>
      </c>
      <c r="O6" s="25" t="n">
        <v>6.51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4" t="n"/>
      <c r="C7" s="84" t="n"/>
      <c r="D7" s="84" t="n"/>
      <c r="E7" s="43" t="inlineStr">
        <is>
          <t>SPT</t>
        </is>
      </c>
      <c r="F7" s="25" t="n">
        <v>2</v>
      </c>
      <c r="G7" s="43" t="n"/>
      <c r="H7" s="43" t="n">
        <v>100</v>
      </c>
      <c r="I7" s="25">
        <f>SUM(J7:O7)</f>
        <v/>
      </c>
      <c r="J7" s="25" t="n">
        <v>11.03</v>
      </c>
      <c r="K7" s="25" t="n">
        <v>5.22</v>
      </c>
      <c r="L7" s="25" t="n">
        <v>20.93</v>
      </c>
      <c r="M7" s="25" t="n">
        <v>27.26</v>
      </c>
      <c r="N7" s="25" t="n">
        <v>2.96</v>
      </c>
      <c r="O7" s="25" t="n">
        <v>4.62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4" t="n"/>
      <c r="C8" s="84" t="n"/>
      <c r="D8" s="84" t="n"/>
      <c r="E8" s="43" t="inlineStr">
        <is>
          <t>SPT</t>
        </is>
      </c>
      <c r="F8" s="25" t="n">
        <v>3.5</v>
      </c>
      <c r="G8" s="43" t="n"/>
      <c r="H8" s="43" t="n">
        <v>100</v>
      </c>
      <c r="I8" s="25">
        <f>SUM(J8:O8)</f>
        <v/>
      </c>
      <c r="J8" s="25" t="n">
        <v>28.87</v>
      </c>
      <c r="K8" s="25" t="n">
        <v>8.859999999999999</v>
      </c>
      <c r="L8" s="25" t="n">
        <v>16.96</v>
      </c>
      <c r="M8" s="25" t="n">
        <v>17.67</v>
      </c>
      <c r="N8" s="25" t="n">
        <v>1.34</v>
      </c>
      <c r="O8" s="25" t="n">
        <v>2.95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4" t="n"/>
      <c r="C9" s="84" t="n"/>
      <c r="D9" s="84" t="n"/>
      <c r="E9" s="43" t="inlineStr">
        <is>
          <t>UDS</t>
        </is>
      </c>
      <c r="F9" s="25" t="n">
        <v>4.5</v>
      </c>
      <c r="G9" s="43" t="n"/>
      <c r="H9" s="43" t="n">
        <v>100</v>
      </c>
      <c r="I9" s="25">
        <f>SUM(J9:O9)</f>
        <v/>
      </c>
      <c r="J9" s="25" t="n">
        <v>3.03</v>
      </c>
      <c r="K9" s="25" t="n">
        <v>3.46</v>
      </c>
      <c r="L9" s="25" t="n">
        <v>18.34</v>
      </c>
      <c r="M9" s="25" t="n">
        <v>27.5</v>
      </c>
      <c r="N9" s="25" t="n">
        <v>1.95</v>
      </c>
      <c r="O9" s="25" t="n">
        <v>6.84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4" t="n"/>
      <c r="C10" s="84" t="n"/>
      <c r="D10" s="84" t="n"/>
      <c r="E10" s="43" t="inlineStr">
        <is>
          <t>SPT</t>
        </is>
      </c>
      <c r="F10" s="25" t="n">
        <v>6.5</v>
      </c>
      <c r="G10" s="43" t="n"/>
      <c r="H10" s="43" t="n">
        <v>100</v>
      </c>
      <c r="I10" s="25">
        <f>SUM(J10:O10)</f>
        <v/>
      </c>
      <c r="J10" s="25" t="n">
        <v>7.54</v>
      </c>
      <c r="K10" s="25" t="n">
        <v>4.9</v>
      </c>
      <c r="L10" s="25" t="n">
        <v>15.31</v>
      </c>
      <c r="M10" s="25" t="n">
        <v>16.63</v>
      </c>
      <c r="N10" s="25" t="n">
        <v>1.26</v>
      </c>
      <c r="O10" s="25" t="n">
        <v>4.39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4" t="n"/>
      <c r="C11" s="84" t="n"/>
      <c r="D11" s="84" t="n"/>
      <c r="E11" s="43" t="inlineStr">
        <is>
          <t>SPT</t>
        </is>
      </c>
      <c r="F11" s="25" t="n">
        <v>8</v>
      </c>
      <c r="G11" s="43" t="n"/>
      <c r="H11" s="43" t="n">
        <v>100</v>
      </c>
      <c r="I11" s="25">
        <f>SUM(J11:O11)</f>
        <v/>
      </c>
      <c r="J11" s="25" t="n">
        <v>4.84</v>
      </c>
      <c r="K11" s="25" t="n">
        <v>1.34</v>
      </c>
      <c r="L11" s="25" t="n">
        <v>22.88</v>
      </c>
      <c r="M11" s="25" t="n">
        <v>20.03</v>
      </c>
      <c r="N11" s="25" t="n">
        <v>1.85</v>
      </c>
      <c r="O11" s="25" t="n">
        <v>4.99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4" t="n"/>
      <c r="C12" s="84" t="n"/>
      <c r="D12" s="84" t="n"/>
      <c r="E12" s="43" t="inlineStr">
        <is>
          <t>SPT</t>
        </is>
      </c>
      <c r="F12" s="25" t="n">
        <v>9.5</v>
      </c>
      <c r="G12" s="43" t="n"/>
      <c r="H12" s="43" t="n">
        <v>100</v>
      </c>
      <c r="I12" s="25">
        <f>SUM(J12:O12)</f>
        <v/>
      </c>
      <c r="J12" s="25" t="n">
        <v>5.69</v>
      </c>
      <c r="K12" s="25" t="n">
        <v>8.07</v>
      </c>
      <c r="L12" s="25" t="n">
        <v>19.28</v>
      </c>
      <c r="M12" s="25" t="n">
        <v>19.71</v>
      </c>
      <c r="N12" s="25" t="n">
        <v>2.35</v>
      </c>
      <c r="O12" s="25" t="n">
        <v>5.66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55" t="n">
        <v>9</v>
      </c>
      <c r="B13" s="84" t="n"/>
      <c r="C13" s="84" t="n"/>
      <c r="D13" s="84" t="n"/>
      <c r="E13" s="43" t="inlineStr">
        <is>
          <t>SPT</t>
        </is>
      </c>
      <c r="F13" s="25" t="n">
        <v>11</v>
      </c>
      <c r="G13" s="43" t="n"/>
      <c r="H13" s="43" t="n">
        <v>100</v>
      </c>
      <c r="I13" s="25">
        <f>SUM(J13:O13)</f>
        <v/>
      </c>
      <c r="J13" s="25" t="n">
        <v>18.21</v>
      </c>
      <c r="K13" s="25" t="n">
        <v>3.69</v>
      </c>
      <c r="L13" s="25" t="n">
        <v>20.11</v>
      </c>
      <c r="M13" s="25" t="n">
        <v>25.71</v>
      </c>
      <c r="N13" s="25" t="n">
        <v>0.93</v>
      </c>
      <c r="O13" s="25" t="n">
        <v>1.63</v>
      </c>
      <c r="P13" s="25" t="n"/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>
      <c r="A14" s="55" t="n">
        <v>10</v>
      </c>
      <c r="B14" s="80" t="n"/>
      <c r="C14" s="80" t="n"/>
      <c r="D14" s="80" t="n"/>
      <c r="E14" s="43" t="inlineStr">
        <is>
          <t>SPT</t>
        </is>
      </c>
      <c r="F14" s="25" t="n">
        <v>12.5</v>
      </c>
      <c r="G14" s="43" t="n"/>
      <c r="H14" s="43" t="n">
        <v>100</v>
      </c>
      <c r="I14" s="25">
        <f>SUM(J14:O14)</f>
        <v/>
      </c>
      <c r="J14" s="25" t="n">
        <v>30.47</v>
      </c>
      <c r="K14" s="25" t="n">
        <v>4.49</v>
      </c>
      <c r="L14" s="25" t="n">
        <v>13.21</v>
      </c>
      <c r="M14" s="25" t="n">
        <v>21.32</v>
      </c>
      <c r="N14" s="25" t="n">
        <v>2.76</v>
      </c>
      <c r="O14" s="25" t="n">
        <v>5.91</v>
      </c>
      <c r="P14" s="25" t="n"/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</sheetData>
  <mergeCells count="21">
    <mergeCell ref="A2:A4"/>
    <mergeCell ref="C2:C4"/>
    <mergeCell ref="Q4:V4"/>
    <mergeCell ref="B5:B14"/>
    <mergeCell ref="F2:F3"/>
    <mergeCell ref="J2:P2"/>
    <mergeCell ref="H2:H3"/>
    <mergeCell ref="Y2:Y3"/>
    <mergeCell ref="C5:C14"/>
    <mergeCell ref="E2:E3"/>
    <mergeCell ref="W2:W3"/>
    <mergeCell ref="Q2:V2"/>
    <mergeCell ref="A1:Y1"/>
    <mergeCell ref="W4:Y4"/>
    <mergeCell ref="B2:B4"/>
    <mergeCell ref="D2:D4"/>
    <mergeCell ref="J4:P4"/>
    <mergeCell ref="X2:X3"/>
    <mergeCell ref="I2:I3"/>
    <mergeCell ref="G2:G3"/>
    <mergeCell ref="D5:D1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1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3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3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4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7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7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1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1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 t="n">
        <v>0.008559421270000001</v>
      </c>
      <c r="G6" s="89" t="n">
        <v>2.69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89" t="n">
        <v>1.012</v>
      </c>
      <c r="N6" s="89" t="n">
        <v>1.012</v>
      </c>
      <c r="O6" s="89" t="n">
        <v>1.012</v>
      </c>
      <c r="P6" s="89" t="n">
        <v>1.011</v>
      </c>
      <c r="Q6" s="89" t="n">
        <v>1.011</v>
      </c>
      <c r="R6" s="89" t="n">
        <v>1.011</v>
      </c>
      <c r="S6" s="89" t="n">
        <v>1.011</v>
      </c>
      <c r="T6" s="89" t="n">
        <v>1.01</v>
      </c>
      <c r="U6" s="89" t="n">
        <v>1.01</v>
      </c>
      <c r="V6" s="89" t="n">
        <v>1.01</v>
      </c>
      <c r="W6" s="89" t="n">
        <v>1.01</v>
      </c>
      <c r="X6" s="89" t="n">
        <v>1.01</v>
      </c>
      <c r="Y6" s="89" t="n">
        <v>1.01</v>
      </c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>
        <f>(0.000000002615*E7^4) - (0.00000030607*E7^3) + (0.000016427499*E7^2) - (0.000618546309*E7) + 0.017919182437</f>
        <v/>
      </c>
      <c r="G7" s="89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>
        <f>(0.000000002615*E8^4) - (0.00000030607*E8^3) + (0.000016427499*E8^2) - (0.000618546309*E8) + 0.017919182437</f>
        <v/>
      </c>
      <c r="G8" s="89" t="n"/>
      <c r="H8" s="31" t="n">
        <v>0.0005</v>
      </c>
      <c r="I8" s="31" t="n"/>
      <c r="J8" s="31" t="n"/>
      <c r="K8" s="32">
        <f>(E8-27)*0.25</f>
        <v/>
      </c>
      <c r="L8" s="31" t="n">
        <v>0.3</v>
      </c>
      <c r="M8" s="89" t="n"/>
      <c r="N8" s="89" t="n"/>
      <c r="O8" s="89" t="n"/>
      <c r="P8" s="89" t="n"/>
      <c r="Q8" s="89" t="n"/>
      <c r="R8" s="89" t="n"/>
      <c r="S8" s="89" t="n"/>
      <c r="T8" s="89" t="n"/>
      <c r="U8" s="89" t="n"/>
      <c r="V8" s="89" t="n"/>
      <c r="W8" s="89" t="n"/>
      <c r="X8" s="89" t="n"/>
      <c r="Y8" s="89" t="n"/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88" t="n">
        <v>0.008559421270000001</v>
      </c>
      <c r="G9" s="89" t="n">
        <v>2.7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89" t="n">
        <v>1.012</v>
      </c>
      <c r="N9" s="89" t="n">
        <v>1.012</v>
      </c>
      <c r="O9" s="89" t="n">
        <v>1.012</v>
      </c>
      <c r="P9" s="89" t="n">
        <v>1.011</v>
      </c>
      <c r="Q9" s="89" t="n">
        <v>1.011</v>
      </c>
      <c r="R9" s="89" t="n">
        <v>1.011</v>
      </c>
      <c r="S9" s="89" t="n">
        <v>1.01</v>
      </c>
      <c r="T9" s="89" t="n">
        <v>1.01</v>
      </c>
      <c r="U9" s="89" t="n">
        <v>1.009</v>
      </c>
      <c r="V9" s="89" t="n">
        <v>1.009</v>
      </c>
      <c r="W9" s="89" t="n">
        <v>1.009</v>
      </c>
      <c r="X9" s="89" t="n">
        <v>1.008</v>
      </c>
      <c r="Y9" s="89" t="n">
        <v>1.008</v>
      </c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88" t="n">
        <v>0.008559421270000001</v>
      </c>
      <c r="G10" s="89" t="n">
        <v>2.65</v>
      </c>
      <c r="H10" s="31" t="n">
        <v>0.0005</v>
      </c>
      <c r="I10" s="31" t="n">
        <v>1</v>
      </c>
      <c r="J10" s="31" t="n">
        <v>1</v>
      </c>
      <c r="K10" s="32" t="n">
        <v>0</v>
      </c>
      <c r="L10" s="31" t="n">
        <v>0.3</v>
      </c>
      <c r="M10" s="89" t="n">
        <v>1.016</v>
      </c>
      <c r="N10" s="89" t="n">
        <v>1.015</v>
      </c>
      <c r="O10" s="89" t="n">
        <v>1.015</v>
      </c>
      <c r="P10" s="89" t="n">
        <v>1.015</v>
      </c>
      <c r="Q10" s="89" t="n">
        <v>1.015</v>
      </c>
      <c r="R10" s="89" t="n">
        <v>1.014</v>
      </c>
      <c r="S10" s="89" t="n">
        <v>1.014</v>
      </c>
      <c r="T10" s="89" t="n">
        <v>1.013</v>
      </c>
      <c r="U10" s="89" t="n">
        <v>1.013</v>
      </c>
      <c r="V10" s="89" t="n">
        <v>1.013</v>
      </c>
      <c r="W10" s="89" t="n">
        <v>1.012</v>
      </c>
      <c r="X10" s="89" t="n">
        <v>1.012</v>
      </c>
      <c r="Y10" s="89" t="n">
        <v>1.012</v>
      </c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88" t="n">
        <v>0.008559421270000001</v>
      </c>
      <c r="G11" s="89" t="n">
        <v>2.65</v>
      </c>
      <c r="H11" s="31" t="n">
        <v>0.0005</v>
      </c>
      <c r="I11" s="31" t="n">
        <v>1</v>
      </c>
      <c r="J11" s="31" t="n">
        <v>1</v>
      </c>
      <c r="K11" s="32" t="n">
        <v>0</v>
      </c>
      <c r="L11" s="31" t="n">
        <v>0.3</v>
      </c>
      <c r="M11" s="89" t="n">
        <v>1.014</v>
      </c>
      <c r="N11" s="89" t="n">
        <v>1.014</v>
      </c>
      <c r="O11" s="89" t="n">
        <v>1.013</v>
      </c>
      <c r="P11" s="89" t="n">
        <v>1.013</v>
      </c>
      <c r="Q11" s="89" t="n">
        <v>1.013</v>
      </c>
      <c r="R11" s="89" t="n">
        <v>1.012</v>
      </c>
      <c r="S11" s="89" t="n">
        <v>1.012</v>
      </c>
      <c r="T11" s="89" t="n">
        <v>1.012</v>
      </c>
      <c r="U11" s="89" t="n">
        <v>1.011</v>
      </c>
      <c r="V11" s="89" t="n">
        <v>1.011</v>
      </c>
      <c r="W11" s="89" t="n">
        <v>1.011</v>
      </c>
      <c r="X11" s="89" t="n">
        <v>1.011</v>
      </c>
      <c r="Y11" s="89" t="n">
        <v>1.011</v>
      </c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GSD!F13</f>
        <v/>
      </c>
      <c r="D12" s="31">
        <f>GSD!E13</f>
        <v/>
      </c>
      <c r="E12" s="32" t="n">
        <v>27</v>
      </c>
      <c r="F12" s="88" t="n">
        <v>0.008559421270000001</v>
      </c>
      <c r="G12" s="89" t="n">
        <v>2.67</v>
      </c>
      <c r="H12" s="31" t="n">
        <v>0.0005</v>
      </c>
      <c r="I12" s="31" t="n">
        <v>2</v>
      </c>
      <c r="J12" s="31" t="n">
        <v>2</v>
      </c>
      <c r="K12" s="32" t="n">
        <v>0</v>
      </c>
      <c r="L12" s="31" t="n">
        <v>0.3</v>
      </c>
      <c r="M12" s="89" t="n">
        <v>1.012</v>
      </c>
      <c r="N12" s="89" t="n">
        <v>1.012</v>
      </c>
      <c r="O12" s="89" t="n">
        <v>1.012</v>
      </c>
      <c r="P12" s="89" t="n">
        <v>1.011</v>
      </c>
      <c r="Q12" s="89" t="n">
        <v>1.011</v>
      </c>
      <c r="R12" s="89" t="n">
        <v>1.01</v>
      </c>
      <c r="S12" s="89" t="n">
        <v>1.01</v>
      </c>
      <c r="T12" s="89" t="n">
        <v>1.009</v>
      </c>
      <c r="U12" s="89" t="n">
        <v>1.009</v>
      </c>
      <c r="V12" s="89" t="n">
        <v>1.008</v>
      </c>
      <c r="W12" s="89" t="n">
        <v>1.007</v>
      </c>
      <c r="X12" s="89" t="n">
        <v>1.007</v>
      </c>
      <c r="Y12" s="89" t="n">
        <v>1.007</v>
      </c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GSD!F14</f>
        <v/>
      </c>
      <c r="D13" s="31">
        <f>GSD!E14</f>
        <v/>
      </c>
      <c r="E13" s="32" t="n">
        <v>27</v>
      </c>
      <c r="F13" s="88" t="n">
        <v>0.008559421270000001</v>
      </c>
      <c r="G13" s="89" t="n">
        <v>2.69</v>
      </c>
      <c r="H13" s="31" t="n">
        <v>0.0005</v>
      </c>
      <c r="I13" s="31" t="n">
        <v>2</v>
      </c>
      <c r="J13" s="31" t="n">
        <v>2</v>
      </c>
      <c r="K13" s="32" t="n">
        <v>0</v>
      </c>
      <c r="L13" s="31" t="n">
        <v>0.3</v>
      </c>
      <c r="M13" s="89" t="n">
        <v>1.01</v>
      </c>
      <c r="N13" s="89" t="n">
        <v>1.009</v>
      </c>
      <c r="O13" s="89" t="n">
        <v>1.009</v>
      </c>
      <c r="P13" s="89" t="n">
        <v>1.009</v>
      </c>
      <c r="Q13" s="89" t="n">
        <v>1.009</v>
      </c>
      <c r="R13" s="89" t="n">
        <v>1.008</v>
      </c>
      <c r="S13" s="89" t="n">
        <v>1.008</v>
      </c>
      <c r="T13" s="89" t="n">
        <v>1.008</v>
      </c>
      <c r="U13" s="89" t="n">
        <v>1.007</v>
      </c>
      <c r="V13" s="89" t="n">
        <v>1.007</v>
      </c>
      <c r="W13" s="89" t="n">
        <v>1.007</v>
      </c>
      <c r="X13" s="89" t="n">
        <v>1.007</v>
      </c>
      <c r="Y13" s="89" t="n">
        <v>1.007</v>
      </c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GSD!F10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GSD!F11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GSD!F13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GSD!Q13</f>
        <v/>
      </c>
      <c r="X10" s="1">
        <f>GSD!R13</f>
        <v/>
      </c>
      <c r="Y10" s="1">
        <f>GSD!S13</f>
        <v/>
      </c>
      <c r="Z10" s="1">
        <f>GSD!T13</f>
        <v/>
      </c>
      <c r="AA10" s="1">
        <f>GSD!U13</f>
        <v/>
      </c>
      <c r="AB10" s="38">
        <f>GSD!V13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GSD!F14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GSD!Q14</f>
        <v/>
      </c>
      <c r="X11" s="1">
        <f>GSD!R14</f>
        <v/>
      </c>
      <c r="Y11" s="1">
        <f>GSD!S14</f>
        <v/>
      </c>
      <c r="Z11" s="1">
        <f>GSD!T14</f>
        <v/>
      </c>
      <c r="AA11" s="1">
        <f>GSD!U14</f>
        <v/>
      </c>
      <c r="AB11" s="38">
        <f>GSD!V14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2026-09-26T11:07:13Z</dcterms:modified>
  <cp:lastModifiedBy>baps</cp:lastModifiedBy>
</cp:coreProperties>
</file>