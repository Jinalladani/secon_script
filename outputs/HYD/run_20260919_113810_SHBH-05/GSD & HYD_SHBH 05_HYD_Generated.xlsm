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3270" windowWidth="12555" windowHeight="1077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07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GSD!$S$5:$Z$5</f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GSD!$S$6:$Z$6</f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GSD!$S$7:$Z$7</f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GSD!$S$8:$Z$8</f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GSD!$S$9:$Z$9</f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GSD!$S$10:$Z$10</f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GSD!$S$11:$Z$11</f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61.58</v>
                </pt>
                <pt idx="1">
                  <v>57.11999999999999</v>
                </pt>
                <pt idx="2">
                  <v>51.78</v>
                </pt>
                <pt idx="3">
                  <v>43.39</v>
                </pt>
                <pt idx="4">
                  <v>41.47</v>
                </pt>
                <pt idx="5">
                  <v>36.65</v>
                </pt>
                <pt idx="6">
                  <v>25.23</v>
                </pt>
                <pt idx="7">
                  <v>17.31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2.00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89.86</v>
                </pt>
                <pt idx="1">
                  <v>85.06</v>
                </pt>
                <pt idx="2">
                  <v>78.53</v>
                </pt>
                <pt idx="3">
                  <v>65.31</v>
                </pt>
                <pt idx="4">
                  <v>62.28999999999999</v>
                </pt>
                <pt idx="5">
                  <v>54.25</v>
                </pt>
                <pt idx="6">
                  <v>35.88999999999999</v>
                </pt>
                <pt idx="7">
                  <v>24.48999999999998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87.72</v>
                </pt>
                <pt idx="1">
                  <v>82.05</v>
                </pt>
                <pt idx="2">
                  <v>79.31</v>
                </pt>
                <pt idx="3">
                  <v>69.7</v>
                </pt>
                <pt idx="4">
                  <v>61.08</v>
                </pt>
                <pt idx="5">
                  <v>56.51000000000001</v>
                </pt>
                <pt idx="6">
                  <v>34.92</v>
                </pt>
                <pt idx="7">
                  <v>24.62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98.075</v>
                </pt>
                <pt idx="1">
                  <v>95.52</v>
                </pt>
                <pt idx="2">
                  <v>92.01000000000001</v>
                </pt>
                <pt idx="3">
                  <v>87.84999999999999</v>
                </pt>
                <pt idx="4">
                  <v>86.93000000000001</v>
                </pt>
                <pt idx="5">
                  <v>83.355</v>
                </pt>
                <pt idx="6">
                  <v>69.14</v>
                </pt>
                <pt idx="7">
                  <v>59.915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97.59999999999999</v>
                </pt>
                <pt idx="1">
                  <v>71.91</v>
                </pt>
                <pt idx="2">
                  <v>59.66</v>
                </pt>
                <pt idx="3">
                  <v>41.64999999999999</v>
                </pt>
                <pt idx="4">
                  <v>32.60999999999999</v>
                </pt>
                <pt idx="5">
                  <v>29.16999999999998</v>
                </pt>
                <pt idx="6">
                  <v>23.22999999999999</v>
                </pt>
                <pt idx="7">
                  <v>21.10999999999999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99.75</v>
                </pt>
                <pt idx="1">
                  <v>93.34</v>
                </pt>
                <pt idx="2">
                  <v>73.40000000000001</v>
                </pt>
                <pt idx="3">
                  <v>39.46</v>
                </pt>
                <pt idx="4">
                  <v>33.36</v>
                </pt>
                <pt idx="5">
                  <v>26.08</v>
                </pt>
                <pt idx="6">
                  <v>22.66</v>
                </pt>
                <pt idx="7">
                  <v>21.02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100</v>
                </pt>
                <pt idx="1">
                  <v>99.91</v>
                </pt>
                <pt idx="2">
                  <v>99.83</v>
                </pt>
                <pt idx="3">
                  <v>99.5</v>
                </pt>
                <pt idx="4">
                  <v>98.23</v>
                </pt>
                <pt idx="5">
                  <v>90.84999999999999</v>
                </pt>
                <pt idx="6">
                  <v>46.18</v>
                </pt>
                <pt idx="7">
                  <v>33.70999999999999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zoomScale="130" zoomScaleNormal="85" zoomScaleSheetLayoutView="130" zoomScalePageLayoutView="85" workbookViewId="0">
      <selection activeCell="AC14" sqref="AC14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hidden="1" width="9.7109375" customWidth="1" style="1" min="7" max="7"/>
    <col hidden="1" width="11.28515625" customWidth="1" style="1" min="8" max="8"/>
    <col hidden="1" width="13" customWidth="1" style="1" min="9" max="9"/>
    <col hidden="1" width="7.7109375" customWidth="1" style="1" min="10" max="18"/>
    <col hidden="1" style="1" min="19" max="26"/>
    <col width="9" customWidth="1" style="1" min="27" max="16384"/>
  </cols>
  <sheetData>
    <row r="1" ht="25.15" customHeight="1" s="41">
      <c r="A1" s="59" t="inlineStr">
        <is>
          <t>Grain Size Analysis (Sieve Analysis)</t>
        </is>
      </c>
      <c r="B1" s="88" t="n"/>
      <c r="C1" s="88" t="n"/>
      <c r="D1" s="88" t="n"/>
      <c r="E1" s="88" t="n"/>
      <c r="F1" s="88" t="n"/>
      <c r="G1" s="88" t="n"/>
      <c r="H1" s="88" t="n"/>
      <c r="I1" s="88" t="n"/>
      <c r="J1" s="88" t="n"/>
      <c r="K1" s="88" t="n"/>
      <c r="L1" s="88" t="n"/>
      <c r="M1" s="88" t="n"/>
      <c r="N1" s="88" t="n"/>
      <c r="O1" s="88" t="n"/>
      <c r="P1" s="88" t="n"/>
      <c r="Q1" s="88" t="n"/>
      <c r="R1" s="88" t="n"/>
      <c r="S1" s="88" t="n"/>
      <c r="T1" s="88" t="n"/>
      <c r="U1" s="88" t="n"/>
      <c r="V1" s="88" t="n"/>
      <c r="W1" s="88" t="n"/>
      <c r="X1" s="88" t="n"/>
      <c r="Y1" s="88" t="n"/>
      <c r="Z1" s="88" t="n"/>
      <c r="AA1" s="88" t="n"/>
      <c r="AB1" s="88" t="n"/>
      <c r="AC1" s="88" t="n"/>
    </row>
    <row r="2" ht="24.6" customHeight="1" s="41">
      <c r="A2" s="89" t="inlineStr">
        <is>
          <t>Sr No.</t>
        </is>
      </c>
      <c r="B2" s="90" t="inlineStr">
        <is>
          <t>BH ID</t>
        </is>
      </c>
      <c r="C2" s="90" t="inlineStr">
        <is>
          <t>Chainage</t>
        </is>
      </c>
      <c r="D2" s="90" t="inlineStr">
        <is>
          <t>Sample ID</t>
        </is>
      </c>
      <c r="E2" s="66" t="inlineStr">
        <is>
          <t>Sample Type</t>
        </is>
      </c>
      <c r="F2" s="66" t="inlineStr">
        <is>
          <t>Depth</t>
        </is>
      </c>
      <c r="G2" s="66" t="inlineStr">
        <is>
          <t>Container No.</t>
        </is>
      </c>
      <c r="H2" s="66" t="inlineStr">
        <is>
          <t>Weight of Sample taken for Sieve Analysis</t>
        </is>
      </c>
      <c r="I2" s="91" t="inlineStr">
        <is>
          <t>Weight of Sample Remain after washing through 75µ sieve</t>
        </is>
      </c>
      <c r="J2" s="56" t="inlineStr">
        <is>
          <t>Weight Retained on IS Sieve</t>
        </is>
      </c>
      <c r="K2" s="92" t="n"/>
      <c r="L2" s="92" t="n"/>
      <c r="M2" s="92" t="n"/>
      <c r="N2" s="92" t="n"/>
      <c r="O2" s="92" t="n"/>
      <c r="P2" s="92" t="n"/>
      <c r="Q2" s="92" t="n"/>
      <c r="R2" s="93" t="n"/>
      <c r="S2" s="56" t="inlineStr">
        <is>
          <t>% Passing</t>
        </is>
      </c>
      <c r="T2" s="92" t="n"/>
      <c r="U2" s="92" t="n"/>
      <c r="V2" s="92" t="n"/>
      <c r="W2" s="92" t="n"/>
      <c r="X2" s="92" t="n"/>
      <c r="Y2" s="92" t="n"/>
      <c r="Z2" s="93" t="n"/>
      <c r="AA2" s="69" t="inlineStr">
        <is>
          <t xml:space="preserve">Gravel </t>
        </is>
      </c>
      <c r="AB2" s="69" t="inlineStr">
        <is>
          <t>Sand</t>
        </is>
      </c>
      <c r="AC2" s="69" t="inlineStr">
        <is>
          <t>Fines</t>
        </is>
      </c>
    </row>
    <row r="3" ht="40.5" customHeight="1" s="41">
      <c r="A3" s="94" t="n"/>
      <c r="B3" s="94" t="n"/>
      <c r="C3" s="94" t="n"/>
      <c r="D3" s="94" t="n"/>
      <c r="E3" s="95" t="n"/>
      <c r="F3" s="95" t="n"/>
      <c r="G3" s="95" t="n"/>
      <c r="H3" s="95" t="n"/>
      <c r="I3" s="96" t="n"/>
      <c r="J3" s="68" t="n">
        <v>4.75</v>
      </c>
      <c r="K3" s="3" t="n">
        <v>2</v>
      </c>
      <c r="L3" s="3" t="n">
        <v>1.18</v>
      </c>
      <c r="M3" s="97" t="n">
        <v>0.6</v>
      </c>
      <c r="N3" s="68" t="n">
        <v>0.425</v>
      </c>
      <c r="O3" s="97" t="n">
        <v>0.3</v>
      </c>
      <c r="P3" s="97" t="n">
        <v>0.15</v>
      </c>
      <c r="Q3" s="68" t="n">
        <v>0.075</v>
      </c>
      <c r="R3" s="68" t="inlineStr">
        <is>
          <t>Pan</t>
        </is>
      </c>
      <c r="S3" s="66" t="n">
        <v>4.75</v>
      </c>
      <c r="T3" s="6" t="n">
        <v>2</v>
      </c>
      <c r="U3" s="6" t="n">
        <v>1.18</v>
      </c>
      <c r="V3" s="98" t="n">
        <v>0.6</v>
      </c>
      <c r="W3" s="66" t="n">
        <v>0.425</v>
      </c>
      <c r="X3" s="98" t="n">
        <v>0.3</v>
      </c>
      <c r="Y3" s="98" t="n">
        <v>0.15</v>
      </c>
      <c r="Z3" s="98" t="n">
        <v>0.075</v>
      </c>
      <c r="AA3" s="95" t="n"/>
      <c r="AB3" s="95" t="n"/>
      <c r="AC3" s="95" t="n"/>
    </row>
    <row r="4" ht="21.6" customHeight="1" s="41">
      <c r="A4" s="96" t="n"/>
      <c r="B4" s="96" t="n"/>
      <c r="C4" s="96" t="n"/>
      <c r="D4" s="96" t="n"/>
      <c r="E4" s="68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92" t="n"/>
      <c r="L4" s="92" t="n"/>
      <c r="M4" s="92" t="n"/>
      <c r="N4" s="92" t="n"/>
      <c r="O4" s="92" t="n"/>
      <c r="P4" s="92" t="n"/>
      <c r="Q4" s="92" t="n"/>
      <c r="R4" s="93" t="n"/>
      <c r="S4" s="56" t="inlineStr">
        <is>
          <t>(gm)</t>
        </is>
      </c>
      <c r="T4" s="92" t="n"/>
      <c r="U4" s="92" t="n"/>
      <c r="V4" s="92" t="n"/>
      <c r="W4" s="92" t="n"/>
      <c r="X4" s="92" t="n"/>
      <c r="Y4" s="92" t="n"/>
      <c r="Z4" s="93" t="n"/>
      <c r="AA4" s="70" t="inlineStr">
        <is>
          <t>%</t>
        </is>
      </c>
      <c r="AB4" s="92" t="n"/>
      <c r="AC4" s="93" t="n"/>
    </row>
    <row r="5" ht="30" customHeight="1" s="41">
      <c r="A5" s="70" t="n">
        <v>1</v>
      </c>
      <c r="B5" s="57" t="inlineStr">
        <is>
          <t>SHBH-05</t>
        </is>
      </c>
      <c r="C5" s="57" t="n"/>
      <c r="D5" s="58" t="n"/>
      <c r="E5" s="48" t="inlineStr">
        <is>
          <t>SPT</t>
        </is>
      </c>
      <c r="F5" s="44" t="n">
        <v>0.5</v>
      </c>
      <c r="G5" s="48" t="inlineStr">
        <is>
          <t>A166</t>
        </is>
      </c>
      <c r="H5" s="58" t="n">
        <v>100</v>
      </c>
      <c r="I5" s="44">
        <f>H5-SUM(J5:Q5)</f>
        <v/>
      </c>
      <c r="J5" s="44" t="n">
        <v>38.42</v>
      </c>
      <c r="K5" s="44" t="n">
        <v>4.46</v>
      </c>
      <c r="L5" s="44" t="n">
        <v>5.34</v>
      </c>
      <c r="M5" s="44" t="n">
        <v>8.390000000000001</v>
      </c>
      <c r="N5" s="44" t="n">
        <v>1.92</v>
      </c>
      <c r="O5" s="44" t="n">
        <v>4.82</v>
      </c>
      <c r="P5" s="44" t="n">
        <v>11.42</v>
      </c>
      <c r="Q5" s="44" t="n">
        <v>7.92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70" t="n">
        <v>2</v>
      </c>
      <c r="B6" s="99" t="n"/>
      <c r="C6" s="99" t="n"/>
      <c r="D6" s="99" t="n"/>
      <c r="E6" s="48" t="inlineStr">
        <is>
          <t>SPT</t>
        </is>
      </c>
      <c r="F6" s="44" t="n">
        <v>2</v>
      </c>
      <c r="G6" s="48" t="inlineStr">
        <is>
          <t>A049</t>
        </is>
      </c>
      <c r="H6" s="58" t="n">
        <v>100</v>
      </c>
      <c r="I6" s="44">
        <f>H6-SUM(J6:Q6)</f>
        <v/>
      </c>
      <c r="J6" s="44" t="n">
        <v>10.14</v>
      </c>
      <c r="K6" s="44" t="n">
        <v>4.8</v>
      </c>
      <c r="L6" s="44" t="n">
        <v>6.53</v>
      </c>
      <c r="M6" s="44" t="n">
        <v>13.22</v>
      </c>
      <c r="N6" s="44" t="n">
        <v>3.02</v>
      </c>
      <c r="O6" s="44" t="n">
        <v>8.039999999999999</v>
      </c>
      <c r="P6" s="44" t="n">
        <v>18.36</v>
      </c>
      <c r="Q6" s="44" t="n">
        <v>11.4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70" t="n">
        <v>3</v>
      </c>
      <c r="B7" s="99" t="n"/>
      <c r="C7" s="99" t="n"/>
      <c r="D7" s="99" t="n"/>
      <c r="E7" s="48" t="inlineStr">
        <is>
          <t>SPT</t>
        </is>
      </c>
      <c r="F7" s="44" t="n">
        <v>3.5</v>
      </c>
      <c r="G7" s="48" t="inlineStr">
        <is>
          <t>A016</t>
        </is>
      </c>
      <c r="H7" s="58" t="n">
        <v>100</v>
      </c>
      <c r="I7" s="44">
        <f>H7-SUM(J7:Q7)</f>
        <v/>
      </c>
      <c r="J7" s="44" t="n">
        <v>12.28</v>
      </c>
      <c r="K7" s="44" t="n">
        <v>5.67</v>
      </c>
      <c r="L7" s="44" t="n">
        <v>2.74</v>
      </c>
      <c r="M7" s="44" t="n">
        <v>9.609999999999999</v>
      </c>
      <c r="N7" s="44" t="n">
        <v>8.619999999999999</v>
      </c>
      <c r="O7" s="44" t="n">
        <v>4.57</v>
      </c>
      <c r="P7" s="44" t="n">
        <v>21.59</v>
      </c>
      <c r="Q7" s="44" t="n">
        <v>10.3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70" t="n">
        <v>4</v>
      </c>
      <c r="B8" s="99" t="n"/>
      <c r="C8" s="99" t="n"/>
      <c r="D8" s="99" t="n"/>
      <c r="E8" s="48" t="inlineStr">
        <is>
          <t>UDS</t>
        </is>
      </c>
      <c r="F8" s="44" t="n">
        <v>4.5</v>
      </c>
      <c r="G8" s="48" t="inlineStr">
        <is>
          <t>A008</t>
        </is>
      </c>
      <c r="H8" s="58" t="n">
        <v>200</v>
      </c>
      <c r="I8" s="44">
        <f>H8-SUM(J8:Q8)</f>
        <v/>
      </c>
      <c r="J8" s="44" t="n">
        <v>3.85</v>
      </c>
      <c r="K8" s="44" t="n">
        <v>5.11</v>
      </c>
      <c r="L8" s="44" t="n">
        <v>7.02</v>
      </c>
      <c r="M8" s="44" t="n">
        <v>8.32</v>
      </c>
      <c r="N8" s="44" t="n">
        <v>1.84</v>
      </c>
      <c r="O8" s="44" t="n">
        <v>7.15</v>
      </c>
      <c r="P8" s="44" t="n">
        <v>28.43</v>
      </c>
      <c r="Q8" s="44" t="n">
        <v>18.45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70" t="n">
        <v>5</v>
      </c>
      <c r="B9" s="99" t="n"/>
      <c r="C9" s="99" t="n"/>
      <c r="D9" s="99" t="n"/>
      <c r="E9" s="48" t="inlineStr">
        <is>
          <t>SPT</t>
        </is>
      </c>
      <c r="F9" s="44" t="n">
        <v>6.5</v>
      </c>
      <c r="G9" s="48" t="inlineStr">
        <is>
          <t>A115</t>
        </is>
      </c>
      <c r="H9" s="58" t="n">
        <v>100</v>
      </c>
      <c r="I9" s="44">
        <f>H9-SUM(J9:Q9)</f>
        <v/>
      </c>
      <c r="J9" s="44" t="n">
        <v>2.4</v>
      </c>
      <c r="K9" s="44" t="n">
        <v>25.69</v>
      </c>
      <c r="L9" s="44" t="n">
        <v>12.25</v>
      </c>
      <c r="M9" s="44" t="n">
        <v>18.01</v>
      </c>
      <c r="N9" s="44" t="n">
        <v>9.039999999999999</v>
      </c>
      <c r="O9" s="44" t="n">
        <v>3.44</v>
      </c>
      <c r="P9" s="44" t="n">
        <v>5.94</v>
      </c>
      <c r="Q9" s="44" t="n">
        <v>2.12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99" t="n"/>
      <c r="C10" s="99" t="n"/>
      <c r="D10" s="99" t="n"/>
      <c r="E10" s="48" t="inlineStr">
        <is>
          <t>SPT</t>
        </is>
      </c>
      <c r="F10" s="44" t="n">
        <v>7.5</v>
      </c>
      <c r="G10" s="48" t="inlineStr">
        <is>
          <t>A001</t>
        </is>
      </c>
      <c r="H10" s="58" t="n">
        <v>100</v>
      </c>
      <c r="I10" s="44">
        <f>H10-SUM(J10:Q10)</f>
        <v/>
      </c>
      <c r="J10" s="44" t="n">
        <v>0.25</v>
      </c>
      <c r="K10" s="44" t="n">
        <v>6.41</v>
      </c>
      <c r="L10" s="44" t="n">
        <v>19.94</v>
      </c>
      <c r="M10" s="44" t="n">
        <v>33.94</v>
      </c>
      <c r="N10" s="44" t="n">
        <v>6.1</v>
      </c>
      <c r="O10" s="44" t="n">
        <v>7.28</v>
      </c>
      <c r="P10" s="44" t="n">
        <v>3.42</v>
      </c>
      <c r="Q10" s="44" t="n">
        <v>1.64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70" t="n">
        <v>7</v>
      </c>
      <c r="B11" s="95" t="n"/>
      <c r="C11" s="95" t="n"/>
      <c r="D11" s="95" t="n"/>
      <c r="E11" s="48" t="inlineStr">
        <is>
          <t>SPT</t>
        </is>
      </c>
      <c r="F11" s="44" t="n">
        <v>10.5</v>
      </c>
      <c r="G11" s="48" t="inlineStr">
        <is>
          <t>A013</t>
        </is>
      </c>
      <c r="H11" s="58" t="n">
        <v>100</v>
      </c>
      <c r="I11" s="44">
        <f>H11-SUM(J11:Q11)</f>
        <v/>
      </c>
      <c r="J11" s="44" t="n">
        <v>0</v>
      </c>
      <c r="K11" s="44" t="n">
        <v>0.09</v>
      </c>
      <c r="L11" s="44" t="n">
        <v>0.08</v>
      </c>
      <c r="M11" s="44" t="n">
        <v>0.33</v>
      </c>
      <c r="N11" s="44" t="n">
        <v>1.27</v>
      </c>
      <c r="O11" s="44" t="n">
        <v>7.38</v>
      </c>
      <c r="P11" s="44" t="n">
        <v>44.67</v>
      </c>
      <c r="Q11" s="44" t="n">
        <v>12.47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A1:AC1"/>
    <mergeCell ref="D5:D11"/>
    <mergeCell ref="S2:Z2"/>
    <mergeCell ref="AB2:AB3"/>
    <mergeCell ref="E2:E3"/>
    <mergeCell ref="J2:R2"/>
    <mergeCell ref="AA2:AA3"/>
    <mergeCell ref="B2:B4"/>
    <mergeCell ref="AC2:AC3"/>
    <mergeCell ref="D2:D4"/>
    <mergeCell ref="C5:C11"/>
    <mergeCell ref="S4:Z4"/>
    <mergeCell ref="G2:G3"/>
    <mergeCell ref="I2:I3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L17" sqref="L17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0" t="inlineStr">
        <is>
          <t>Sr No.</t>
        </is>
      </c>
      <c r="B1" s="101" t="inlineStr">
        <is>
          <t>BH ID</t>
        </is>
      </c>
      <c r="C1" s="101" t="inlineStr">
        <is>
          <t>Depth</t>
        </is>
      </c>
      <c r="D1" s="100" t="inlineStr">
        <is>
          <t>Sample Type</t>
        </is>
      </c>
      <c r="E1" s="100" t="inlineStr">
        <is>
          <t xml:space="preserve">Temperature </t>
        </is>
      </c>
      <c r="F1" s="100" t="inlineStr">
        <is>
          <t xml:space="preserve">Coefficent of Viscosity </t>
        </is>
      </c>
      <c r="G1" s="100" t="inlineStr">
        <is>
          <t>SPGR</t>
        </is>
      </c>
      <c r="H1" s="100" t="inlineStr">
        <is>
          <t xml:space="preserve"> Meniscus Correction (Cm)</t>
        </is>
      </c>
      <c r="I1" s="76" t="inlineStr">
        <is>
          <t>Hydrometer No.</t>
        </is>
      </c>
      <c r="J1" s="100" t="inlineStr">
        <is>
          <t>Cylinder Type</t>
        </is>
      </c>
      <c r="K1" s="100" t="inlineStr">
        <is>
          <t>Mt (temperature correction)</t>
        </is>
      </c>
      <c r="L1" s="100" t="inlineStr">
        <is>
          <t>X (dispersion correction)</t>
        </is>
      </c>
      <c r="M1" s="78" t="inlineStr">
        <is>
          <t xml:space="preserve"> Hydrometer Reading at Elapsed Time (min)</t>
        </is>
      </c>
      <c r="N1" s="92" t="n"/>
      <c r="O1" s="92" t="n"/>
      <c r="P1" s="92" t="n"/>
      <c r="Q1" s="92" t="n"/>
      <c r="R1" s="92" t="n"/>
      <c r="S1" s="92" t="n"/>
      <c r="T1" s="92" t="n"/>
      <c r="U1" s="92" t="n"/>
      <c r="V1" s="92" t="n"/>
      <c r="W1" s="92" t="n"/>
      <c r="X1" s="92" t="n"/>
      <c r="Y1" s="93" t="n"/>
      <c r="Z1" s="78" t="inlineStr">
        <is>
          <t>Diameter of the particle at Elapsed Time</t>
        </is>
      </c>
      <c r="AA1" s="92" t="n"/>
      <c r="AB1" s="92" t="n"/>
      <c r="AC1" s="92" t="n"/>
      <c r="AD1" s="92" t="n"/>
      <c r="AE1" s="92" t="n"/>
      <c r="AF1" s="92" t="n"/>
      <c r="AG1" s="92" t="n"/>
      <c r="AH1" s="92" t="n"/>
      <c r="AI1" s="92" t="n"/>
      <c r="AJ1" s="92" t="n"/>
      <c r="AK1" s="92" t="n"/>
      <c r="AL1" s="93" t="n"/>
      <c r="AM1" s="79" t="inlineStr">
        <is>
          <t>Percentge finer than Diameter of the particle at Elapsed Time</t>
        </is>
      </c>
      <c r="AN1" s="92" t="n"/>
      <c r="AO1" s="92" t="n"/>
      <c r="AP1" s="92" t="n"/>
      <c r="AQ1" s="92" t="n"/>
      <c r="AR1" s="92" t="n"/>
      <c r="AS1" s="92" t="n"/>
      <c r="AT1" s="92" t="n"/>
      <c r="AU1" s="92" t="n"/>
      <c r="AV1" s="92" t="n"/>
      <c r="AW1" s="92" t="n"/>
      <c r="AX1" s="92" t="n"/>
      <c r="AY1" s="93" t="n"/>
      <c r="AZ1" s="22" t="n"/>
      <c r="BA1" s="22" t="n"/>
    </row>
    <row r="2">
      <c r="A2" s="94" t="n"/>
      <c r="B2" s="94" t="n"/>
      <c r="C2" s="94" t="n"/>
      <c r="D2" s="94" t="n"/>
      <c r="E2" s="94" t="n"/>
      <c r="F2" s="94" t="n"/>
      <c r="G2" s="94" t="n"/>
      <c r="H2" s="94" t="n"/>
      <c r="I2" s="99" t="n"/>
      <c r="J2" s="94" t="n"/>
      <c r="K2" s="94" t="n"/>
      <c r="L2" s="94" t="n"/>
      <c r="M2" s="102" t="n">
        <v>0.5</v>
      </c>
      <c r="N2" s="72" t="n">
        <v>1</v>
      </c>
      <c r="O2" s="72" t="n">
        <v>2</v>
      </c>
      <c r="P2" s="72" t="n">
        <v>4</v>
      </c>
      <c r="Q2" s="72" t="n">
        <v>8</v>
      </c>
      <c r="R2" s="72" t="n">
        <v>15</v>
      </c>
      <c r="S2" s="72" t="n">
        <v>30</v>
      </c>
      <c r="T2" s="72" t="n">
        <v>60</v>
      </c>
      <c r="U2" s="72" t="n">
        <v>120</v>
      </c>
      <c r="V2" s="72" t="n">
        <v>240</v>
      </c>
      <c r="W2" s="72" t="n">
        <v>480</v>
      </c>
      <c r="X2" s="72" t="n">
        <v>960</v>
      </c>
      <c r="Y2" s="72" t="n">
        <v>1440</v>
      </c>
      <c r="Z2" s="102" t="n">
        <v>0.5</v>
      </c>
      <c r="AA2" s="72" t="n">
        <v>1</v>
      </c>
      <c r="AB2" s="72" t="n">
        <v>2</v>
      </c>
      <c r="AC2" s="72" t="n">
        <v>4</v>
      </c>
      <c r="AD2" s="72" t="n">
        <v>8</v>
      </c>
      <c r="AE2" s="72" t="n">
        <v>15</v>
      </c>
      <c r="AF2" s="72" t="n">
        <v>30</v>
      </c>
      <c r="AG2" s="72" t="n">
        <v>60</v>
      </c>
      <c r="AH2" s="72" t="n">
        <v>120</v>
      </c>
      <c r="AI2" s="72" t="n">
        <v>240</v>
      </c>
      <c r="AJ2" s="72" t="n">
        <v>480</v>
      </c>
      <c r="AK2" s="72" t="n">
        <v>960</v>
      </c>
      <c r="AL2" s="72" t="n">
        <v>1440</v>
      </c>
      <c r="AM2" s="102" t="n">
        <v>0.5</v>
      </c>
      <c r="AN2" s="72" t="n">
        <v>1</v>
      </c>
      <c r="AO2" s="72" t="n">
        <v>2</v>
      </c>
      <c r="AP2" s="72" t="n">
        <v>4</v>
      </c>
      <c r="AQ2" s="72" t="n">
        <v>8</v>
      </c>
      <c r="AR2" s="72" t="n">
        <v>15</v>
      </c>
      <c r="AS2" s="72" t="n">
        <v>30</v>
      </c>
      <c r="AT2" s="72" t="n">
        <v>60</v>
      </c>
      <c r="AU2" s="72" t="n">
        <v>120</v>
      </c>
      <c r="AV2" s="72" t="n">
        <v>240</v>
      </c>
      <c r="AW2" s="72" t="n">
        <v>480</v>
      </c>
      <c r="AX2" s="72" t="n">
        <v>960</v>
      </c>
      <c r="AY2" s="72" t="n">
        <v>1440</v>
      </c>
      <c r="AZ2" s="22" t="n"/>
      <c r="BA2" s="22" t="n"/>
    </row>
    <row r="3">
      <c r="A3" s="94" t="n"/>
      <c r="B3" s="94" t="n"/>
      <c r="C3" s="94" t="n"/>
      <c r="D3" s="96" t="n"/>
      <c r="E3" s="96" t="n"/>
      <c r="F3" s="96" t="n"/>
      <c r="G3" s="96" t="n"/>
      <c r="H3" s="96" t="n"/>
      <c r="I3" s="95" t="n"/>
      <c r="J3" s="96" t="n"/>
      <c r="K3" s="96" t="n"/>
      <c r="L3" s="96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  <c r="AL3" s="95" t="n"/>
      <c r="AM3" s="95" t="n"/>
      <c r="AN3" s="95" t="n"/>
      <c r="AO3" s="95" t="n"/>
      <c r="AP3" s="95" t="n"/>
      <c r="AQ3" s="95" t="n"/>
      <c r="AR3" s="95" t="n"/>
      <c r="AS3" s="95" t="n"/>
      <c r="AT3" s="95" t="n"/>
      <c r="AU3" s="95" t="n"/>
      <c r="AV3" s="95" t="n"/>
      <c r="AW3" s="95" t="n"/>
      <c r="AX3" s="95" t="n"/>
      <c r="AY3" s="95" t="n"/>
      <c r="AZ3" s="22" t="n"/>
      <c r="BA3" s="22" t="n"/>
    </row>
    <row r="4">
      <c r="A4" s="96" t="n"/>
      <c r="B4" s="96" t="n"/>
      <c r="C4" s="96" t="n"/>
      <c r="D4" s="82" t="inlineStr">
        <is>
          <t>-</t>
        </is>
      </c>
      <c r="E4" s="82" t="inlineStr">
        <is>
          <t>(°C)</t>
        </is>
      </c>
      <c r="F4" s="82" t="inlineStr">
        <is>
          <t>Poise</t>
        </is>
      </c>
      <c r="G4" s="82" t="inlineStr">
        <is>
          <t>-</t>
        </is>
      </c>
      <c r="H4" s="82" t="inlineStr">
        <is>
          <t>-</t>
        </is>
      </c>
      <c r="I4" s="76" t="inlineStr">
        <is>
          <t>-</t>
        </is>
      </c>
      <c r="J4" s="73" t="n"/>
      <c r="K4" s="73" t="inlineStr">
        <is>
          <t>-</t>
        </is>
      </c>
      <c r="L4" s="73" t="inlineStr">
        <is>
          <t>-</t>
        </is>
      </c>
      <c r="M4" s="76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3" t="n"/>
      <c r="Z4" s="76" t="inlineStr">
        <is>
          <t>(mm)</t>
        </is>
      </c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3" t="n"/>
      <c r="AM4" s="76" t="inlineStr">
        <is>
          <t>(%)</t>
        </is>
      </c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W4" s="92" t="n"/>
      <c r="AX4" s="92" t="n"/>
      <c r="AY4" s="93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3">
        <f>(0.000000002615*E5^4) - (0.00000030607*E5^3) + (0.000016427499*E5^2) - (0.000618546309*E5) + 0.017919182437</f>
        <v/>
      </c>
      <c r="G5" s="104" t="n"/>
      <c r="H5" s="35" t="n">
        <v>0.0005</v>
      </c>
      <c r="I5" s="35" t="n">
        <v>1</v>
      </c>
      <c r="J5" s="35" t="n">
        <v>2</v>
      </c>
      <c r="K5" s="36">
        <f>(E5-27)*0.25</f>
        <v/>
      </c>
      <c r="L5" s="35" t="n">
        <v>0.3</v>
      </c>
      <c r="M5" s="104" t="n"/>
      <c r="N5" s="104" t="n"/>
      <c r="O5" s="104" t="n"/>
      <c r="P5" s="104" t="n"/>
      <c r="Q5" s="104" t="n"/>
      <c r="R5" s="104" t="n"/>
      <c r="S5" s="104" t="n"/>
      <c r="T5" s="104" t="n"/>
      <c r="U5" s="104" t="n"/>
      <c r="V5" s="104" t="n"/>
      <c r="W5" s="104" t="n"/>
      <c r="X5" s="104" t="n"/>
      <c r="Y5" s="104" t="n"/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3">
        <f>(0.000000002615*E6^4) - (0.00000030607*E6^3) + (0.000016427499*E6^2) - (0.000618546309*E6) + 0.017919182437</f>
        <v/>
      </c>
      <c r="G6" s="104" t="n"/>
      <c r="H6" s="35" t="n">
        <v>0.0005</v>
      </c>
      <c r="I6" s="35" t="n">
        <v>1</v>
      </c>
      <c r="J6" s="35" t="n">
        <v>2</v>
      </c>
      <c r="K6" s="36">
        <f>(E6-27)*0.25</f>
        <v/>
      </c>
      <c r="L6" s="35" t="n">
        <v>0.3</v>
      </c>
      <c r="M6" s="104" t="n"/>
      <c r="N6" s="104" t="n"/>
      <c r="O6" s="104" t="n"/>
      <c r="P6" s="104" t="n"/>
      <c r="Q6" s="104" t="n"/>
      <c r="R6" s="104" t="n"/>
      <c r="S6" s="104" t="n"/>
      <c r="T6" s="104" t="n"/>
      <c r="U6" s="104" t="n"/>
      <c r="V6" s="104" t="n"/>
      <c r="W6" s="104" t="n"/>
      <c r="X6" s="104" t="n"/>
      <c r="Y6" s="104" t="n"/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3" t="n">
        <v>0.008559421270000001</v>
      </c>
      <c r="G7" s="104" t="n">
        <v>2.66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4" t="n">
        <v>1.008</v>
      </c>
      <c r="N7" s="104" t="n">
        <v>1.008</v>
      </c>
      <c r="O7" s="104" t="n">
        <v>1.007</v>
      </c>
      <c r="P7" s="104" t="n">
        <v>1.007</v>
      </c>
      <c r="Q7" s="104" t="n">
        <v>1.007</v>
      </c>
      <c r="R7" s="104" t="n">
        <v>1.007</v>
      </c>
      <c r="S7" s="104" t="n">
        <v>1.006</v>
      </c>
      <c r="T7" s="104" t="n">
        <v>1.006</v>
      </c>
      <c r="U7" s="104" t="n">
        <v>1.006</v>
      </c>
      <c r="V7" s="104" t="n">
        <v>1.005</v>
      </c>
      <c r="W7" s="104" t="n">
        <v>1.005</v>
      </c>
      <c r="X7" s="104" t="n">
        <v>1.005</v>
      </c>
      <c r="Y7" s="104" t="n">
        <v>1.005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3" t="n">
        <v>0.008559421270000001</v>
      </c>
      <c r="G8" s="104" t="n">
        <v>2.69</v>
      </c>
      <c r="H8" s="35" t="n">
        <v>0.0005</v>
      </c>
      <c r="I8" s="35" t="n">
        <v>1</v>
      </c>
      <c r="J8" s="35" t="n">
        <v>1</v>
      </c>
      <c r="K8" s="36" t="n">
        <v>0</v>
      </c>
      <c r="L8" s="35" t="n">
        <v>0.3</v>
      </c>
      <c r="M8" s="104" t="n">
        <v>1.019</v>
      </c>
      <c r="N8" s="104" t="n">
        <v>1.019</v>
      </c>
      <c r="O8" s="104" t="n">
        <v>1.018</v>
      </c>
      <c r="P8" s="104" t="n">
        <v>1.017</v>
      </c>
      <c r="Q8" s="104" t="n">
        <v>1.017</v>
      </c>
      <c r="R8" s="104" t="n">
        <v>1.016</v>
      </c>
      <c r="S8" s="104" t="n">
        <v>1.015</v>
      </c>
      <c r="T8" s="104" t="n">
        <v>1.014</v>
      </c>
      <c r="U8" s="104" t="n">
        <v>1.013</v>
      </c>
      <c r="V8" s="104" t="n">
        <v>1.012</v>
      </c>
      <c r="W8" s="104" t="n">
        <v>1.011</v>
      </c>
      <c r="X8" s="104" t="n">
        <v>1.011</v>
      </c>
      <c r="Y8" s="104" t="n">
        <v>1.011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3">
        <f>(0.000000002615*E9^4) - (0.00000030607*E9^3) + (0.000016427499*E9^2) - (0.000618546309*E9) + 0.017919182437</f>
        <v/>
      </c>
      <c r="G9" s="104" t="n"/>
      <c r="H9" s="35" t="n">
        <v>0.0005</v>
      </c>
      <c r="I9" s="35" t="n">
        <v>1</v>
      </c>
      <c r="J9" s="35" t="n">
        <v>2</v>
      </c>
      <c r="K9" s="36">
        <f>(E9-27)*0.25</f>
        <v/>
      </c>
      <c r="L9" s="35" t="n">
        <v>0.3</v>
      </c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3">
        <f>(0.000000002615*E10^4) - (0.00000030607*E10^3) + (0.000016427499*E10^2) - (0.000618546309*E10) + 0.017919182437</f>
        <v/>
      </c>
      <c r="G10" s="104" t="n"/>
      <c r="H10" s="35" t="n">
        <v>0.0005</v>
      </c>
      <c r="I10" s="35" t="n">
        <v>1</v>
      </c>
      <c r="J10" s="35" t="n">
        <v>2</v>
      </c>
      <c r="K10" s="36">
        <f>(E10-27)*0.25</f>
        <v/>
      </c>
      <c r="L10" s="35" t="n">
        <v>0.3</v>
      </c>
      <c r="M10" s="104" t="n"/>
      <c r="N10" s="104" t="n"/>
      <c r="O10" s="104" t="n"/>
      <c r="P10" s="104" t="n"/>
      <c r="Q10" s="104" t="n"/>
      <c r="R10" s="104" t="n"/>
      <c r="S10" s="104" t="n"/>
      <c r="T10" s="104" t="n"/>
      <c r="U10" s="104" t="n"/>
      <c r="V10" s="104" t="n"/>
      <c r="W10" s="104" t="n"/>
      <c r="X10" s="104" t="n"/>
      <c r="Y10" s="104" t="n"/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3" t="n">
        <v>0.008559421270000001</v>
      </c>
      <c r="G11" s="104" t="n">
        <v>2.66</v>
      </c>
      <c r="H11" s="35" t="n">
        <v>0.0005</v>
      </c>
      <c r="I11" s="35" t="n">
        <v>1</v>
      </c>
      <c r="J11" s="35" t="n">
        <v>1</v>
      </c>
      <c r="K11" s="36" t="n">
        <v>0</v>
      </c>
      <c r="L11" s="35" t="n">
        <v>0.3</v>
      </c>
      <c r="M11" s="104" t="n">
        <v>1.011</v>
      </c>
      <c r="N11" s="104" t="n">
        <v>1.01</v>
      </c>
      <c r="O11" s="104" t="n">
        <v>1.01</v>
      </c>
      <c r="P11" s="104" t="n">
        <v>1.009</v>
      </c>
      <c r="Q11" s="104" t="n">
        <v>1.009</v>
      </c>
      <c r="R11" s="104" t="n">
        <v>1.008</v>
      </c>
      <c r="S11" s="104" t="n">
        <v>1.007</v>
      </c>
      <c r="T11" s="104" t="n">
        <v>1.007</v>
      </c>
      <c r="U11" s="104" t="n">
        <v>1.006</v>
      </c>
      <c r="V11" s="104" t="n">
        <v>1.005</v>
      </c>
      <c r="W11" s="104" t="n">
        <v>1.005</v>
      </c>
      <c r="X11" s="104" t="n">
        <v>1.004</v>
      </c>
      <c r="Y11" s="104" t="n">
        <v>1.004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/>
      <c r="B12" s="35" t="n"/>
      <c r="C12" s="36" t="n"/>
      <c r="D12" s="35" t="n"/>
      <c r="E12" s="36" t="n"/>
      <c r="F12" s="103" t="n"/>
      <c r="G12" s="104" t="n"/>
      <c r="H12" s="35" t="n"/>
      <c r="I12" s="35" t="n"/>
      <c r="J12" s="35" t="n"/>
      <c r="K12" s="36" t="n"/>
      <c r="L12" s="35" t="n"/>
      <c r="M12" s="104" t="n"/>
      <c r="N12" s="104" t="n"/>
      <c r="O12" s="104" t="n"/>
      <c r="P12" s="104" t="n"/>
      <c r="Q12" s="104" t="n"/>
      <c r="R12" s="104" t="n"/>
      <c r="S12" s="104" t="n"/>
      <c r="T12" s="104" t="n"/>
      <c r="U12" s="104" t="n"/>
      <c r="V12" s="104" t="n"/>
      <c r="W12" s="104" t="n"/>
      <c r="X12" s="104" t="n"/>
      <c r="Y12" s="104" t="n"/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/>
      <c r="B13" s="35" t="n"/>
      <c r="C13" s="36" t="n"/>
      <c r="D13" s="35" t="n"/>
      <c r="E13" s="36" t="n"/>
      <c r="F13" s="103" t="n"/>
      <c r="G13" s="104" t="n"/>
      <c r="H13" s="35" t="n"/>
      <c r="I13" s="35" t="n"/>
      <c r="J13" s="35" t="n"/>
      <c r="K13" s="36" t="n"/>
      <c r="L13" s="35" t="n"/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D1" zoomScale="130" zoomScaleNormal="130" workbookViewId="0">
      <selection activeCell="K16" sqref="K16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7" t="inlineStr">
        <is>
          <t>SR No.</t>
        </is>
      </c>
      <c r="B2" s="87" t="inlineStr">
        <is>
          <t>BH ID</t>
        </is>
      </c>
      <c r="C2" s="87" t="inlineStr">
        <is>
          <t>Depth</t>
        </is>
      </c>
      <c r="D2" s="86" t="inlineStr">
        <is>
          <t>Particle Size in mm (GSD)</t>
        </is>
      </c>
      <c r="E2" s="92" t="n"/>
      <c r="F2" s="92" t="n"/>
      <c r="G2" s="92" t="n"/>
      <c r="H2" s="92" t="n"/>
      <c r="I2" s="92" t="n"/>
      <c r="J2" s="92" t="n"/>
      <c r="K2" s="93" t="n"/>
      <c r="L2" s="86" t="inlineStr">
        <is>
          <t>Particle Size in mm (HYD)</t>
        </is>
      </c>
      <c r="M2" s="92" t="n"/>
      <c r="N2" s="92" t="n"/>
      <c r="O2" s="92" t="n"/>
      <c r="P2" s="92" t="n"/>
      <c r="Q2" s="92" t="n"/>
      <c r="R2" s="92" t="n"/>
      <c r="S2" s="92" t="n"/>
      <c r="T2" s="92" t="n"/>
      <c r="U2" s="92" t="n"/>
      <c r="V2" s="92" t="n"/>
      <c r="W2" s="92" t="n"/>
      <c r="X2" s="93" t="n"/>
      <c r="Y2" s="87" t="inlineStr">
        <is>
          <t>% Passing (GSD)</t>
        </is>
      </c>
      <c r="Z2" s="92" t="n"/>
      <c r="AA2" s="92" t="n"/>
      <c r="AB2" s="92" t="n"/>
      <c r="AC2" s="92" t="n"/>
      <c r="AD2" s="92" t="n"/>
      <c r="AE2" s="92" t="n"/>
      <c r="AF2" s="93" t="n"/>
      <c r="AG2" s="86" t="inlineStr">
        <is>
          <t>% Passing (HYD)</t>
        </is>
      </c>
      <c r="AH2" s="92" t="n"/>
      <c r="AI2" s="92" t="n"/>
      <c r="AJ2" s="92" t="n"/>
      <c r="AK2" s="92" t="n"/>
      <c r="AL2" s="92" t="n"/>
      <c r="AM2" s="92" t="n"/>
      <c r="AN2" s="92" t="n"/>
      <c r="AO2" s="92" t="n"/>
      <c r="AP2" s="92" t="n"/>
      <c r="AQ2" s="92" t="n"/>
      <c r="AR2" s="92" t="n"/>
      <c r="AS2" s="93" t="n"/>
      <c r="AT2" s="87" t="inlineStr">
        <is>
          <t>% Gravel</t>
        </is>
      </c>
      <c r="AU2" s="87" t="inlineStr">
        <is>
          <t>% Sand</t>
        </is>
      </c>
      <c r="AV2" s="87" t="inlineStr">
        <is>
          <t>% Silt</t>
        </is>
      </c>
      <c r="AW2" s="87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5" t="n">
        <v>4.75</v>
      </c>
      <c r="E3" s="105" t="n">
        <v>2</v>
      </c>
      <c r="F3" s="105" t="n">
        <v>1.18</v>
      </c>
      <c r="G3" s="105" t="n">
        <v>0.6</v>
      </c>
      <c r="H3" s="105" t="n">
        <v>0.425</v>
      </c>
      <c r="I3" s="105" t="n">
        <v>0.3</v>
      </c>
      <c r="J3" s="105" t="n">
        <v>0.15</v>
      </c>
      <c r="K3" s="105" t="n">
        <v>0.075</v>
      </c>
      <c r="L3" s="106">
        <f>HYD!Z5</f>
        <v/>
      </c>
      <c r="M3" s="106">
        <f>HYD!AA5</f>
        <v/>
      </c>
      <c r="N3" s="106">
        <f>HYD!AB5</f>
        <v/>
      </c>
      <c r="O3" s="106">
        <f>HYD!AC5</f>
        <v/>
      </c>
      <c r="P3" s="106">
        <f>HYD!AD5</f>
        <v/>
      </c>
      <c r="Q3" s="106">
        <f>HYD!AE5</f>
        <v/>
      </c>
      <c r="R3" s="106">
        <f>HYD!AF5</f>
        <v/>
      </c>
      <c r="S3" s="106">
        <f>HYD!AG5</f>
        <v/>
      </c>
      <c r="T3" s="106">
        <f>HYD!AH5</f>
        <v/>
      </c>
      <c r="U3" s="106">
        <f>HYD!AI5</f>
        <v/>
      </c>
      <c r="V3" s="106">
        <f>HYD!AJ5</f>
        <v/>
      </c>
      <c r="W3" s="106">
        <f>HYD!AK5</f>
        <v/>
      </c>
      <c r="X3" s="106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/>
      <c r="AU3" s="53" t="n"/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5" t="n">
        <v>4.75</v>
      </c>
      <c r="E4" s="105" t="n">
        <v>2</v>
      </c>
      <c r="F4" s="105" t="n">
        <v>1.18</v>
      </c>
      <c r="G4" s="105" t="n">
        <v>0.6</v>
      </c>
      <c r="H4" s="105" t="n">
        <v>0.425</v>
      </c>
      <c r="I4" s="105" t="n">
        <v>0.3</v>
      </c>
      <c r="J4" s="105" t="n">
        <v>0.15</v>
      </c>
      <c r="K4" s="105" t="n">
        <v>0.075</v>
      </c>
      <c r="L4" s="106">
        <f>HYD!Z6</f>
        <v/>
      </c>
      <c r="M4" s="106">
        <f>HYD!AA6</f>
        <v/>
      </c>
      <c r="N4" s="106">
        <f>HYD!AB6</f>
        <v/>
      </c>
      <c r="O4" s="106">
        <f>HYD!AC6</f>
        <v/>
      </c>
      <c r="P4" s="106">
        <f>HYD!AD6</f>
        <v/>
      </c>
      <c r="Q4" s="106">
        <f>HYD!AE6</f>
        <v/>
      </c>
      <c r="R4" s="106">
        <f>HYD!AF6</f>
        <v/>
      </c>
      <c r="S4" s="106">
        <f>HYD!AG6</f>
        <v/>
      </c>
      <c r="T4" s="106">
        <f>HYD!AH6</f>
        <v/>
      </c>
      <c r="U4" s="106">
        <f>HYD!AI6</f>
        <v/>
      </c>
      <c r="V4" s="106">
        <f>HYD!AJ6</f>
        <v/>
      </c>
      <c r="W4" s="106">
        <f>HYD!AK6</f>
        <v/>
      </c>
      <c r="X4" s="106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/>
      <c r="AU4" s="53" t="n"/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5" t="n">
        <v>4.75</v>
      </c>
      <c r="E5" s="105" t="n">
        <v>2</v>
      </c>
      <c r="F5" s="105" t="n">
        <v>1.18</v>
      </c>
      <c r="G5" s="105" t="n">
        <v>0.6</v>
      </c>
      <c r="H5" s="105" t="n">
        <v>0.425</v>
      </c>
      <c r="I5" s="105" t="n">
        <v>0.3</v>
      </c>
      <c r="J5" s="105" t="n">
        <v>0.15</v>
      </c>
      <c r="K5" s="105" t="n">
        <v>0.075</v>
      </c>
      <c r="L5" s="106">
        <f>HYD!Z7</f>
        <v/>
      </c>
      <c r="M5" s="106">
        <f>HYD!AA7</f>
        <v/>
      </c>
      <c r="N5" s="106">
        <f>HYD!AB7</f>
        <v/>
      </c>
      <c r="O5" s="106">
        <f>HYD!AC7</f>
        <v/>
      </c>
      <c r="P5" s="106">
        <f>HYD!AD7</f>
        <v/>
      </c>
      <c r="Q5" s="106">
        <f>HYD!AE7</f>
        <v/>
      </c>
      <c r="R5" s="106">
        <f>HYD!AF7</f>
        <v/>
      </c>
      <c r="S5" s="106">
        <f>HYD!AG7</f>
        <v/>
      </c>
      <c r="T5" s="106">
        <f>HYD!AH7</f>
        <v/>
      </c>
      <c r="U5" s="106">
        <f>HYD!AI7</f>
        <v/>
      </c>
      <c r="V5" s="106">
        <f>HYD!AJ7</f>
        <v/>
      </c>
      <c r="W5" s="106">
        <f>HYD!AK7</f>
        <v/>
      </c>
      <c r="X5" s="106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/>
      <c r="AU5" s="53" t="n"/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5" t="n">
        <v>4.75</v>
      </c>
      <c r="E6" s="105" t="n">
        <v>2</v>
      </c>
      <c r="F6" s="105" t="n">
        <v>1.18</v>
      </c>
      <c r="G6" s="105" t="n">
        <v>0.6</v>
      </c>
      <c r="H6" s="105" t="n">
        <v>0.425</v>
      </c>
      <c r="I6" s="105" t="n">
        <v>0.3</v>
      </c>
      <c r="J6" s="105" t="n">
        <v>0.15</v>
      </c>
      <c r="K6" s="105" t="n">
        <v>0.075</v>
      </c>
      <c r="L6" s="106">
        <f>HYD!Z8</f>
        <v/>
      </c>
      <c r="M6" s="106">
        <f>HYD!AA8</f>
        <v/>
      </c>
      <c r="N6" s="106">
        <f>HYD!AB8</f>
        <v/>
      </c>
      <c r="O6" s="106">
        <f>HYD!AC8</f>
        <v/>
      </c>
      <c r="P6" s="106">
        <f>HYD!AD8</f>
        <v/>
      </c>
      <c r="Q6" s="106">
        <f>HYD!AE8</f>
        <v/>
      </c>
      <c r="R6" s="106">
        <f>HYD!AF8</f>
        <v/>
      </c>
      <c r="S6" s="106">
        <f>HYD!AG8</f>
        <v/>
      </c>
      <c r="T6" s="106">
        <f>HYD!AH8</f>
        <v/>
      </c>
      <c r="U6" s="106">
        <f>HYD!AI8</f>
        <v/>
      </c>
      <c r="V6" s="106">
        <f>HYD!AJ8</f>
        <v/>
      </c>
      <c r="W6" s="106">
        <f>HYD!AK8</f>
        <v/>
      </c>
      <c r="X6" s="106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/>
      <c r="AU6" s="53" t="n"/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5" t="n">
        <v>4.75</v>
      </c>
      <c r="E7" s="105" t="n">
        <v>2</v>
      </c>
      <c r="F7" s="105" t="n">
        <v>1.18</v>
      </c>
      <c r="G7" s="105" t="n">
        <v>0.6</v>
      </c>
      <c r="H7" s="105" t="n">
        <v>0.425</v>
      </c>
      <c r="I7" s="105" t="n">
        <v>0.3</v>
      </c>
      <c r="J7" s="105" t="n">
        <v>0.15</v>
      </c>
      <c r="K7" s="105" t="n">
        <v>0.075</v>
      </c>
      <c r="L7" s="106">
        <f>HYD!Z9</f>
        <v/>
      </c>
      <c r="M7" s="106">
        <f>HYD!AA9</f>
        <v/>
      </c>
      <c r="N7" s="106">
        <f>HYD!AB9</f>
        <v/>
      </c>
      <c r="O7" s="106">
        <f>HYD!AC9</f>
        <v/>
      </c>
      <c r="P7" s="106">
        <f>HYD!AD9</f>
        <v/>
      </c>
      <c r="Q7" s="106">
        <f>HYD!AE9</f>
        <v/>
      </c>
      <c r="R7" s="106">
        <f>HYD!AF9</f>
        <v/>
      </c>
      <c r="S7" s="106">
        <f>HYD!AG9</f>
        <v/>
      </c>
      <c r="T7" s="106">
        <f>HYD!AH9</f>
        <v/>
      </c>
      <c r="U7" s="106">
        <f>HYD!AI9</f>
        <v/>
      </c>
      <c r="V7" s="106">
        <f>HYD!AJ9</f>
        <v/>
      </c>
      <c r="W7" s="106">
        <f>HYD!AK9</f>
        <v/>
      </c>
      <c r="X7" s="106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/>
      <c r="AU7" s="53" t="n"/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5" t="n">
        <v>4.75</v>
      </c>
      <c r="E8" s="105" t="n">
        <v>2</v>
      </c>
      <c r="F8" s="105" t="n">
        <v>1.18</v>
      </c>
      <c r="G8" s="105" t="n">
        <v>0.6</v>
      </c>
      <c r="H8" s="105" t="n">
        <v>0.425</v>
      </c>
      <c r="I8" s="105" t="n">
        <v>0.3</v>
      </c>
      <c r="J8" s="105" t="n">
        <v>0.15</v>
      </c>
      <c r="K8" s="105" t="n">
        <v>0.075</v>
      </c>
      <c r="L8" s="106">
        <f>HYD!Z10</f>
        <v/>
      </c>
      <c r="M8" s="106">
        <f>HYD!AA10</f>
        <v/>
      </c>
      <c r="N8" s="106">
        <f>HYD!AB10</f>
        <v/>
      </c>
      <c r="O8" s="106">
        <f>HYD!AC10</f>
        <v/>
      </c>
      <c r="P8" s="106">
        <f>HYD!AD10</f>
        <v/>
      </c>
      <c r="Q8" s="106">
        <f>HYD!AE10</f>
        <v/>
      </c>
      <c r="R8" s="106">
        <f>HYD!AF10</f>
        <v/>
      </c>
      <c r="S8" s="106">
        <f>HYD!AG10</f>
        <v/>
      </c>
      <c r="T8" s="106">
        <f>HYD!AH10</f>
        <v/>
      </c>
      <c r="U8" s="106">
        <f>HYD!AI10</f>
        <v/>
      </c>
      <c r="V8" s="106">
        <f>HYD!AJ10</f>
        <v/>
      </c>
      <c r="W8" s="106">
        <f>HYD!AK10</f>
        <v/>
      </c>
      <c r="X8" s="106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/>
      <c r="AU8" s="53" t="n"/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5" t="n">
        <v>4.75</v>
      </c>
      <c r="E9" s="105" t="n">
        <v>2</v>
      </c>
      <c r="F9" s="105" t="n">
        <v>1.18</v>
      </c>
      <c r="G9" s="105" t="n">
        <v>0.6</v>
      </c>
      <c r="H9" s="105" t="n">
        <v>0.425</v>
      </c>
      <c r="I9" s="105" t="n">
        <v>0.3</v>
      </c>
      <c r="J9" s="105" t="n">
        <v>0.15</v>
      </c>
      <c r="K9" s="105" t="n">
        <v>0.075</v>
      </c>
      <c r="L9" s="106">
        <f>HYD!Z11</f>
        <v/>
      </c>
      <c r="M9" s="106">
        <f>HYD!AA11</f>
        <v/>
      </c>
      <c r="N9" s="106">
        <f>HYD!AB11</f>
        <v/>
      </c>
      <c r="O9" s="106">
        <f>HYD!AC11</f>
        <v/>
      </c>
      <c r="P9" s="106">
        <f>HYD!AD11</f>
        <v/>
      </c>
      <c r="Q9" s="106">
        <f>HYD!AE11</f>
        <v/>
      </c>
      <c r="R9" s="106">
        <f>HYD!AF11</f>
        <v/>
      </c>
      <c r="S9" s="106">
        <f>HYD!AG11</f>
        <v/>
      </c>
      <c r="T9" s="106">
        <f>HYD!AH11</f>
        <v/>
      </c>
      <c r="U9" s="106">
        <f>HYD!AI11</f>
        <v/>
      </c>
      <c r="V9" s="106">
        <f>HYD!AJ11</f>
        <v/>
      </c>
      <c r="W9" s="106">
        <f>HYD!AK11</f>
        <v/>
      </c>
      <c r="X9" s="106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/>
      <c r="AU9" s="55" t="n"/>
      <c r="AV9" s="55" t="n"/>
      <c r="AW9" s="55" t="n"/>
    </row>
    <row r="10" s="41">
      <c r="A10" s="54" t="n"/>
      <c r="B10" s="54" t="n"/>
      <c r="C10" s="50" t="n"/>
      <c r="D10" s="105" t="n"/>
      <c r="E10" s="105" t="n"/>
      <c r="F10" s="105" t="n"/>
      <c r="G10" s="105" t="n"/>
      <c r="H10" s="105" t="n"/>
      <c r="I10" s="105" t="n"/>
      <c r="J10" s="105" t="n"/>
      <c r="K10" s="105" t="n"/>
      <c r="L10" s="106" t="n"/>
      <c r="M10" s="106" t="n"/>
      <c r="N10" s="106" t="n"/>
      <c r="O10" s="106" t="n"/>
      <c r="P10" s="106" t="n"/>
      <c r="Q10" s="106" t="n"/>
      <c r="R10" s="106" t="n"/>
      <c r="S10" s="106" t="n"/>
      <c r="T10" s="106" t="n"/>
      <c r="U10" s="106" t="n"/>
      <c r="V10" s="106" t="n"/>
      <c r="W10" s="106" t="n"/>
      <c r="X10" s="106" t="n"/>
      <c r="Y10" s="53" t="n"/>
      <c r="Z10" s="53" t="n"/>
      <c r="AA10" s="53" t="n"/>
      <c r="AB10" s="53" t="n"/>
      <c r="AC10" s="53" t="n"/>
      <c r="AD10" s="53" t="n"/>
      <c r="AE10" s="53" t="n"/>
      <c r="AF10" s="53" t="n"/>
      <c r="AG10" s="53" t="n"/>
      <c r="AH10" s="53" t="n"/>
      <c r="AI10" s="53" t="n"/>
      <c r="AJ10" s="53" t="n"/>
      <c r="AK10" s="53" t="n"/>
      <c r="AL10" s="53" t="n"/>
      <c r="AM10" s="53" t="n"/>
      <c r="AN10" s="53" t="n"/>
      <c r="AO10" s="53" t="n"/>
      <c r="AP10" s="53" t="n"/>
      <c r="AQ10" s="53" t="n"/>
      <c r="AR10" s="53" t="n"/>
      <c r="AS10" s="53" t="n"/>
      <c r="AT10" s="55" t="n"/>
      <c r="AU10" s="55" t="n"/>
      <c r="AV10" s="55" t="n"/>
      <c r="AW10" s="55" t="n"/>
    </row>
    <row r="11" s="41">
      <c r="A11" s="54" t="n"/>
      <c r="B11" s="54" t="n"/>
      <c r="C11" s="50" t="n"/>
      <c r="D11" s="105" t="n"/>
      <c r="E11" s="105" t="n"/>
      <c r="F11" s="105" t="n"/>
      <c r="G11" s="105" t="n"/>
      <c r="H11" s="105" t="n"/>
      <c r="I11" s="105" t="n"/>
      <c r="J11" s="105" t="n"/>
      <c r="K11" s="105" t="n"/>
      <c r="L11" s="106" t="n"/>
      <c r="M11" s="106" t="n"/>
      <c r="N11" s="106" t="n"/>
      <c r="O11" s="106" t="n"/>
      <c r="P11" s="106" t="n"/>
      <c r="Q11" s="106" t="n"/>
      <c r="R11" s="106" t="n"/>
      <c r="S11" s="106" t="n"/>
      <c r="T11" s="106" t="n"/>
      <c r="U11" s="106" t="n"/>
      <c r="V11" s="106" t="n"/>
      <c r="W11" s="106" t="n"/>
      <c r="X11" s="106" t="n"/>
      <c r="Y11" s="53" t="n"/>
      <c r="Z11" s="53" t="n"/>
      <c r="AA11" s="53" t="n"/>
      <c r="AB11" s="53" t="n"/>
      <c r="AC11" s="53" t="n"/>
      <c r="AD11" s="53" t="n"/>
      <c r="AE11" s="53" t="n"/>
      <c r="AF11" s="53" t="n"/>
      <c r="AG11" s="53" t="n"/>
      <c r="AH11" s="53" t="n"/>
      <c r="AI11" s="53" t="n"/>
      <c r="AJ11" s="53" t="n"/>
      <c r="AK11" s="53" t="n"/>
      <c r="AL11" s="53" t="n"/>
      <c r="AM11" s="53" t="n"/>
      <c r="AN11" s="53" t="n"/>
      <c r="AO11" s="53" t="n"/>
      <c r="AP11" s="53" t="n"/>
      <c r="AQ11" s="53" t="n"/>
      <c r="AR11" s="53" t="n"/>
      <c r="AS11" s="53" t="n"/>
      <c r="AT11" s="55" t="n"/>
      <c r="AU11" s="55" t="n"/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2026-09-19T06:08:13Z</dcterms:modified>
  <cp:lastModifiedBy>baps</cp:lastModifiedBy>
</cp:coreProperties>
</file>