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3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'GSD'!$A$1:$AC$13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0"/>
    <numFmt numFmtId="166" formatCode="0.0000"/>
    <numFmt numFmtId="167" formatCode="0.00000"/>
    <numFmt numFmtId="168" formatCode="0.0"/>
  </numFmts>
  <fonts count="13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  <font>
      <name val="Calibri"/>
      <family val="2"/>
      <color rgb="FFF8F8F8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3" fillId="0" borderId="0"/>
    <xf numFmtId="0" fontId="3" fillId="0" borderId="0"/>
  </cellStyleXfs>
  <cellXfs count="107">
    <xf numFmtId="0" fontId="0" fillId="0" borderId="0" pivotButton="0" quotePrefix="0" xfId="0"/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4" borderId="1" applyAlignment="1" pivotButton="0" quotePrefix="0" xfId="0">
      <alignment horizontal="center" vertical="center"/>
    </xf>
    <xf numFmtId="2" fontId="11" fillId="4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3" fillId="3" borderId="0" pivotButton="0" quotePrefix="0" xfId="1"/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0" borderId="1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0" fontId="0" fillId="0" borderId="0" pivotButton="0" quotePrefix="0" xfId="0"/>
    <xf numFmtId="0" fontId="12" fillId="0" borderId="1" applyAlignment="1" pivotButton="0" quotePrefix="0" xfId="1">
      <alignment horizontal="center" vertical="center"/>
    </xf>
    <xf numFmtId="2" fontId="1" fillId="0" borderId="1" applyAlignment="1" pivotButton="0" quotePrefix="0" xfId="0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9" applyAlignment="1" pivotButton="0" quotePrefix="0" xfId="1">
      <alignment horizontal="center" vertical="center" textRotation="90" wrapText="1"/>
    </xf>
    <xf numFmtId="0" fontId="5" fillId="0" borderId="9" applyAlignment="1" pivotButton="0" quotePrefix="0" xfId="1">
      <alignment horizontal="center" vertical="center" textRotation="90"/>
    </xf>
    <xf numFmtId="0" fontId="5" fillId="0" borderId="9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9" applyAlignment="1" pivotButton="0" quotePrefix="0" xfId="0">
      <alignment horizontal="center" vertical="center" wrapText="1"/>
    </xf>
    <xf numFmtId="0" fontId="7" fillId="0" borderId="9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GSD!$S$5:$Z$5</f>
              <numCache>
                <formatCode>0.00</formatCode>
                <ptCount val="8"/>
                <pt idx="0">
                  <v>100</v>
                </pt>
                <pt idx="1">
                  <v>99.94</v>
                </pt>
                <pt idx="2">
                  <v>99.90000000000001</v>
                </pt>
                <pt idx="3">
                  <v>99.04000000000001</v>
                </pt>
                <pt idx="4">
                  <v>85.41</v>
                </pt>
                <pt idx="5">
                  <v>72.22</v>
                </pt>
                <pt idx="6">
                  <v>46.07</v>
                </pt>
                <pt idx="7">
                  <v>32.45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GSD!$S$6:$Z$6</f>
              <numCache>
                <formatCode>0.00</formatCode>
                <ptCount val="8"/>
                <pt idx="0">
                  <v>98.19</v>
                </pt>
                <pt idx="1">
                  <v>97.845</v>
                </pt>
                <pt idx="2">
                  <v>97.69499999999999</v>
                </pt>
                <pt idx="3">
                  <v>96.545</v>
                </pt>
                <pt idx="4">
                  <v>79.505</v>
                </pt>
                <pt idx="5">
                  <v>69.47</v>
                </pt>
                <pt idx="6">
                  <v>66.875</v>
                </pt>
                <pt idx="7">
                  <v>59.00500000000001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GSD!$S$7:$Z$7</f>
              <numCache>
                <formatCode>0.00</formatCode>
                <ptCount val="8"/>
                <pt idx="0">
                  <v>97.62</v>
                </pt>
                <pt idx="1">
                  <v>95.94</v>
                </pt>
                <pt idx="2">
                  <v>95.66</v>
                </pt>
                <pt idx="3">
                  <v>94.36</v>
                </pt>
                <pt idx="4">
                  <v>84.78</v>
                </pt>
                <pt idx="5">
                  <v>77.06999999999999</v>
                </pt>
                <pt idx="6">
                  <v>48.81</v>
                </pt>
                <pt idx="7">
                  <v>34.66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GSD!$S$8:$Z$8</f>
              <numCache>
                <formatCode>0.00</formatCode>
                <ptCount val="8"/>
                <pt idx="0">
                  <v>86.94499999999999</v>
                </pt>
                <pt idx="1">
                  <v>85.295</v>
                </pt>
                <pt idx="2">
                  <v>84.875</v>
                </pt>
                <pt idx="3">
                  <v>83.84</v>
                </pt>
                <pt idx="4">
                  <v>77.645</v>
                </pt>
                <pt idx="5">
                  <v>73.23999999999999</v>
                </pt>
                <pt idx="6">
                  <v>41.7</v>
                </pt>
                <pt idx="7">
                  <v>34.19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GSD!$S$9:$Z$9</f>
              <numCache>
                <formatCode>0.00</formatCode>
                <ptCount val="8"/>
                <pt idx="0">
                  <v>94.54000000000001</v>
                </pt>
                <pt idx="1">
                  <v>92.65000000000001</v>
                </pt>
                <pt idx="2">
                  <v>92.28</v>
                </pt>
                <pt idx="3">
                  <v>90.25</v>
                </pt>
                <pt idx="4">
                  <v>75.64</v>
                </pt>
                <pt idx="5">
                  <v>65.5</v>
                </pt>
                <pt idx="6">
                  <v>40.73</v>
                </pt>
                <pt idx="7">
                  <v>31.69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GSD!$S$10:$Z$10</f>
              <numCache>
                <formatCode>0.00</formatCode>
                <ptCount val="8"/>
                <pt idx="0">
                  <v>100</v>
                </pt>
                <pt idx="1">
                  <v>99.69</v>
                </pt>
                <pt idx="2">
                  <v>99.55</v>
                </pt>
                <pt idx="3">
                  <v>99.31</v>
                </pt>
                <pt idx="4">
                  <v>96.55</v>
                </pt>
                <pt idx="5">
                  <v>87.06999999999999</v>
                </pt>
                <pt idx="6">
                  <v>42.39</v>
                </pt>
                <pt idx="7">
                  <v>29.92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GSD!$S$11:$Z$11</f>
              <numCache>
                <formatCode>0.00</formatCode>
                <ptCount val="8"/>
                <pt idx="0">
                  <v>99.68000000000001</v>
                </pt>
                <pt idx="1">
                  <v>98.79000000000001</v>
                </pt>
                <pt idx="2">
                  <v>98.42</v>
                </pt>
                <pt idx="3">
                  <v>96.73</v>
                </pt>
                <pt idx="4">
                  <v>83.73</v>
                </pt>
                <pt idx="5">
                  <v>70.37</v>
                </pt>
                <pt idx="6">
                  <v>39.15000000000001</v>
                </pt>
                <pt idx="7">
                  <v>28.71000000000001</v>
                </pt>
              </numCache>
            </numRef>
          </yVal>
          <smooth val="1"/>
        </ser>
        <ser>
          <idx val="7"/>
          <order val="7"/>
          <tx>
            <strRef>
              <f>GSD!$F$12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GSD!$S$12:$Z$12</f>
              <numCache>
                <formatCode>0.00</formatCode>
                <ptCount val="8"/>
                <pt idx="0">
                  <v>98.73</v>
                </pt>
                <pt idx="1">
                  <v>97.7</v>
                </pt>
                <pt idx="2">
                  <v>97.09999999999999</v>
                </pt>
                <pt idx="3">
                  <v>94.98999999999999</v>
                </pt>
                <pt idx="4">
                  <v>67.99000000000001</v>
                </pt>
                <pt idx="5">
                  <v>57.09000000000001</v>
                </pt>
                <pt idx="6">
                  <v>27.72</v>
                </pt>
                <pt idx="7">
                  <v>20.59</v>
                </pt>
              </numCache>
            </numRef>
          </yVal>
          <smooth val="1"/>
        </ser>
        <ser>
          <idx val="8"/>
          <order val="8"/>
          <tx>
            <strRef>
              <f>GSD!$F$13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GSD!$S$13:$Z$13</f>
              <numCache>
                <formatCode>0.00</formatCode>
                <ptCount val="8"/>
                <pt idx="0">
                  <v>100</v>
                </pt>
                <pt idx="1">
                  <v>99.61</v>
                </pt>
                <pt idx="2">
                  <v>99.15000000000001</v>
                </pt>
                <pt idx="3">
                  <v>97.47</v>
                </pt>
                <pt idx="4">
                  <v>83.13</v>
                </pt>
                <pt idx="5">
                  <v>68.46000000000001</v>
                </pt>
                <pt idx="6">
                  <v>34.78999999999999</v>
                </pt>
                <pt idx="7">
                  <v>21.61999999999999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81881072461557"/>
          <h val="0.680911798081731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7729734471630617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PLOT!$D$3:$X$3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PLOT!$Y$3:$AS$3</f>
              <numCache>
                <formatCode>0.00</formatCode>
                <ptCount val="21"/>
                <pt idx="0">
                  <v>100</v>
                </pt>
                <pt idx="1">
                  <v>99.94</v>
                </pt>
                <pt idx="2">
                  <v>99.90000000000001</v>
                </pt>
                <pt idx="3">
                  <v>99.04000000000001</v>
                </pt>
                <pt idx="4">
                  <v>85.41</v>
                </pt>
                <pt idx="5">
                  <v>72.22</v>
                </pt>
                <pt idx="6">
                  <v>46.07</v>
                </pt>
                <pt idx="7">
                  <v>32.45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PLOT!$D$4:$X$4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PLOT!$Y$4:$AS$4</f>
              <numCache>
                <formatCode>0.00</formatCode>
                <ptCount val="21"/>
                <pt idx="0">
                  <v>98.19</v>
                </pt>
                <pt idx="1">
                  <v>97.845</v>
                </pt>
                <pt idx="2">
                  <v>97.69499999999999</v>
                </pt>
                <pt idx="3">
                  <v>96.545</v>
                </pt>
                <pt idx="4">
                  <v>79.505</v>
                </pt>
                <pt idx="5">
                  <v>69.47</v>
                </pt>
                <pt idx="6">
                  <v>66.875</v>
                </pt>
                <pt idx="7">
                  <v>59.00500000000001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PLOT!$D$5:$X$5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PLOT!$Y$5:$AS$5</f>
              <numCache>
                <formatCode>0.00</formatCode>
                <ptCount val="21"/>
                <pt idx="0">
                  <v>97.62</v>
                </pt>
                <pt idx="1">
                  <v>95.94</v>
                </pt>
                <pt idx="2">
                  <v>95.66</v>
                </pt>
                <pt idx="3">
                  <v>94.36</v>
                </pt>
                <pt idx="4">
                  <v>84.78</v>
                </pt>
                <pt idx="5">
                  <v>77.06999999999999</v>
                </pt>
                <pt idx="6">
                  <v>48.81</v>
                </pt>
                <pt idx="7">
                  <v>34.66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PLOT!$D$6:$X$6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PLOT!$Y$6:$AS$6</f>
              <numCache>
                <formatCode>0.00</formatCode>
                <ptCount val="21"/>
                <pt idx="0">
                  <v>86.94499999999999</v>
                </pt>
                <pt idx="1">
                  <v>85.295</v>
                </pt>
                <pt idx="2">
                  <v>84.875</v>
                </pt>
                <pt idx="3">
                  <v>83.84</v>
                </pt>
                <pt idx="4">
                  <v>77.645</v>
                </pt>
                <pt idx="5">
                  <v>73.23999999999999</v>
                </pt>
                <pt idx="6">
                  <v>41.7</v>
                </pt>
                <pt idx="7">
                  <v>34.19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PLOT!$D$7:$X$7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PLOT!$Y$7:$AS$7</f>
              <numCache>
                <formatCode>0.00</formatCode>
                <ptCount val="21"/>
                <pt idx="0">
                  <v>94.54000000000001</v>
                </pt>
                <pt idx="1">
                  <v>92.65000000000001</v>
                </pt>
                <pt idx="2">
                  <v>92.28</v>
                </pt>
                <pt idx="3">
                  <v>90.25</v>
                </pt>
                <pt idx="4">
                  <v>75.64</v>
                </pt>
                <pt idx="5">
                  <v>65.5</v>
                </pt>
                <pt idx="6">
                  <v>40.73</v>
                </pt>
                <pt idx="7">
                  <v>31.69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PLOT!$D$8:$X$8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PLOT!$Y$8:$AS$8</f>
              <numCache>
                <formatCode>0.00</formatCode>
                <ptCount val="21"/>
                <pt idx="0">
                  <v>100</v>
                </pt>
                <pt idx="1">
                  <v>99.69</v>
                </pt>
                <pt idx="2">
                  <v>99.55</v>
                </pt>
                <pt idx="3">
                  <v>99.31</v>
                </pt>
                <pt idx="4">
                  <v>96.55</v>
                </pt>
                <pt idx="5">
                  <v>87.06999999999999</v>
                </pt>
                <pt idx="6">
                  <v>42.39</v>
                </pt>
                <pt idx="7">
                  <v>29.92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PLOT!$D$9:$X$9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PLOT!$Y$9:$AS$9</f>
              <numCache>
                <formatCode>0.00</formatCode>
                <ptCount val="21"/>
                <pt idx="0">
                  <v>99.68000000000001</v>
                </pt>
                <pt idx="1">
                  <v>98.79000000000001</v>
                </pt>
                <pt idx="2">
                  <v>98.42</v>
                </pt>
                <pt idx="3">
                  <v>96.73</v>
                </pt>
                <pt idx="4">
                  <v>83.73</v>
                </pt>
                <pt idx="5">
                  <v>70.37</v>
                </pt>
                <pt idx="6">
                  <v>39.15000000000001</v>
                </pt>
                <pt idx="7">
                  <v>28.71000000000001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PLOT!$D$10:$X$10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PLOT!$Y$10:$AS$10</f>
              <numCache>
                <formatCode>0.00</formatCode>
                <ptCount val="21"/>
                <pt idx="0">
                  <v>98.73</v>
                </pt>
                <pt idx="1">
                  <v>97.7</v>
                </pt>
                <pt idx="2">
                  <v>97.09999999999999</v>
                </pt>
                <pt idx="3">
                  <v>94.98999999999999</v>
                </pt>
                <pt idx="4">
                  <v>67.99000000000001</v>
                </pt>
                <pt idx="5">
                  <v>57.09000000000001</v>
                </pt>
                <pt idx="6">
                  <v>27.72</v>
                </pt>
                <pt idx="7">
                  <v>20.59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PLOT!$D$11:$X$11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PLOT!$Y$11:$AS$11</f>
              <numCache>
                <formatCode>0.00</formatCode>
                <ptCount val="21"/>
                <pt idx="0">
                  <v>100</v>
                </pt>
                <pt idx="1">
                  <v>99.61</v>
                </pt>
                <pt idx="2">
                  <v>99.15000000000001</v>
                </pt>
                <pt idx="3">
                  <v>97.47</v>
                </pt>
                <pt idx="4">
                  <v>83.13</v>
                </pt>
                <pt idx="5">
                  <v>68.46000000000001</v>
                </pt>
                <pt idx="6">
                  <v>34.78999999999999</v>
                </pt>
                <pt idx="7">
                  <v>21.61999999999999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7766697543936233"/>
          <y val="0.5293844888138058"/>
          <w val="0.1670725533553155"/>
          <h val="0.314679879924192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29</col>
      <colOff>424253</colOff>
      <row>3</row>
      <rowOff>224960</rowOff>
    </from>
    <to>
      <col>44</col>
      <colOff>501540</colOff>
      <row>13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51</col>
      <colOff>28575</colOff>
      <row>3</row>
      <rowOff>161925</rowOff>
    </from>
    <to>
      <col>66</col>
      <colOff>121143</colOff>
      <row>20</row>
      <rowOff>112346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C13"/>
  <sheetViews>
    <sheetView view="pageBreakPreview" topLeftCell="A4" zoomScale="130" zoomScaleNormal="85" zoomScaleSheetLayoutView="130" zoomScalePageLayoutView="85" workbookViewId="0">
      <selection activeCell="AH16" sqref="AH16"/>
    </sheetView>
  </sheetViews>
  <sheetFormatPr baseColWidth="8" defaultColWidth="9" defaultRowHeight="15"/>
  <cols>
    <col width="6.5703125" customWidth="1" style="1" min="1" max="1"/>
    <col width="4.85546875" customWidth="1" style="1" min="2" max="2"/>
    <col width="5.5703125" customWidth="1" style="1" min="3" max="4"/>
    <col width="7.7109375" customWidth="1" style="1" min="5" max="5"/>
    <col width="7.7109375" customWidth="1" style="12" min="6" max="6"/>
    <col width="9.7109375" customWidth="1" style="1" min="7" max="7"/>
    <col width="11.28515625" customWidth="1" style="1" min="8" max="8"/>
    <col width="13" customWidth="1" style="1" min="9" max="9"/>
    <col width="7.7109375" customWidth="1" style="1" min="10" max="18"/>
    <col width="9" customWidth="1" style="1" min="19" max="16384"/>
  </cols>
  <sheetData>
    <row r="1" ht="25.15" customHeight="1" s="41">
      <c r="A1" s="59" t="inlineStr">
        <is>
          <t>Grain Size Analysis (Sieve Analysis)</t>
        </is>
      </c>
      <c r="B1" s="88" t="n"/>
      <c r="C1" s="88" t="n"/>
      <c r="D1" s="88" t="n"/>
      <c r="E1" s="88" t="n"/>
      <c r="F1" s="88" t="n"/>
      <c r="G1" s="88" t="n"/>
      <c r="H1" s="88" t="n"/>
      <c r="I1" s="88" t="n"/>
      <c r="J1" s="88" t="n"/>
      <c r="K1" s="88" t="n"/>
      <c r="L1" s="88" t="n"/>
      <c r="M1" s="88" t="n"/>
      <c r="N1" s="88" t="n"/>
      <c r="O1" s="88" t="n"/>
      <c r="P1" s="88" t="n"/>
      <c r="Q1" s="88" t="n"/>
      <c r="R1" s="88" t="n"/>
      <c r="S1" s="88" t="n"/>
      <c r="T1" s="88" t="n"/>
      <c r="U1" s="88" t="n"/>
      <c r="V1" s="88" t="n"/>
      <c r="W1" s="88" t="n"/>
      <c r="X1" s="88" t="n"/>
      <c r="Y1" s="88" t="n"/>
      <c r="Z1" s="88" t="n"/>
      <c r="AA1" s="88" t="n"/>
      <c r="AB1" s="88" t="n"/>
      <c r="AC1" s="88" t="n"/>
    </row>
    <row r="2" ht="24.6" customHeight="1" s="41">
      <c r="A2" s="89" t="inlineStr">
        <is>
          <t>Sr No.</t>
        </is>
      </c>
      <c r="B2" s="90" t="inlineStr">
        <is>
          <t>BH ID</t>
        </is>
      </c>
      <c r="C2" s="90" t="inlineStr">
        <is>
          <t>Chainage</t>
        </is>
      </c>
      <c r="D2" s="90" t="inlineStr">
        <is>
          <t>Sample ID</t>
        </is>
      </c>
      <c r="E2" s="66" t="inlineStr">
        <is>
          <t>Sample Type</t>
        </is>
      </c>
      <c r="F2" s="66" t="inlineStr">
        <is>
          <t>Depth</t>
        </is>
      </c>
      <c r="G2" s="66" t="inlineStr">
        <is>
          <t>Container No.</t>
        </is>
      </c>
      <c r="H2" s="66" t="inlineStr">
        <is>
          <t>Weight of Sample taken for Sieve Analysis</t>
        </is>
      </c>
      <c r="I2" s="91" t="inlineStr">
        <is>
          <t>Weight of Sample Remain after washing through 75µ sieve</t>
        </is>
      </c>
      <c r="J2" s="56" t="inlineStr">
        <is>
          <t>Weight Retained on IS Sieve</t>
        </is>
      </c>
      <c r="K2" s="92" t="n"/>
      <c r="L2" s="92" t="n"/>
      <c r="M2" s="92" t="n"/>
      <c r="N2" s="92" t="n"/>
      <c r="O2" s="92" t="n"/>
      <c r="P2" s="92" t="n"/>
      <c r="Q2" s="92" t="n"/>
      <c r="R2" s="93" t="n"/>
      <c r="S2" s="56" t="inlineStr">
        <is>
          <t>% Passing</t>
        </is>
      </c>
      <c r="T2" s="92" t="n"/>
      <c r="U2" s="92" t="n"/>
      <c r="V2" s="92" t="n"/>
      <c r="W2" s="92" t="n"/>
      <c r="X2" s="92" t="n"/>
      <c r="Y2" s="92" t="n"/>
      <c r="Z2" s="93" t="n"/>
      <c r="AA2" s="69" t="inlineStr">
        <is>
          <t xml:space="preserve">Gravel </t>
        </is>
      </c>
      <c r="AB2" s="69" t="inlineStr">
        <is>
          <t>Sand</t>
        </is>
      </c>
      <c r="AC2" s="69" t="inlineStr">
        <is>
          <t>Fines</t>
        </is>
      </c>
    </row>
    <row r="3" ht="40.5" customHeight="1" s="41">
      <c r="A3" s="94" t="n"/>
      <c r="B3" s="94" t="n"/>
      <c r="C3" s="94" t="n"/>
      <c r="D3" s="94" t="n"/>
      <c r="E3" s="95" t="n"/>
      <c r="F3" s="95" t="n"/>
      <c r="G3" s="95" t="n"/>
      <c r="H3" s="95" t="n"/>
      <c r="I3" s="96" t="n"/>
      <c r="J3" s="68" t="n">
        <v>4.75</v>
      </c>
      <c r="K3" s="3" t="n">
        <v>2</v>
      </c>
      <c r="L3" s="3" t="n">
        <v>1.18</v>
      </c>
      <c r="M3" s="97" t="n">
        <v>0.6</v>
      </c>
      <c r="N3" s="68" t="n">
        <v>0.425</v>
      </c>
      <c r="O3" s="97" t="n">
        <v>0.3</v>
      </c>
      <c r="P3" s="97" t="n">
        <v>0.15</v>
      </c>
      <c r="Q3" s="68" t="n">
        <v>0.075</v>
      </c>
      <c r="R3" s="68" t="inlineStr">
        <is>
          <t>Pan</t>
        </is>
      </c>
      <c r="S3" s="66" t="n">
        <v>4.75</v>
      </c>
      <c r="T3" s="6" t="n">
        <v>2</v>
      </c>
      <c r="U3" s="6" t="n">
        <v>1.18</v>
      </c>
      <c r="V3" s="98" t="n">
        <v>0.6</v>
      </c>
      <c r="W3" s="66" t="n">
        <v>0.425</v>
      </c>
      <c r="X3" s="98" t="n">
        <v>0.3</v>
      </c>
      <c r="Y3" s="98" t="n">
        <v>0.15</v>
      </c>
      <c r="Z3" s="98" t="n">
        <v>0.075</v>
      </c>
      <c r="AA3" s="95" t="n"/>
      <c r="AB3" s="95" t="n"/>
      <c r="AC3" s="95" t="n"/>
    </row>
    <row r="4" ht="21.6" customHeight="1" s="41">
      <c r="A4" s="96" t="n"/>
      <c r="B4" s="96" t="n"/>
      <c r="C4" s="96" t="n"/>
      <c r="D4" s="96" t="n"/>
      <c r="E4" s="68" t="inlineStr">
        <is>
          <t>-</t>
        </is>
      </c>
      <c r="F4" s="56" t="inlineStr">
        <is>
          <t>(m)</t>
        </is>
      </c>
      <c r="G4" s="56" t="inlineStr">
        <is>
          <t>-</t>
        </is>
      </c>
      <c r="H4" s="56" t="inlineStr">
        <is>
          <t>(gm)</t>
        </is>
      </c>
      <c r="I4" s="56" t="inlineStr">
        <is>
          <t>(gm)</t>
        </is>
      </c>
      <c r="J4" s="56" t="inlineStr">
        <is>
          <t>(gm)</t>
        </is>
      </c>
      <c r="K4" s="92" t="n"/>
      <c r="L4" s="92" t="n"/>
      <c r="M4" s="92" t="n"/>
      <c r="N4" s="92" t="n"/>
      <c r="O4" s="92" t="n"/>
      <c r="P4" s="92" t="n"/>
      <c r="Q4" s="92" t="n"/>
      <c r="R4" s="93" t="n"/>
      <c r="S4" s="56" t="inlineStr">
        <is>
          <t>(gm)</t>
        </is>
      </c>
      <c r="T4" s="92" t="n"/>
      <c r="U4" s="92" t="n"/>
      <c r="V4" s="92" t="n"/>
      <c r="W4" s="92" t="n"/>
      <c r="X4" s="92" t="n"/>
      <c r="Y4" s="92" t="n"/>
      <c r="Z4" s="93" t="n"/>
      <c r="AA4" s="70" t="inlineStr">
        <is>
          <t>%</t>
        </is>
      </c>
      <c r="AB4" s="92" t="n"/>
      <c r="AC4" s="93" t="n"/>
    </row>
    <row r="5" ht="30" customHeight="1" s="41">
      <c r="A5" s="70" t="n">
        <v>1</v>
      </c>
      <c r="B5" s="57" t="inlineStr">
        <is>
          <t>RLBH-10</t>
        </is>
      </c>
      <c r="C5" s="57" t="n"/>
      <c r="D5" s="58" t="n"/>
      <c r="E5" s="47" t="inlineStr">
        <is>
          <t>SPT</t>
        </is>
      </c>
      <c r="F5" s="43" t="n">
        <v>0.5</v>
      </c>
      <c r="G5" s="47" t="inlineStr">
        <is>
          <t>A145</t>
        </is>
      </c>
      <c r="H5" s="58" t="n">
        <v>100</v>
      </c>
      <c r="I5" s="43">
        <f>H5-SUM(J5:Q5)</f>
        <v/>
      </c>
      <c r="J5" s="43" t="n">
        <v>0</v>
      </c>
      <c r="K5" s="43" t="n">
        <v>0.06</v>
      </c>
      <c r="L5" s="43" t="n">
        <v>0.04</v>
      </c>
      <c r="M5" s="43" t="n">
        <v>0.86</v>
      </c>
      <c r="N5" s="43" t="n">
        <v>13.63</v>
      </c>
      <c r="O5" s="43" t="n">
        <v>13.19</v>
      </c>
      <c r="P5" s="43" t="n">
        <v>26.15</v>
      </c>
      <c r="Q5" s="43" t="n">
        <v>13.62</v>
      </c>
      <c r="R5" s="44" t="n"/>
      <c r="S5" s="11">
        <f>((H5-(SUM(J5)))/H5)*100</f>
        <v/>
      </c>
      <c r="T5" s="11">
        <f>((H5-(SUM(J5:K5)))/H5)*100</f>
        <v/>
      </c>
      <c r="U5" s="11">
        <f>((H5-(SUM(J5:L5)))/H5)*100</f>
        <v/>
      </c>
      <c r="V5" s="11">
        <f>((H5-(SUM(J5:M5)))/H5)*100</f>
        <v/>
      </c>
      <c r="W5" s="11">
        <f>((H5-(SUM(J5:N5)))/H5)*100</f>
        <v/>
      </c>
      <c r="X5" s="11">
        <f>((H5-(SUM(J5:O5)))/H5)*100</f>
        <v/>
      </c>
      <c r="Y5" s="11">
        <f>((H5-(SUM(J5:P5)))/H5)*100</f>
        <v/>
      </c>
      <c r="Z5" s="11">
        <f>((H5-(SUM(J5:Q5)))/H5)*100</f>
        <v/>
      </c>
      <c r="AA5" s="11">
        <f>100-S5</f>
        <v/>
      </c>
      <c r="AB5" s="11">
        <f>S5-Z5</f>
        <v/>
      </c>
      <c r="AC5" s="11">
        <f>Z5</f>
        <v/>
      </c>
    </row>
    <row r="6" ht="30" customHeight="1" s="41">
      <c r="A6" s="70" t="n">
        <v>2</v>
      </c>
      <c r="B6" s="99" t="n"/>
      <c r="C6" s="99" t="n"/>
      <c r="D6" s="99" t="n"/>
      <c r="E6" s="47" t="inlineStr">
        <is>
          <t>UDS</t>
        </is>
      </c>
      <c r="F6" s="43" t="n">
        <v>1.5</v>
      </c>
      <c r="G6" s="47" t="inlineStr">
        <is>
          <t>A020</t>
        </is>
      </c>
      <c r="H6" s="58" t="n">
        <v>200</v>
      </c>
      <c r="I6" s="43">
        <f>H6-SUM(J6:Q6)</f>
        <v/>
      </c>
      <c r="J6" s="43" t="n">
        <v>3.62</v>
      </c>
      <c r="K6" s="43" t="n">
        <v>0.6899999999999999</v>
      </c>
      <c r="L6" s="43" t="n">
        <v>0.3</v>
      </c>
      <c r="M6" s="43" t="n">
        <v>2.3</v>
      </c>
      <c r="N6" s="43" t="n">
        <v>34.08</v>
      </c>
      <c r="O6" s="43" t="n">
        <v>20.07</v>
      </c>
      <c r="P6" s="43" t="n">
        <v>5.19</v>
      </c>
      <c r="Q6" s="43" t="n">
        <v>15.74</v>
      </c>
      <c r="R6" s="44" t="n"/>
      <c r="S6" s="11">
        <f>((H6-(SUM(J6)))/H6)*100</f>
        <v/>
      </c>
      <c r="T6" s="11">
        <f>((H6-(SUM(J6:K6)))/H6)*100</f>
        <v/>
      </c>
      <c r="U6" s="11">
        <f>((H6-(SUM(J6:L6)))/H6)*100</f>
        <v/>
      </c>
      <c r="V6" s="11">
        <f>((H6-(SUM(J6:M6)))/H6)*100</f>
        <v/>
      </c>
      <c r="W6" s="11">
        <f>((H6-(SUM(J6:N6)))/H6)*100</f>
        <v/>
      </c>
      <c r="X6" s="11">
        <f>((H6-(SUM(J6:O6)))/H6)*100</f>
        <v/>
      </c>
      <c r="Y6" s="11">
        <f>((H6-(SUM(J6:P6)))/H6)*100</f>
        <v/>
      </c>
      <c r="Z6" s="11">
        <f>((H6-(SUM(J6:Q6)))/H6)*100</f>
        <v/>
      </c>
      <c r="AA6" s="11">
        <f>100-S6</f>
        <v/>
      </c>
      <c r="AB6" s="11">
        <f>S6-Z6</f>
        <v/>
      </c>
      <c r="AC6" s="11">
        <f>Z6</f>
        <v/>
      </c>
    </row>
    <row r="7" ht="30" customHeight="1" s="41">
      <c r="A7" s="70" t="n">
        <v>3</v>
      </c>
      <c r="B7" s="99" t="n"/>
      <c r="C7" s="99" t="n"/>
      <c r="D7" s="99" t="n"/>
      <c r="E7" s="47" t="inlineStr">
        <is>
          <t>SPT</t>
        </is>
      </c>
      <c r="F7" s="43" t="n">
        <v>3.5</v>
      </c>
      <c r="G7" s="47" t="inlineStr">
        <is>
          <t>A157</t>
        </is>
      </c>
      <c r="H7" s="58" t="n">
        <v>100</v>
      </c>
      <c r="I7" s="43">
        <f>H7-SUM(J7:Q7)</f>
        <v/>
      </c>
      <c r="J7" s="43" t="n">
        <v>2.38</v>
      </c>
      <c r="K7" s="43" t="n">
        <v>1.68</v>
      </c>
      <c r="L7" s="43" t="n">
        <v>0.28</v>
      </c>
      <c r="M7" s="43" t="n">
        <v>1.3</v>
      </c>
      <c r="N7" s="43" t="n">
        <v>9.58</v>
      </c>
      <c r="O7" s="43" t="n">
        <v>7.71</v>
      </c>
      <c r="P7" s="43" t="n">
        <v>28.26</v>
      </c>
      <c r="Q7" s="43" t="n">
        <v>14.15</v>
      </c>
      <c r="R7" s="44" t="n"/>
      <c r="S7" s="11">
        <f>((H7-(SUM(J7)))/H7)*100</f>
        <v/>
      </c>
      <c r="T7" s="11">
        <f>((H7-(SUM(J7:K7)))/H7)*100</f>
        <v/>
      </c>
      <c r="U7" s="11">
        <f>((H7-(SUM(J7:L7)))/H7)*100</f>
        <v/>
      </c>
      <c r="V7" s="11">
        <f>((H7-(SUM(J7:M7)))/H7)*100</f>
        <v/>
      </c>
      <c r="W7" s="11">
        <f>((H7-(SUM(J7:N7)))/H7)*100</f>
        <v/>
      </c>
      <c r="X7" s="11">
        <f>((H7-(SUM(J7:O7)))/H7)*100</f>
        <v/>
      </c>
      <c r="Y7" s="11">
        <f>((H7-(SUM(J7:P7)))/H7)*100</f>
        <v/>
      </c>
      <c r="Z7" s="11">
        <f>((H7-(SUM(J7:Q7)))/H7)*100</f>
        <v/>
      </c>
      <c r="AA7" s="11">
        <f>100-S7</f>
        <v/>
      </c>
      <c r="AB7" s="11">
        <f>S7-Z7</f>
        <v/>
      </c>
      <c r="AC7" s="11">
        <f>Z7</f>
        <v/>
      </c>
    </row>
    <row r="8" ht="30" customHeight="1" s="41">
      <c r="A8" s="70" t="n">
        <v>4</v>
      </c>
      <c r="B8" s="99" t="n"/>
      <c r="C8" s="99" t="n"/>
      <c r="D8" s="99" t="n"/>
      <c r="E8" s="47" t="inlineStr">
        <is>
          <t>UDS</t>
        </is>
      </c>
      <c r="F8" s="43" t="n">
        <v>4.5</v>
      </c>
      <c r="G8" s="47" t="inlineStr">
        <is>
          <t>A022</t>
        </is>
      </c>
      <c r="H8" s="58" t="n">
        <v>200</v>
      </c>
      <c r="I8" s="43">
        <f>H8-SUM(J8:Q8)</f>
        <v/>
      </c>
      <c r="J8" s="43" t="n">
        <v>26.11</v>
      </c>
      <c r="K8" s="43" t="n">
        <v>3.3</v>
      </c>
      <c r="L8" s="43" t="n">
        <v>0.84</v>
      </c>
      <c r="M8" s="43" t="n">
        <v>2.07</v>
      </c>
      <c r="N8" s="43" t="n">
        <v>12.39</v>
      </c>
      <c r="O8" s="43" t="n">
        <v>8.81</v>
      </c>
      <c r="P8" s="43" t="n">
        <v>63.08</v>
      </c>
      <c r="Q8" s="43" t="n">
        <v>15.02</v>
      </c>
      <c r="R8" s="44" t="n"/>
      <c r="S8" s="11">
        <f>((H8-(SUM(J8)))/H8)*100</f>
        <v/>
      </c>
      <c r="T8" s="11">
        <f>((H8-(SUM(J8:K8)))/H8)*100</f>
        <v/>
      </c>
      <c r="U8" s="11">
        <f>((H8-(SUM(J8:L8)))/H8)*100</f>
        <v/>
      </c>
      <c r="V8" s="11">
        <f>((H8-(SUM(J8:M8)))/H8)*100</f>
        <v/>
      </c>
      <c r="W8" s="11">
        <f>((H8-(SUM(J8:N8)))/H8)*100</f>
        <v/>
      </c>
      <c r="X8" s="11">
        <f>((H8-(SUM(J8:O8)))/H8)*100</f>
        <v/>
      </c>
      <c r="Y8" s="11">
        <f>((H8-(SUM(J8:P8)))/H8)*100</f>
        <v/>
      </c>
      <c r="Z8" s="11">
        <f>((H8-(SUM(J8:Q8)))/H8)*100</f>
        <v/>
      </c>
      <c r="AA8" s="11">
        <f>100-S8</f>
        <v/>
      </c>
      <c r="AB8" s="11">
        <f>S8-Z8</f>
        <v/>
      </c>
      <c r="AC8" s="11">
        <f>Z8</f>
        <v/>
      </c>
    </row>
    <row r="9" ht="30" customHeight="1" s="41">
      <c r="A9" s="70" t="n">
        <v>5</v>
      </c>
      <c r="B9" s="99" t="n"/>
      <c r="C9" s="99" t="n"/>
      <c r="D9" s="99" t="n"/>
      <c r="E9" s="47" t="inlineStr">
        <is>
          <t>SPT</t>
        </is>
      </c>
      <c r="F9" s="43" t="n">
        <v>6.5</v>
      </c>
      <c r="G9" s="47" t="inlineStr">
        <is>
          <t>A064</t>
        </is>
      </c>
      <c r="H9" s="58" t="n">
        <v>100</v>
      </c>
      <c r="I9" s="43">
        <f>H9-SUM(J9:Q9)</f>
        <v/>
      </c>
      <c r="J9" s="43" t="n">
        <v>5.46</v>
      </c>
      <c r="K9" s="43" t="n">
        <v>1.89</v>
      </c>
      <c r="L9" s="43" t="n">
        <v>0.37</v>
      </c>
      <c r="M9" s="43" t="n">
        <v>2.03</v>
      </c>
      <c r="N9" s="43" t="n">
        <v>14.61</v>
      </c>
      <c r="O9" s="43" t="n">
        <v>10.14</v>
      </c>
      <c r="P9" s="43" t="n">
        <v>24.77</v>
      </c>
      <c r="Q9" s="43" t="n">
        <v>9.039999999999999</v>
      </c>
      <c r="R9" s="44" t="n"/>
      <c r="S9" s="11">
        <f>((H9-(SUM(J9)))/H9)*100</f>
        <v/>
      </c>
      <c r="T9" s="11">
        <f>((H9-(SUM(J9:K9)))/H9)*100</f>
        <v/>
      </c>
      <c r="U9" s="11">
        <f>((H9-(SUM(J9:L9)))/H9)*100</f>
        <v/>
      </c>
      <c r="V9" s="11">
        <f>((H9-(SUM(J9:M9)))/H9)*100</f>
        <v/>
      </c>
      <c r="W9" s="11">
        <f>((H9-(SUM(J9:N9)))/H9)*100</f>
        <v/>
      </c>
      <c r="X9" s="11">
        <f>((H9-(SUM(J9:O9)))/H9)*100</f>
        <v/>
      </c>
      <c r="Y9" s="11">
        <f>((H9-(SUM(J9:P9)))/H9)*100</f>
        <v/>
      </c>
      <c r="Z9" s="11">
        <f>((H9-(SUM(J9:Q9)))/H9)*100</f>
        <v/>
      </c>
      <c r="AA9" s="11">
        <f>100-S9</f>
        <v/>
      </c>
      <c r="AB9" s="11">
        <f>S9-Z9</f>
        <v/>
      </c>
      <c r="AC9" s="11">
        <f>Z9</f>
        <v/>
      </c>
    </row>
    <row r="10" ht="30" customFormat="1" customHeight="1" s="34">
      <c r="A10" s="42" t="n">
        <v>666</v>
      </c>
      <c r="B10" s="99" t="n"/>
      <c r="C10" s="99" t="n"/>
      <c r="D10" s="99" t="n"/>
      <c r="E10" s="47" t="inlineStr">
        <is>
          <t>SPT</t>
        </is>
      </c>
      <c r="F10" s="43" t="n">
        <v>7.5</v>
      </c>
      <c r="G10" s="47" t="inlineStr">
        <is>
          <t>A011</t>
        </is>
      </c>
      <c r="H10" s="58" t="n">
        <v>100</v>
      </c>
      <c r="I10" s="43">
        <f>H10-SUM(J10:Q10)</f>
        <v/>
      </c>
      <c r="J10" s="43" t="n">
        <v>0</v>
      </c>
      <c r="K10" s="43" t="n">
        <v>0.31</v>
      </c>
      <c r="L10" s="43" t="n">
        <v>0.14</v>
      </c>
      <c r="M10" s="43" t="n">
        <v>0.24</v>
      </c>
      <c r="N10" s="43" t="n">
        <v>2.76</v>
      </c>
      <c r="O10" s="43" t="n">
        <v>9.48</v>
      </c>
      <c r="P10" s="43" t="n">
        <v>44.68</v>
      </c>
      <c r="Q10" s="43" t="n">
        <v>12.47</v>
      </c>
      <c r="R10" s="44" t="n"/>
      <c r="S10" s="45">
        <f>((H10-(SUM(J10)))/H10)*100</f>
        <v/>
      </c>
      <c r="T10" s="45">
        <f>((H10-(SUM(J10:K10)))/H10)*100</f>
        <v/>
      </c>
      <c r="U10" s="45">
        <f>((H10-(SUM(J10:L10)))/H10)*100</f>
        <v/>
      </c>
      <c r="V10" s="45">
        <f>((H10-(SUM(J10:M10)))/H10)*100</f>
        <v/>
      </c>
      <c r="W10" s="45">
        <f>((H10-(SUM(J10:N10)))/H10)*100</f>
        <v/>
      </c>
      <c r="X10" s="45">
        <f>((H10-(SUM(J10:O10)))/H10)*100</f>
        <v/>
      </c>
      <c r="Y10" s="45">
        <f>((H10-(SUM(J10:P10)))/H10)*100</f>
        <v/>
      </c>
      <c r="Z10" s="45">
        <f>((H10-(SUM(J10:Q10)))/H10)*100</f>
        <v/>
      </c>
      <c r="AA10" s="45">
        <f>100-S10</f>
        <v/>
      </c>
      <c r="AB10" s="45">
        <f>S10-Z10</f>
        <v/>
      </c>
      <c r="AC10" s="45">
        <f>Z10</f>
        <v/>
      </c>
    </row>
    <row r="11" ht="30" customHeight="1" s="41">
      <c r="A11" s="70" t="n">
        <v>7</v>
      </c>
      <c r="B11" s="99" t="n"/>
      <c r="C11" s="99" t="n"/>
      <c r="D11" s="99" t="n"/>
      <c r="E11" s="47" t="inlineStr">
        <is>
          <t>SPT</t>
        </is>
      </c>
      <c r="F11" s="43" t="n">
        <v>10.5</v>
      </c>
      <c r="G11" s="47" t="inlineStr">
        <is>
          <t>A09</t>
        </is>
      </c>
      <c r="H11" s="58" t="n">
        <v>100</v>
      </c>
      <c r="I11" s="43">
        <f>H11-SUM(J11:Q11)</f>
        <v/>
      </c>
      <c r="J11" s="43" t="n">
        <v>0.32</v>
      </c>
      <c r="K11" s="43" t="n">
        <v>0.89</v>
      </c>
      <c r="L11" s="43" t="n">
        <v>0.37</v>
      </c>
      <c r="M11" s="43" t="n">
        <v>1.69</v>
      </c>
      <c r="N11" s="43" t="n">
        <v>13</v>
      </c>
      <c r="O11" s="43" t="n">
        <v>13.36</v>
      </c>
      <c r="P11" s="43" t="n">
        <v>31.22</v>
      </c>
      <c r="Q11" s="43" t="n">
        <v>10.44</v>
      </c>
      <c r="R11" s="44" t="n"/>
      <c r="S11" s="11">
        <f>((H11-(SUM(J11)))/H11)*100</f>
        <v/>
      </c>
      <c r="T11" s="11">
        <f>((H11-(SUM(J11:K11)))/H11)*100</f>
        <v/>
      </c>
      <c r="U11" s="11">
        <f>((H11-(SUM(J11:L11)))/H11)*100</f>
        <v/>
      </c>
      <c r="V11" s="11">
        <f>((H11-(SUM(J11:M11)))/H11)*100</f>
        <v/>
      </c>
      <c r="W11" s="11">
        <f>((H11-(SUM(J11:N11)))/H11)*100</f>
        <v/>
      </c>
      <c r="X11" s="11">
        <f>((H11-(SUM(J11:O11)))/H11)*100</f>
        <v/>
      </c>
      <c r="Y11" s="11">
        <f>((H11-(SUM(J11:P11)))/H11)*100</f>
        <v/>
      </c>
      <c r="Z11" s="11">
        <f>((H11-(SUM(J11:Q11)))/H11)*100</f>
        <v/>
      </c>
      <c r="AA11" s="11">
        <f>100-S11</f>
        <v/>
      </c>
      <c r="AB11" s="11">
        <f>S11-Z11</f>
        <v/>
      </c>
      <c r="AC11" s="11">
        <f>Z11</f>
        <v/>
      </c>
    </row>
    <row r="12" ht="30" customHeight="1" s="41">
      <c r="A12" s="70" t="n">
        <v>8</v>
      </c>
      <c r="B12" s="99" t="n"/>
      <c r="C12" s="99" t="n"/>
      <c r="D12" s="99" t="n"/>
      <c r="E12" s="47" t="inlineStr">
        <is>
          <t>SPT</t>
        </is>
      </c>
      <c r="F12" s="43" t="n">
        <v>13.5</v>
      </c>
      <c r="G12" s="47" t="inlineStr">
        <is>
          <t>A046</t>
        </is>
      </c>
      <c r="H12" s="58" t="n">
        <v>100</v>
      </c>
      <c r="I12" s="43">
        <f>H12-SUM(J12:Q12)</f>
        <v/>
      </c>
      <c r="J12" s="43" t="n">
        <v>1.27</v>
      </c>
      <c r="K12" s="43" t="n">
        <v>1.03</v>
      </c>
      <c r="L12" s="43" t="n">
        <v>0.6</v>
      </c>
      <c r="M12" s="43" t="n">
        <v>2.11</v>
      </c>
      <c r="N12" s="43" t="n">
        <v>27</v>
      </c>
      <c r="O12" s="43" t="n">
        <v>10.9</v>
      </c>
      <c r="P12" s="43" t="n">
        <v>29.37</v>
      </c>
      <c r="Q12" s="43" t="n">
        <v>7.13</v>
      </c>
      <c r="R12" s="44" t="n"/>
      <c r="S12" s="11">
        <f>((H12-(SUM(J12)))/H12)*100</f>
        <v/>
      </c>
      <c r="T12" s="11">
        <f>((H12-(SUM(J12:K12)))/H12)*100</f>
        <v/>
      </c>
      <c r="U12" s="11">
        <f>((H12-(SUM(J12:L12)))/H12)*100</f>
        <v/>
      </c>
      <c r="V12" s="11">
        <f>((H12-(SUM(J12:M12)))/H12)*100</f>
        <v/>
      </c>
      <c r="W12" s="11">
        <f>((H12-(SUM(J12:N12)))/H12)*100</f>
        <v/>
      </c>
      <c r="X12" s="11">
        <f>((H12-(SUM(J12:O12)))/H12)*100</f>
        <v/>
      </c>
      <c r="Y12" s="11">
        <f>((H12-(SUM(J12:P12)))/H12)*100</f>
        <v/>
      </c>
      <c r="Z12" s="11">
        <f>((H12-(SUM(J12:Q12)))/H12)*100</f>
        <v/>
      </c>
      <c r="AA12" s="11">
        <f>100-S12</f>
        <v/>
      </c>
      <c r="AB12" s="11">
        <f>S12-Z12</f>
        <v/>
      </c>
      <c r="AC12" s="11">
        <f>Z12</f>
        <v/>
      </c>
    </row>
    <row r="13" ht="30" customHeight="1" s="41">
      <c r="A13" s="70" t="n">
        <v>9</v>
      </c>
      <c r="B13" s="95" t="n"/>
      <c r="C13" s="95" t="n"/>
      <c r="D13" s="95" t="n"/>
      <c r="E13" s="47" t="inlineStr">
        <is>
          <t>SPT</t>
        </is>
      </c>
      <c r="F13" s="43" t="n">
        <v>15</v>
      </c>
      <c r="G13" s="47" t="inlineStr">
        <is>
          <t>A017</t>
        </is>
      </c>
      <c r="H13" s="58" t="n">
        <v>100</v>
      </c>
      <c r="I13" s="43">
        <f>H13-SUM(J13:Q13)</f>
        <v/>
      </c>
      <c r="J13" s="43" t="n">
        <v>0</v>
      </c>
      <c r="K13" s="43" t="n">
        <v>0.39</v>
      </c>
      <c r="L13" s="43" t="n">
        <v>0.46</v>
      </c>
      <c r="M13" s="43" t="n">
        <v>1.68</v>
      </c>
      <c r="N13" s="43" t="n">
        <v>14.34</v>
      </c>
      <c r="O13" s="43" t="n">
        <v>14.67</v>
      </c>
      <c r="P13" s="43" t="n">
        <v>33.67</v>
      </c>
      <c r="Q13" s="43" t="n">
        <v>13.17</v>
      </c>
      <c r="R13" s="44" t="n"/>
      <c r="S13" s="11">
        <f>((H13-(SUM(J13)))/H13)*100</f>
        <v/>
      </c>
      <c r="T13" s="11">
        <f>((H13-(SUM(J13:K13)))/H13)*100</f>
        <v/>
      </c>
      <c r="U13" s="11">
        <f>((H13-(SUM(J13:L13)))/H13)*100</f>
        <v/>
      </c>
      <c r="V13" s="11">
        <f>((H13-(SUM(J13:M13)))/H13)*100</f>
        <v/>
      </c>
      <c r="W13" s="11">
        <f>((H13-(SUM(J13:N13)))/H13)*100</f>
        <v/>
      </c>
      <c r="X13" s="11">
        <f>((H13-(SUM(J13:O13)))/H13)*100</f>
        <v/>
      </c>
      <c r="Y13" s="11">
        <f>((H13-(SUM(J13:P13)))/H13)*100</f>
        <v/>
      </c>
      <c r="Z13" s="11">
        <f>((H13-(SUM(J13:Q13)))/H13)*100</f>
        <v/>
      </c>
      <c r="AA13" s="11">
        <f>100-S13</f>
        <v/>
      </c>
      <c r="AB13" s="11">
        <f>S13-Z13</f>
        <v/>
      </c>
      <c r="AC13" s="11">
        <f>Z13</f>
        <v/>
      </c>
    </row>
  </sheetData>
  <mergeCells count="21">
    <mergeCell ref="A2:A4"/>
    <mergeCell ref="C2:C4"/>
    <mergeCell ref="AA4:AC4"/>
    <mergeCell ref="F2:F3"/>
    <mergeCell ref="H2:H3"/>
    <mergeCell ref="J4:R4"/>
    <mergeCell ref="A1:AC1"/>
    <mergeCell ref="S2:Z2"/>
    <mergeCell ref="AB2:AB3"/>
    <mergeCell ref="E2:E3"/>
    <mergeCell ref="D5:D13"/>
    <mergeCell ref="B5:B13"/>
    <mergeCell ref="J2:R2"/>
    <mergeCell ref="AA2:AA3"/>
    <mergeCell ref="B2:B4"/>
    <mergeCell ref="AC2:AC3"/>
    <mergeCell ref="D2:D4"/>
    <mergeCell ref="C5:C13"/>
    <mergeCell ref="S4:Z4"/>
    <mergeCell ref="G2:G3"/>
    <mergeCell ref="I2:I3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3"/>
  <sheetViews>
    <sheetView topLeftCell="AI1" zoomScale="145" zoomScaleNormal="145" zoomScaleSheetLayoutView="145" workbookViewId="0">
      <selection activeCell="AJ26" sqref="AJ26"/>
    </sheetView>
  </sheetViews>
  <sheetFormatPr baseColWidth="8" defaultRowHeight="15"/>
  <cols>
    <col width="9.7109375" customWidth="1" style="41" min="5" max="12"/>
    <col width="9.7109375" bestFit="1" customWidth="1" style="41" min="13" max="36"/>
    <col width="9.7109375" bestFit="1" customWidth="1" style="41" min="39" max="49"/>
    <col width="10.5703125" bestFit="1" customWidth="1" style="41" min="50" max="50"/>
  </cols>
  <sheetData>
    <row r="1">
      <c r="A1" s="100" t="inlineStr">
        <is>
          <t>Sr No.</t>
        </is>
      </c>
      <c r="B1" s="101" t="inlineStr">
        <is>
          <t>BH ID</t>
        </is>
      </c>
      <c r="C1" s="101" t="inlineStr">
        <is>
          <t>Depth</t>
        </is>
      </c>
      <c r="D1" s="100" t="inlineStr">
        <is>
          <t>Sample Type</t>
        </is>
      </c>
      <c r="E1" s="100" t="inlineStr">
        <is>
          <t xml:space="preserve">Temperature </t>
        </is>
      </c>
      <c r="F1" s="100" t="inlineStr">
        <is>
          <t xml:space="preserve">Coefficent of Viscosity </t>
        </is>
      </c>
      <c r="G1" s="100" t="inlineStr">
        <is>
          <t>SPGR</t>
        </is>
      </c>
      <c r="H1" s="100" t="inlineStr">
        <is>
          <t xml:space="preserve"> Meniscus Correction (Cm)</t>
        </is>
      </c>
      <c r="I1" s="76" t="inlineStr">
        <is>
          <t>Hydrometer No.</t>
        </is>
      </c>
      <c r="J1" s="100" t="inlineStr">
        <is>
          <t>Cylinder Type</t>
        </is>
      </c>
      <c r="K1" s="100" t="inlineStr">
        <is>
          <t>Mt (temperature correction)</t>
        </is>
      </c>
      <c r="L1" s="100" t="inlineStr">
        <is>
          <t>X (dispersion correction)</t>
        </is>
      </c>
      <c r="M1" s="78" t="inlineStr">
        <is>
          <t xml:space="preserve"> Hydrometer Reading at Elapsed Time (min)</t>
        </is>
      </c>
      <c r="N1" s="92" t="n"/>
      <c r="O1" s="92" t="n"/>
      <c r="P1" s="92" t="n"/>
      <c r="Q1" s="92" t="n"/>
      <c r="R1" s="92" t="n"/>
      <c r="S1" s="92" t="n"/>
      <c r="T1" s="92" t="n"/>
      <c r="U1" s="92" t="n"/>
      <c r="V1" s="92" t="n"/>
      <c r="W1" s="92" t="n"/>
      <c r="X1" s="92" t="n"/>
      <c r="Y1" s="93" t="n"/>
      <c r="Z1" s="78" t="inlineStr">
        <is>
          <t>Diameter of the particle at Elapsed Time</t>
        </is>
      </c>
      <c r="AA1" s="92" t="n"/>
      <c r="AB1" s="92" t="n"/>
      <c r="AC1" s="92" t="n"/>
      <c r="AD1" s="92" t="n"/>
      <c r="AE1" s="92" t="n"/>
      <c r="AF1" s="92" t="n"/>
      <c r="AG1" s="92" t="n"/>
      <c r="AH1" s="92" t="n"/>
      <c r="AI1" s="92" t="n"/>
      <c r="AJ1" s="92" t="n"/>
      <c r="AK1" s="92" t="n"/>
      <c r="AL1" s="93" t="n"/>
      <c r="AM1" s="79" t="inlineStr">
        <is>
          <t>Percentge finer than Diameter of the particle at Elapsed Time</t>
        </is>
      </c>
      <c r="AN1" s="92" t="n"/>
      <c r="AO1" s="92" t="n"/>
      <c r="AP1" s="92" t="n"/>
      <c r="AQ1" s="92" t="n"/>
      <c r="AR1" s="92" t="n"/>
      <c r="AS1" s="92" t="n"/>
      <c r="AT1" s="92" t="n"/>
      <c r="AU1" s="92" t="n"/>
      <c r="AV1" s="92" t="n"/>
      <c r="AW1" s="92" t="n"/>
      <c r="AX1" s="92" t="n"/>
      <c r="AY1" s="93" t="n"/>
      <c r="AZ1" s="22" t="n"/>
      <c r="BA1" s="22" t="n"/>
    </row>
    <row r="2">
      <c r="A2" s="94" t="n"/>
      <c r="B2" s="94" t="n"/>
      <c r="C2" s="94" t="n"/>
      <c r="D2" s="94" t="n"/>
      <c r="E2" s="94" t="n"/>
      <c r="F2" s="94" t="n"/>
      <c r="G2" s="94" t="n"/>
      <c r="H2" s="94" t="n"/>
      <c r="I2" s="99" t="n"/>
      <c r="J2" s="94" t="n"/>
      <c r="K2" s="94" t="n"/>
      <c r="L2" s="94" t="n"/>
      <c r="M2" s="102" t="n">
        <v>0.5</v>
      </c>
      <c r="N2" s="72" t="n">
        <v>1</v>
      </c>
      <c r="O2" s="72" t="n">
        <v>2</v>
      </c>
      <c r="P2" s="72" t="n">
        <v>4</v>
      </c>
      <c r="Q2" s="72" t="n">
        <v>8</v>
      </c>
      <c r="R2" s="72" t="n">
        <v>15</v>
      </c>
      <c r="S2" s="72" t="n">
        <v>30</v>
      </c>
      <c r="T2" s="72" t="n">
        <v>60</v>
      </c>
      <c r="U2" s="72" t="n">
        <v>120</v>
      </c>
      <c r="V2" s="72" t="n">
        <v>240</v>
      </c>
      <c r="W2" s="72" t="n">
        <v>480</v>
      </c>
      <c r="X2" s="72" t="n">
        <v>960</v>
      </c>
      <c r="Y2" s="72" t="n">
        <v>1440</v>
      </c>
      <c r="Z2" s="102" t="n">
        <v>0.5</v>
      </c>
      <c r="AA2" s="72" t="n">
        <v>1</v>
      </c>
      <c r="AB2" s="72" t="n">
        <v>2</v>
      </c>
      <c r="AC2" s="72" t="n">
        <v>4</v>
      </c>
      <c r="AD2" s="72" t="n">
        <v>8</v>
      </c>
      <c r="AE2" s="72" t="n">
        <v>15</v>
      </c>
      <c r="AF2" s="72" t="n">
        <v>30</v>
      </c>
      <c r="AG2" s="72" t="n">
        <v>60</v>
      </c>
      <c r="AH2" s="72" t="n">
        <v>120</v>
      </c>
      <c r="AI2" s="72" t="n">
        <v>240</v>
      </c>
      <c r="AJ2" s="72" t="n">
        <v>480</v>
      </c>
      <c r="AK2" s="72" t="n">
        <v>960</v>
      </c>
      <c r="AL2" s="72" t="n">
        <v>1440</v>
      </c>
      <c r="AM2" s="102" t="n">
        <v>0.5</v>
      </c>
      <c r="AN2" s="72" t="n">
        <v>1</v>
      </c>
      <c r="AO2" s="72" t="n">
        <v>2</v>
      </c>
      <c r="AP2" s="72" t="n">
        <v>4</v>
      </c>
      <c r="AQ2" s="72" t="n">
        <v>8</v>
      </c>
      <c r="AR2" s="72" t="n">
        <v>15</v>
      </c>
      <c r="AS2" s="72" t="n">
        <v>30</v>
      </c>
      <c r="AT2" s="72" t="n">
        <v>60</v>
      </c>
      <c r="AU2" s="72" t="n">
        <v>120</v>
      </c>
      <c r="AV2" s="72" t="n">
        <v>240</v>
      </c>
      <c r="AW2" s="72" t="n">
        <v>480</v>
      </c>
      <c r="AX2" s="72" t="n">
        <v>960</v>
      </c>
      <c r="AY2" s="72" t="n">
        <v>1440</v>
      </c>
      <c r="AZ2" s="22" t="n"/>
      <c r="BA2" s="22" t="n"/>
    </row>
    <row r="3">
      <c r="A3" s="94" t="n"/>
      <c r="B3" s="94" t="n"/>
      <c r="C3" s="94" t="n"/>
      <c r="D3" s="96" t="n"/>
      <c r="E3" s="96" t="n"/>
      <c r="F3" s="96" t="n"/>
      <c r="G3" s="96" t="n"/>
      <c r="H3" s="96" t="n"/>
      <c r="I3" s="95" t="n"/>
      <c r="J3" s="96" t="n"/>
      <c r="K3" s="96" t="n"/>
      <c r="L3" s="96" t="n"/>
      <c r="M3" s="95" t="n"/>
      <c r="N3" s="95" t="n"/>
      <c r="O3" s="95" t="n"/>
      <c r="P3" s="95" t="n"/>
      <c r="Q3" s="95" t="n"/>
      <c r="R3" s="95" t="n"/>
      <c r="S3" s="95" t="n"/>
      <c r="T3" s="95" t="n"/>
      <c r="U3" s="95" t="n"/>
      <c r="V3" s="95" t="n"/>
      <c r="W3" s="95" t="n"/>
      <c r="X3" s="95" t="n"/>
      <c r="Y3" s="95" t="n"/>
      <c r="Z3" s="95" t="n"/>
      <c r="AA3" s="95" t="n"/>
      <c r="AB3" s="95" t="n"/>
      <c r="AC3" s="95" t="n"/>
      <c r="AD3" s="95" t="n"/>
      <c r="AE3" s="95" t="n"/>
      <c r="AF3" s="95" t="n"/>
      <c r="AG3" s="95" t="n"/>
      <c r="AH3" s="95" t="n"/>
      <c r="AI3" s="95" t="n"/>
      <c r="AJ3" s="95" t="n"/>
      <c r="AK3" s="95" t="n"/>
      <c r="AL3" s="95" t="n"/>
      <c r="AM3" s="95" t="n"/>
      <c r="AN3" s="95" t="n"/>
      <c r="AO3" s="95" t="n"/>
      <c r="AP3" s="95" t="n"/>
      <c r="AQ3" s="95" t="n"/>
      <c r="AR3" s="95" t="n"/>
      <c r="AS3" s="95" t="n"/>
      <c r="AT3" s="95" t="n"/>
      <c r="AU3" s="95" t="n"/>
      <c r="AV3" s="95" t="n"/>
      <c r="AW3" s="95" t="n"/>
      <c r="AX3" s="95" t="n"/>
      <c r="AY3" s="95" t="n"/>
      <c r="AZ3" s="22" t="n"/>
      <c r="BA3" s="22" t="n"/>
    </row>
    <row r="4">
      <c r="A4" s="96" t="n"/>
      <c r="B4" s="96" t="n"/>
      <c r="C4" s="96" t="n"/>
      <c r="D4" s="82" t="inlineStr">
        <is>
          <t>-</t>
        </is>
      </c>
      <c r="E4" s="82" t="inlineStr">
        <is>
          <t>(°C)</t>
        </is>
      </c>
      <c r="F4" s="82" t="inlineStr">
        <is>
          <t>Poise</t>
        </is>
      </c>
      <c r="G4" s="82" t="inlineStr">
        <is>
          <t>-</t>
        </is>
      </c>
      <c r="H4" s="82" t="inlineStr">
        <is>
          <t>-</t>
        </is>
      </c>
      <c r="I4" s="76" t="inlineStr">
        <is>
          <t>-</t>
        </is>
      </c>
      <c r="J4" s="73" t="n"/>
      <c r="K4" s="73" t="inlineStr">
        <is>
          <t>-</t>
        </is>
      </c>
      <c r="L4" s="73" t="inlineStr">
        <is>
          <t>-</t>
        </is>
      </c>
      <c r="M4" s="76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3" t="n"/>
      <c r="Z4" s="76" t="inlineStr">
        <is>
          <t>(mm)</t>
        </is>
      </c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3" t="n"/>
      <c r="AM4" s="76" t="inlineStr">
        <is>
          <t>(%)</t>
        </is>
      </c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W4" s="92" t="n"/>
      <c r="AX4" s="92" t="n"/>
      <c r="AY4" s="93" t="n"/>
      <c r="AZ4" s="20" t="n"/>
      <c r="BA4" s="20" t="n"/>
    </row>
    <row r="5">
      <c r="A5" s="35" t="n">
        <v>1</v>
      </c>
      <c r="B5" s="35">
        <f>GSD!B5</f>
        <v/>
      </c>
      <c r="C5" s="32">
        <f>GSD!F5</f>
        <v/>
      </c>
      <c r="D5" s="35">
        <f>GSD!E5</f>
        <v/>
      </c>
      <c r="E5" s="36" t="n">
        <v>27</v>
      </c>
      <c r="F5" s="103" t="n">
        <v>0.008559421270000001</v>
      </c>
      <c r="G5" s="104" t="n">
        <v>2.64</v>
      </c>
      <c r="H5" s="35" t="n">
        <v>0.0005</v>
      </c>
      <c r="I5" s="35" t="n">
        <v>1</v>
      </c>
      <c r="J5" s="35" t="n">
        <v>2</v>
      </c>
      <c r="K5" s="36" t="n">
        <v>0</v>
      </c>
      <c r="L5" s="35" t="n">
        <v>0.3</v>
      </c>
      <c r="M5" s="104" t="n">
        <v>1.01</v>
      </c>
      <c r="N5" s="104" t="n">
        <v>1.01</v>
      </c>
      <c r="O5" s="104" t="n">
        <v>1.01</v>
      </c>
      <c r="P5" s="104" t="n">
        <v>1.01</v>
      </c>
      <c r="Q5" s="104" t="n">
        <v>1.01</v>
      </c>
      <c r="R5" s="104" t="n">
        <v>1.01</v>
      </c>
      <c r="S5" s="104" t="n">
        <v>1.01</v>
      </c>
      <c r="T5" s="104" t="n">
        <v>1.01</v>
      </c>
      <c r="U5" s="104" t="n">
        <v>1.009</v>
      </c>
      <c r="V5" s="104" t="n">
        <v>1.009</v>
      </c>
      <c r="W5" s="104" t="n">
        <v>1.009</v>
      </c>
      <c r="X5" s="104" t="n">
        <v>1.009</v>
      </c>
      <c r="Y5" s="104" t="n">
        <v>1.009</v>
      </c>
      <c r="Z5" s="31" t="n"/>
      <c r="AA5" s="31" t="n"/>
      <c r="AB5" s="31" t="n"/>
      <c r="AC5" s="31" t="n"/>
      <c r="AD5" s="31" t="n"/>
      <c r="AE5" s="31" t="n"/>
      <c r="AF5" s="31" t="n"/>
      <c r="AG5" s="31" t="n"/>
      <c r="AH5" s="31" t="n"/>
      <c r="AI5" s="31" t="n"/>
      <c r="AJ5" s="31" t="n"/>
      <c r="AK5" s="31" t="n"/>
      <c r="AL5" s="31" t="n"/>
      <c r="AM5" s="32" t="n"/>
      <c r="AN5" s="32" t="n"/>
      <c r="AO5" s="32" t="n"/>
      <c r="AP5" s="32" t="n"/>
      <c r="AQ5" s="32" t="n"/>
      <c r="AR5" s="32" t="n"/>
      <c r="AS5" s="32" t="n"/>
      <c r="AT5" s="32" t="n"/>
      <c r="AU5" s="32" t="n"/>
      <c r="AV5" s="32" t="n"/>
      <c r="AW5" s="32" t="n"/>
      <c r="AX5" s="32" t="n"/>
      <c r="AY5" s="32" t="n"/>
      <c r="AZ5" s="40" t="n"/>
      <c r="BA5" s="40" t="n"/>
    </row>
    <row r="6">
      <c r="A6" s="35" t="n">
        <v>2</v>
      </c>
      <c r="B6" s="35">
        <f>B5</f>
        <v/>
      </c>
      <c r="C6" s="32">
        <f>GSD!F6</f>
        <v/>
      </c>
      <c r="D6" s="35">
        <f>GSD!E6</f>
        <v/>
      </c>
      <c r="E6" s="36" t="n">
        <v>27</v>
      </c>
      <c r="F6" s="103" t="n">
        <v>0.008559421270000001</v>
      </c>
      <c r="G6" s="104" t="n">
        <v>2.66</v>
      </c>
      <c r="H6" s="35" t="n">
        <v>0.0005</v>
      </c>
      <c r="I6" s="35" t="n">
        <v>1</v>
      </c>
      <c r="J6" s="35" t="n">
        <v>2</v>
      </c>
      <c r="K6" s="36" t="n">
        <v>0</v>
      </c>
      <c r="L6" s="35" t="n">
        <v>0.3</v>
      </c>
      <c r="M6" s="104" t="n">
        <v>1.019</v>
      </c>
      <c r="N6" s="104" t="n">
        <v>1.018</v>
      </c>
      <c r="O6" s="104" t="n">
        <v>1.018</v>
      </c>
      <c r="P6" s="104" t="n">
        <v>1.017</v>
      </c>
      <c r="Q6" s="104" t="n">
        <v>1.017</v>
      </c>
      <c r="R6" s="104" t="n">
        <v>1.016</v>
      </c>
      <c r="S6" s="104" t="n">
        <v>1.016</v>
      </c>
      <c r="T6" s="104" t="n">
        <v>1.015</v>
      </c>
      <c r="U6" s="104" t="n">
        <v>1.014</v>
      </c>
      <c r="V6" s="104" t="n">
        <v>1.013</v>
      </c>
      <c r="W6" s="104" t="n">
        <v>1.012</v>
      </c>
      <c r="X6" s="104" t="n">
        <v>1.012</v>
      </c>
      <c r="Y6" s="104" t="n">
        <v>1.012</v>
      </c>
      <c r="Z6" s="31" t="n"/>
      <c r="AA6" s="31" t="n"/>
      <c r="AB6" s="31" t="n"/>
      <c r="AC6" s="31" t="n"/>
      <c r="AD6" s="31" t="n"/>
      <c r="AE6" s="31" t="n"/>
      <c r="AF6" s="31" t="n"/>
      <c r="AG6" s="31" t="n"/>
      <c r="AH6" s="31" t="n"/>
      <c r="AI6" s="31" t="n"/>
      <c r="AJ6" s="31" t="n"/>
      <c r="AK6" s="31" t="n"/>
      <c r="AL6" s="31" t="n"/>
      <c r="AM6" s="32" t="n"/>
      <c r="AN6" s="32" t="n"/>
      <c r="AO6" s="32" t="n"/>
      <c r="AP6" s="32" t="n"/>
      <c r="AQ6" s="32" t="n"/>
      <c r="AR6" s="32" t="n"/>
      <c r="AS6" s="32" t="n"/>
      <c r="AT6" s="32" t="n"/>
      <c r="AU6" s="32" t="n"/>
      <c r="AV6" s="32" t="n"/>
      <c r="AW6" s="32" t="n"/>
      <c r="AX6" s="32" t="n"/>
      <c r="AY6" s="32" t="n"/>
      <c r="AZ6" s="40" t="n"/>
      <c r="BA6" s="40" t="n"/>
    </row>
    <row r="7">
      <c r="A7" s="35" t="n">
        <v>3</v>
      </c>
      <c r="B7" s="35">
        <f>B6</f>
        <v/>
      </c>
      <c r="C7" s="32">
        <f>GSD!F7</f>
        <v/>
      </c>
      <c r="D7" s="35">
        <f>GSD!E7</f>
        <v/>
      </c>
      <c r="E7" s="36" t="n">
        <v>27</v>
      </c>
      <c r="F7" s="103" t="n">
        <v>0.008559421270000001</v>
      </c>
      <c r="G7" s="104" t="n">
        <v>2.63</v>
      </c>
      <c r="H7" s="35" t="n">
        <v>0.0005</v>
      </c>
      <c r="I7" s="35" t="n">
        <v>1</v>
      </c>
      <c r="J7" s="35" t="n">
        <v>2</v>
      </c>
      <c r="K7" s="36" t="n">
        <v>0</v>
      </c>
      <c r="L7" s="35" t="n">
        <v>0.3</v>
      </c>
      <c r="M7" s="104" t="n">
        <v>1.011</v>
      </c>
      <c r="N7" s="104" t="n">
        <v>1.01</v>
      </c>
      <c r="O7" s="104" t="n">
        <v>1.01</v>
      </c>
      <c r="P7" s="104" t="n">
        <v>1.009</v>
      </c>
      <c r="Q7" s="104" t="n">
        <v>1.008</v>
      </c>
      <c r="R7" s="104" t="n">
        <v>1.008</v>
      </c>
      <c r="S7" s="104" t="n">
        <v>1.007</v>
      </c>
      <c r="T7" s="104" t="n">
        <v>1.006</v>
      </c>
      <c r="U7" s="104" t="n">
        <v>1.005</v>
      </c>
      <c r="V7" s="104" t="n">
        <v>1.005</v>
      </c>
      <c r="W7" s="104" t="n">
        <v>1.004</v>
      </c>
      <c r="X7" s="104" t="n">
        <v>1.003</v>
      </c>
      <c r="Y7" s="104" t="n">
        <v>1.003</v>
      </c>
      <c r="Z7" s="31" t="n"/>
      <c r="AA7" s="31" t="n"/>
      <c r="AB7" s="31" t="n"/>
      <c r="AC7" s="31" t="n"/>
      <c r="AD7" s="31" t="n"/>
      <c r="AE7" s="31" t="n"/>
      <c r="AF7" s="31" t="n"/>
      <c r="AG7" s="31" t="n"/>
      <c r="AH7" s="31" t="n"/>
      <c r="AI7" s="31" t="n"/>
      <c r="AJ7" s="31" t="n"/>
      <c r="AK7" s="31" t="n"/>
      <c r="AL7" s="31" t="n"/>
      <c r="AM7" s="32" t="n"/>
      <c r="AN7" s="32" t="n"/>
      <c r="AO7" s="32" t="n"/>
      <c r="AP7" s="32" t="n"/>
      <c r="AQ7" s="32" t="n"/>
      <c r="AR7" s="32" t="n"/>
      <c r="AS7" s="32" t="n"/>
      <c r="AT7" s="32" t="n"/>
      <c r="AU7" s="32" t="n"/>
      <c r="AV7" s="32" t="n"/>
      <c r="AW7" s="32" t="n"/>
      <c r="AX7" s="32" t="n"/>
      <c r="AY7" s="32" t="n"/>
      <c r="AZ7" s="40" t="n"/>
      <c r="BA7" s="40" t="n"/>
    </row>
    <row r="8">
      <c r="A8" s="35" t="n">
        <v>4</v>
      </c>
      <c r="B8" s="35">
        <f>B7</f>
        <v/>
      </c>
      <c r="C8" s="32">
        <f>GSD!F8</f>
        <v/>
      </c>
      <c r="D8" s="35">
        <f>GSD!E8</f>
        <v/>
      </c>
      <c r="E8" s="36" t="n">
        <v>27</v>
      </c>
      <c r="F8" s="103" t="n">
        <v>0.008559421270000001</v>
      </c>
      <c r="G8" s="104" t="n">
        <v>2.68</v>
      </c>
      <c r="H8" s="35" t="n">
        <v>0.0005</v>
      </c>
      <c r="I8" s="35" t="n">
        <v>2</v>
      </c>
      <c r="J8" s="35" t="n">
        <v>2</v>
      </c>
      <c r="K8" s="36" t="n">
        <v>0</v>
      </c>
      <c r="L8" s="35" t="n">
        <v>0.3</v>
      </c>
      <c r="M8" s="104" t="n">
        <v>1.011</v>
      </c>
      <c r="N8" s="104" t="n">
        <v>1.01</v>
      </c>
      <c r="O8" s="104" t="n">
        <v>1.01</v>
      </c>
      <c r="P8" s="104" t="n">
        <v>1.009</v>
      </c>
      <c r="Q8" s="104" t="n">
        <v>1.009</v>
      </c>
      <c r="R8" s="104" t="n">
        <v>1.008</v>
      </c>
      <c r="S8" s="104" t="n">
        <v>1.008</v>
      </c>
      <c r="T8" s="104" t="n">
        <v>1.007</v>
      </c>
      <c r="U8" s="104" t="n">
        <v>1.006</v>
      </c>
      <c r="V8" s="104" t="n">
        <v>1.006</v>
      </c>
      <c r="W8" s="104" t="n">
        <v>1.005</v>
      </c>
      <c r="X8" s="104" t="n">
        <v>1.005</v>
      </c>
      <c r="Y8" s="104" t="n">
        <v>1.005</v>
      </c>
      <c r="Z8" s="31" t="n"/>
      <c r="AA8" s="31" t="n"/>
      <c r="AB8" s="31" t="n"/>
      <c r="AC8" s="31" t="n"/>
      <c r="AD8" s="31" t="n"/>
      <c r="AE8" s="31" t="n"/>
      <c r="AF8" s="31" t="n"/>
      <c r="AG8" s="31" t="n"/>
      <c r="AH8" s="31" t="n"/>
      <c r="AI8" s="31" t="n"/>
      <c r="AJ8" s="31" t="n"/>
      <c r="AK8" s="31" t="n"/>
      <c r="AL8" s="31" t="n"/>
      <c r="AM8" s="32" t="n"/>
      <c r="AN8" s="32" t="n"/>
      <c r="AO8" s="32" t="n"/>
      <c r="AP8" s="32" t="n"/>
      <c r="AQ8" s="32" t="n"/>
      <c r="AR8" s="32" t="n"/>
      <c r="AS8" s="32" t="n"/>
      <c r="AT8" s="32" t="n"/>
      <c r="AU8" s="32" t="n"/>
      <c r="AV8" s="32" t="n"/>
      <c r="AW8" s="32" t="n"/>
      <c r="AX8" s="32" t="n"/>
      <c r="AY8" s="32" t="n"/>
      <c r="AZ8" s="40" t="n"/>
      <c r="BA8" s="40" t="n"/>
    </row>
    <row r="9">
      <c r="A9" s="35" t="n">
        <v>5</v>
      </c>
      <c r="B9" s="35">
        <f>B8</f>
        <v/>
      </c>
      <c r="C9" s="32">
        <f>GSD!F9</f>
        <v/>
      </c>
      <c r="D9" s="35">
        <f>GSD!E9</f>
        <v/>
      </c>
      <c r="E9" s="36" t="n">
        <v>27</v>
      </c>
      <c r="F9" s="103" t="n">
        <v>0.008559421270000001</v>
      </c>
      <c r="G9" s="104" t="n">
        <v>2.69</v>
      </c>
      <c r="H9" s="35" t="n">
        <v>0.0005</v>
      </c>
      <c r="I9" s="35" t="n">
        <v>2</v>
      </c>
      <c r="J9" s="35" t="n">
        <v>1</v>
      </c>
      <c r="K9" s="36" t="n">
        <v>0</v>
      </c>
      <c r="L9" s="35" t="n">
        <v>0.3</v>
      </c>
      <c r="M9" s="104" t="n">
        <v>1.01</v>
      </c>
      <c r="N9" s="104" t="n">
        <v>1.01</v>
      </c>
      <c r="O9" s="104" t="n">
        <v>1.009</v>
      </c>
      <c r="P9" s="104" t="n">
        <v>1.009</v>
      </c>
      <c r="Q9" s="104" t="n">
        <v>1.008</v>
      </c>
      <c r="R9" s="104" t="n">
        <v>1.008</v>
      </c>
      <c r="S9" s="104" t="n">
        <v>1.007</v>
      </c>
      <c r="T9" s="104" t="n">
        <v>1.006</v>
      </c>
      <c r="U9" s="104" t="n">
        <v>1.006</v>
      </c>
      <c r="V9" s="104" t="n">
        <v>1.005</v>
      </c>
      <c r="W9" s="104" t="n">
        <v>1.004</v>
      </c>
      <c r="X9" s="104" t="n">
        <v>1.004</v>
      </c>
      <c r="Y9" s="104" t="n">
        <v>1.004</v>
      </c>
      <c r="Z9" s="31" t="n"/>
      <c r="AA9" s="31" t="n"/>
      <c r="AB9" s="31" t="n"/>
      <c r="AC9" s="31" t="n"/>
      <c r="AD9" s="31" t="n"/>
      <c r="AE9" s="31" t="n"/>
      <c r="AF9" s="31" t="n"/>
      <c r="AG9" s="31" t="n"/>
      <c r="AH9" s="31" t="n"/>
      <c r="AI9" s="31" t="n"/>
      <c r="AJ9" s="31" t="n"/>
      <c r="AK9" s="31" t="n"/>
      <c r="AL9" s="31" t="n"/>
      <c r="AM9" s="32" t="n"/>
      <c r="AN9" s="32" t="n"/>
      <c r="AO9" s="32" t="n"/>
      <c r="AP9" s="32" t="n"/>
      <c r="AQ9" s="32" t="n"/>
      <c r="AR9" s="32" t="n"/>
      <c r="AS9" s="32" t="n"/>
      <c r="AT9" s="32" t="n"/>
      <c r="AU9" s="32" t="n"/>
      <c r="AV9" s="32" t="n"/>
      <c r="AW9" s="32" t="n"/>
      <c r="AX9" s="32" t="n"/>
      <c r="AY9" s="32" t="n"/>
      <c r="AZ9" s="40" t="n"/>
      <c r="BA9" s="40" t="n"/>
    </row>
    <row r="10" s="41">
      <c r="A10" s="35" t="n">
        <v>6</v>
      </c>
      <c r="B10" s="35">
        <f>B9</f>
        <v/>
      </c>
      <c r="C10" s="36">
        <f>GSD!F10</f>
        <v/>
      </c>
      <c r="D10" s="35">
        <f>GSD!E10</f>
        <v/>
      </c>
      <c r="E10" s="36" t="n">
        <v>27</v>
      </c>
      <c r="F10" s="103" t="n">
        <v>0.008559421270000001</v>
      </c>
      <c r="G10" s="104" t="n">
        <v>2.65</v>
      </c>
      <c r="H10" s="35" t="n">
        <v>0.0005</v>
      </c>
      <c r="I10" s="35" t="n">
        <v>2</v>
      </c>
      <c r="J10" s="35" t="n">
        <v>1</v>
      </c>
      <c r="K10" s="36" t="n">
        <v>0</v>
      </c>
      <c r="L10" s="35" t="n">
        <v>0.3</v>
      </c>
      <c r="M10" s="104" t="n">
        <v>1.01</v>
      </c>
      <c r="N10" s="104" t="n">
        <v>1.009</v>
      </c>
      <c r="O10" s="104" t="n">
        <v>1.009</v>
      </c>
      <c r="P10" s="104" t="n">
        <v>1.008</v>
      </c>
      <c r="Q10" s="104" t="n">
        <v>1.008</v>
      </c>
      <c r="R10" s="104" t="n">
        <v>1.007</v>
      </c>
      <c r="S10" s="104" t="n">
        <v>1.006</v>
      </c>
      <c r="T10" s="104" t="n">
        <v>1.006</v>
      </c>
      <c r="U10" s="104" t="n">
        <v>1.005</v>
      </c>
      <c r="V10" s="104" t="n">
        <v>1.005</v>
      </c>
      <c r="W10" s="104" t="n">
        <v>1.004</v>
      </c>
      <c r="X10" s="104" t="n">
        <v>1.004</v>
      </c>
      <c r="Y10" s="104" t="n">
        <v>1.004</v>
      </c>
      <c r="Z10" s="39" t="n"/>
      <c r="AA10" s="39" t="n"/>
      <c r="AB10" s="39" t="n"/>
      <c r="AC10" s="39" t="n"/>
      <c r="AD10" s="39" t="n"/>
      <c r="AE10" s="39" t="n"/>
      <c r="AF10" s="39" t="n"/>
      <c r="AG10" s="39" t="n"/>
      <c r="AH10" s="39" t="n"/>
      <c r="AI10" s="39" t="n"/>
      <c r="AJ10" s="39" t="n"/>
      <c r="AK10" s="39" t="n"/>
      <c r="AL10" s="39" t="n"/>
      <c r="AM10" s="36" t="n"/>
      <c r="AN10" s="36" t="n"/>
      <c r="AO10" s="36" t="n"/>
      <c r="AP10" s="36" t="n"/>
      <c r="AQ10" s="36" t="n"/>
      <c r="AR10" s="36" t="n"/>
      <c r="AS10" s="36" t="n"/>
      <c r="AT10" s="36" t="n"/>
      <c r="AU10" s="36" t="n"/>
      <c r="AV10" s="36" t="n"/>
      <c r="AW10" s="36" t="n"/>
      <c r="AX10" s="36" t="n"/>
      <c r="AY10" s="36" t="n"/>
      <c r="AZ10" s="40" t="n"/>
      <c r="BA10" s="40" t="n"/>
    </row>
    <row r="11" s="41">
      <c r="A11" s="35" t="n">
        <v>7</v>
      </c>
      <c r="B11" s="35">
        <f>B10</f>
        <v/>
      </c>
      <c r="C11" s="36">
        <f>GSD!F11</f>
        <v/>
      </c>
      <c r="D11" s="35">
        <f>GSD!E11</f>
        <v/>
      </c>
      <c r="E11" s="36" t="n">
        <v>27</v>
      </c>
      <c r="F11" s="103" t="n">
        <v>0.008559421270000001</v>
      </c>
      <c r="G11" s="104" t="n">
        <v>2.68</v>
      </c>
      <c r="H11" s="35" t="n">
        <v>0.0005</v>
      </c>
      <c r="I11" s="35" t="n">
        <v>2</v>
      </c>
      <c r="J11" s="35" t="n">
        <v>1</v>
      </c>
      <c r="K11" s="36" t="n">
        <v>0</v>
      </c>
      <c r="L11" s="35" t="n">
        <v>0.3</v>
      </c>
      <c r="M11" s="104" t="n">
        <v>1.009</v>
      </c>
      <c r="N11" s="104" t="n">
        <v>1.009</v>
      </c>
      <c r="O11" s="104" t="n">
        <v>1.008</v>
      </c>
      <c r="P11" s="104" t="n">
        <v>1.008</v>
      </c>
      <c r="Q11" s="104" t="n">
        <v>1.007</v>
      </c>
      <c r="R11" s="104" t="n">
        <v>1.007</v>
      </c>
      <c r="S11" s="104" t="n">
        <v>1.006</v>
      </c>
      <c r="T11" s="104" t="n">
        <v>1.006</v>
      </c>
      <c r="U11" s="104" t="n">
        <v>1.005</v>
      </c>
      <c r="V11" s="104" t="n">
        <v>1.004</v>
      </c>
      <c r="W11" s="104" t="n">
        <v>1.004</v>
      </c>
      <c r="X11" s="104" t="n">
        <v>1.003</v>
      </c>
      <c r="Y11" s="104" t="n">
        <v>1.003</v>
      </c>
      <c r="Z11" s="39" t="n"/>
      <c r="AA11" s="39" t="n"/>
      <c r="AB11" s="39" t="n"/>
      <c r="AC11" s="39" t="n"/>
      <c r="AD11" s="39" t="n"/>
      <c r="AE11" s="39" t="n"/>
      <c r="AF11" s="39" t="n"/>
      <c r="AG11" s="39" t="n"/>
      <c r="AH11" s="39" t="n"/>
      <c r="AI11" s="39" t="n"/>
      <c r="AJ11" s="39" t="n"/>
      <c r="AK11" s="39" t="n"/>
      <c r="AL11" s="39" t="n"/>
      <c r="AM11" s="36" t="n"/>
      <c r="AN11" s="36" t="n"/>
      <c r="AO11" s="36" t="n"/>
      <c r="AP11" s="36" t="n"/>
      <c r="AQ11" s="36" t="n"/>
      <c r="AR11" s="36" t="n"/>
      <c r="AS11" s="36" t="n"/>
      <c r="AT11" s="36" t="n"/>
      <c r="AU11" s="36" t="n"/>
      <c r="AV11" s="36" t="n"/>
      <c r="AW11" s="36" t="n"/>
      <c r="AX11" s="36" t="n"/>
      <c r="AY11" s="36" t="n"/>
      <c r="AZ11" s="40" t="n"/>
      <c r="BA11" s="40" t="n"/>
    </row>
    <row r="12" s="41">
      <c r="A12" s="35" t="n">
        <v>8</v>
      </c>
      <c r="B12" s="35">
        <f>B11</f>
        <v/>
      </c>
      <c r="C12" s="36">
        <f>GSD!F12</f>
        <v/>
      </c>
      <c r="D12" s="35">
        <f>GSD!E12</f>
        <v/>
      </c>
      <c r="E12" s="36" t="n">
        <v>27</v>
      </c>
      <c r="F12" s="103">
        <f>(0.000000002615*E12^4) - (0.00000030607*E12^3) + (0.000016427499*E12^2) - (0.000618546309*E12) + 0.017919182437</f>
        <v/>
      </c>
      <c r="G12" s="104" t="n"/>
      <c r="H12" s="35" t="n">
        <v>0.0005</v>
      </c>
      <c r="I12" s="35" t="n">
        <v>1</v>
      </c>
      <c r="J12" s="35" t="n">
        <v>2</v>
      </c>
      <c r="K12" s="36">
        <f>(E12-27)*0.25</f>
        <v/>
      </c>
      <c r="L12" s="35" t="n">
        <v>0.3</v>
      </c>
      <c r="M12" s="104" t="n"/>
      <c r="N12" s="104" t="n"/>
      <c r="O12" s="104" t="n"/>
      <c r="P12" s="104" t="n"/>
      <c r="Q12" s="104" t="n"/>
      <c r="R12" s="104" t="n"/>
      <c r="S12" s="104" t="n"/>
      <c r="T12" s="104" t="n"/>
      <c r="U12" s="104" t="n"/>
      <c r="V12" s="104" t="n"/>
      <c r="W12" s="104" t="n"/>
      <c r="X12" s="104" t="n"/>
      <c r="Y12" s="104" t="n"/>
      <c r="Z12" s="39" t="n"/>
      <c r="AA12" s="39" t="n"/>
      <c r="AB12" s="39" t="n"/>
      <c r="AC12" s="39" t="n"/>
      <c r="AD12" s="39" t="n"/>
      <c r="AE12" s="39" t="n"/>
      <c r="AF12" s="39" t="n"/>
      <c r="AG12" s="39" t="n"/>
      <c r="AH12" s="39" t="n"/>
      <c r="AI12" s="39" t="n"/>
      <c r="AJ12" s="39" t="n"/>
      <c r="AK12" s="39" t="n"/>
      <c r="AL12" s="39" t="n"/>
      <c r="AM12" s="36" t="n"/>
      <c r="AN12" s="36" t="n"/>
      <c r="AO12" s="36" t="n"/>
      <c r="AP12" s="36" t="n"/>
      <c r="AQ12" s="36" t="n"/>
      <c r="AR12" s="36" t="n"/>
      <c r="AS12" s="36" t="n"/>
      <c r="AT12" s="36" t="n"/>
      <c r="AU12" s="36" t="n"/>
      <c r="AV12" s="36" t="n"/>
      <c r="AW12" s="36" t="n"/>
      <c r="AX12" s="36" t="n"/>
      <c r="AY12" s="36" t="n"/>
      <c r="AZ12" s="40" t="n"/>
      <c r="BA12" s="40" t="n"/>
    </row>
    <row r="13" s="41">
      <c r="A13" s="35" t="n">
        <v>9</v>
      </c>
      <c r="B13" s="35">
        <f>B12</f>
        <v/>
      </c>
      <c r="C13" s="36">
        <f>GSD!F13</f>
        <v/>
      </c>
      <c r="D13" s="35">
        <f>GSD!E13</f>
        <v/>
      </c>
      <c r="E13" s="36" t="n">
        <v>27</v>
      </c>
      <c r="F13" s="103">
        <f>(0.000000002615*E13^4) - (0.00000030607*E13^3) + (0.000016427499*E13^2) - (0.000618546309*E13) + 0.017919182437</f>
        <v/>
      </c>
      <c r="G13" s="104" t="n"/>
      <c r="H13" s="35" t="n">
        <v>0.0005</v>
      </c>
      <c r="I13" s="35" t="n">
        <v>1</v>
      </c>
      <c r="J13" s="35" t="n">
        <v>2</v>
      </c>
      <c r="K13" s="36">
        <f>(E13-27)*0.25</f>
        <v/>
      </c>
      <c r="L13" s="35" t="n">
        <v>0.3</v>
      </c>
      <c r="M13" s="104" t="n"/>
      <c r="N13" s="104" t="n"/>
      <c r="O13" s="104" t="n"/>
      <c r="P13" s="104" t="n"/>
      <c r="Q13" s="104" t="n"/>
      <c r="R13" s="104" t="n"/>
      <c r="S13" s="104" t="n"/>
      <c r="T13" s="104" t="n"/>
      <c r="U13" s="104" t="n"/>
      <c r="V13" s="104" t="n"/>
      <c r="W13" s="104" t="n"/>
      <c r="X13" s="104" t="n"/>
      <c r="Y13" s="104" t="n"/>
      <c r="Z13" s="39" t="n"/>
      <c r="AA13" s="39" t="n"/>
      <c r="AB13" s="39" t="n"/>
      <c r="AC13" s="39" t="n"/>
      <c r="AD13" s="39" t="n"/>
      <c r="AE13" s="39" t="n"/>
      <c r="AF13" s="39" t="n"/>
      <c r="AG13" s="39" t="n"/>
      <c r="AH13" s="39" t="n"/>
      <c r="AI13" s="39" t="n"/>
      <c r="AJ13" s="39" t="n"/>
      <c r="AK13" s="39" t="n"/>
      <c r="AL13" s="39" t="n"/>
      <c r="AM13" s="36" t="n"/>
      <c r="AN13" s="36" t="n"/>
      <c r="AO13" s="36" t="n"/>
      <c r="AP13" s="36" t="n"/>
      <c r="AQ13" s="36" t="n"/>
      <c r="AR13" s="36" t="n"/>
      <c r="AS13" s="36" t="n"/>
      <c r="AT13" s="36" t="n"/>
      <c r="AU13" s="36" t="n"/>
      <c r="AV13" s="36" t="n"/>
      <c r="AW13" s="36" t="n"/>
      <c r="AX13" s="36" t="n"/>
      <c r="AY13" s="36" t="n"/>
      <c r="AZ13" s="40" t="n"/>
      <c r="BA13" s="40" t="n"/>
    </row>
  </sheetData>
  <mergeCells count="57">
    <mergeCell ref="G1:G3"/>
    <mergeCell ref="AM4:AY4"/>
    <mergeCell ref="M2:M3"/>
    <mergeCell ref="Z4:AL4"/>
    <mergeCell ref="A1:A4"/>
    <mergeCell ref="AE2:AE3"/>
    <mergeCell ref="U2:U3"/>
    <mergeCell ref="N2:N3"/>
    <mergeCell ref="AX2:AX3"/>
    <mergeCell ref="AG2:AG3"/>
    <mergeCell ref="C1:C4"/>
    <mergeCell ref="P2:P3"/>
    <mergeCell ref="I1:I3"/>
    <mergeCell ref="Y2:Y3"/>
    <mergeCell ref="AQ2:AQ3"/>
    <mergeCell ref="Z1:AL1"/>
    <mergeCell ref="AS2:AS3"/>
    <mergeCell ref="D1:D3"/>
    <mergeCell ref="S2:S3"/>
    <mergeCell ref="F1:F3"/>
    <mergeCell ref="M4:Y4"/>
    <mergeCell ref="Z2:Z3"/>
    <mergeCell ref="AB2:AB3"/>
    <mergeCell ref="AD2:AD3"/>
    <mergeCell ref="B1:B4"/>
    <mergeCell ref="T2:T3"/>
    <mergeCell ref="AF2:AF3"/>
    <mergeCell ref="AH2:AH3"/>
    <mergeCell ref="J1:J3"/>
    <mergeCell ref="W2:W3"/>
    <mergeCell ref="AY2:AY3"/>
    <mergeCell ref="AP2:AP3"/>
    <mergeCell ref="AN2:AN3"/>
    <mergeCell ref="K1:K3"/>
    <mergeCell ref="H1:H3"/>
    <mergeCell ref="M1:Y1"/>
    <mergeCell ref="O2:O3"/>
    <mergeCell ref="AA2:AA3"/>
    <mergeCell ref="Q2:Q3"/>
    <mergeCell ref="AR2:AR3"/>
    <mergeCell ref="AC2:AC3"/>
    <mergeCell ref="E1:E3"/>
    <mergeCell ref="R2:R3"/>
    <mergeCell ref="AI2:AI3"/>
    <mergeCell ref="AT2:AT3"/>
    <mergeCell ref="AK2:AK3"/>
    <mergeCell ref="AM2:AM3"/>
    <mergeCell ref="AO2:AO3"/>
    <mergeCell ref="AU2:AU3"/>
    <mergeCell ref="AW2:AW3"/>
    <mergeCell ref="AM1:AY1"/>
    <mergeCell ref="V2:V3"/>
    <mergeCell ref="AV2:AV3"/>
    <mergeCell ref="X2:X3"/>
    <mergeCell ref="AJ2:AJ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zoomScale="145" zoomScaleNormal="145" workbookViewId="0">
      <selection activeCell="C27" sqref="C27"/>
    </sheetView>
  </sheetViews>
  <sheetFormatPr baseColWidth="8" defaultRowHeight="15"/>
  <sheetData>
    <row r="1" ht="30" customHeight="1" s="41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53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53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53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53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53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53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53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53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53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53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53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53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53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53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53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53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53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53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53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53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53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53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53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53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53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53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53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53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53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53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53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53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53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53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53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53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53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53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53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53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W11"/>
  <sheetViews>
    <sheetView tabSelected="1" topLeftCell="AS1" zoomScale="130" zoomScaleNormal="130" workbookViewId="0">
      <selection activeCell="BG22" sqref="BG22"/>
    </sheetView>
  </sheetViews>
  <sheetFormatPr baseColWidth="8" defaultRowHeight="15"/>
  <sheetData>
    <row r="1">
      <c r="L1" s="23" t="n">
        <v>0.5</v>
      </c>
      <c r="M1" s="23" t="n">
        <v>1</v>
      </c>
      <c r="N1" s="23" t="n">
        <v>2</v>
      </c>
      <c r="O1" s="23" t="n">
        <v>4</v>
      </c>
      <c r="P1" s="23" t="n">
        <v>8</v>
      </c>
      <c r="Q1" s="23" t="n">
        <v>15</v>
      </c>
      <c r="R1" s="23" t="n">
        <v>30</v>
      </c>
      <c r="S1" s="23" t="n">
        <v>60</v>
      </c>
      <c r="T1" s="23" t="n">
        <v>120</v>
      </c>
      <c r="U1" s="23" t="n">
        <v>240</v>
      </c>
      <c r="V1" s="23" t="n">
        <v>480</v>
      </c>
      <c r="W1" s="23" t="n">
        <v>960</v>
      </c>
      <c r="X1" s="23" t="n">
        <v>1440</v>
      </c>
      <c r="Y1" s="23" t="n">
        <v>4.75</v>
      </c>
      <c r="Z1" s="23" t="n">
        <v>2</v>
      </c>
      <c r="AA1" s="25" t="n">
        <v>1.18</v>
      </c>
      <c r="AB1" s="25" t="n">
        <v>0.6</v>
      </c>
      <c r="AC1" s="25" t="n">
        <v>0.425</v>
      </c>
      <c r="AD1" s="25" t="n">
        <v>0.3</v>
      </c>
      <c r="AE1" s="25" t="n">
        <v>0.15</v>
      </c>
      <c r="AF1" s="25" t="n">
        <v>0.075</v>
      </c>
      <c r="AG1" s="23" t="n">
        <v>0.5</v>
      </c>
      <c r="AH1" s="23" t="n">
        <v>1</v>
      </c>
      <c r="AI1" s="23" t="n">
        <v>2</v>
      </c>
      <c r="AJ1" s="23" t="n">
        <v>4</v>
      </c>
      <c r="AK1" s="23" t="n">
        <v>8</v>
      </c>
      <c r="AL1" s="23" t="n">
        <v>15</v>
      </c>
      <c r="AM1" s="23" t="n">
        <v>30</v>
      </c>
      <c r="AN1" s="23" t="n">
        <v>60</v>
      </c>
      <c r="AO1" s="23" t="n">
        <v>120</v>
      </c>
      <c r="AP1" s="23" t="n">
        <v>240</v>
      </c>
      <c r="AQ1" s="23" t="n">
        <v>480</v>
      </c>
      <c r="AR1" s="23" t="n">
        <v>960</v>
      </c>
      <c r="AS1" s="23" t="n">
        <v>1440</v>
      </c>
    </row>
    <row r="2" ht="17.25" customHeight="1" s="41">
      <c r="A2" s="87" t="inlineStr">
        <is>
          <t>SR No.</t>
        </is>
      </c>
      <c r="B2" s="87" t="inlineStr">
        <is>
          <t>BH ID</t>
        </is>
      </c>
      <c r="C2" s="87" t="inlineStr">
        <is>
          <t>Depth</t>
        </is>
      </c>
      <c r="D2" s="86" t="inlineStr">
        <is>
          <t>Particle Size in mm (GSD)</t>
        </is>
      </c>
      <c r="E2" s="92" t="n"/>
      <c r="F2" s="92" t="n"/>
      <c r="G2" s="92" t="n"/>
      <c r="H2" s="92" t="n"/>
      <c r="I2" s="92" t="n"/>
      <c r="J2" s="92" t="n"/>
      <c r="K2" s="93" t="n"/>
      <c r="L2" s="86" t="inlineStr">
        <is>
          <t>Particle Size in mm (HYD)</t>
        </is>
      </c>
      <c r="M2" s="92" t="n"/>
      <c r="N2" s="92" t="n"/>
      <c r="O2" s="92" t="n"/>
      <c r="P2" s="92" t="n"/>
      <c r="Q2" s="92" t="n"/>
      <c r="R2" s="92" t="n"/>
      <c r="S2" s="92" t="n"/>
      <c r="T2" s="92" t="n"/>
      <c r="U2" s="92" t="n"/>
      <c r="V2" s="92" t="n"/>
      <c r="W2" s="92" t="n"/>
      <c r="X2" s="93" t="n"/>
      <c r="Y2" s="87" t="inlineStr">
        <is>
          <t>% Passing (GSD)</t>
        </is>
      </c>
      <c r="Z2" s="92" t="n"/>
      <c r="AA2" s="92" t="n"/>
      <c r="AB2" s="92" t="n"/>
      <c r="AC2" s="92" t="n"/>
      <c r="AD2" s="92" t="n"/>
      <c r="AE2" s="92" t="n"/>
      <c r="AF2" s="93" t="n"/>
      <c r="AG2" s="86" t="inlineStr">
        <is>
          <t>% Passing (HYD)</t>
        </is>
      </c>
      <c r="AH2" s="92" t="n"/>
      <c r="AI2" s="92" t="n"/>
      <c r="AJ2" s="92" t="n"/>
      <c r="AK2" s="92" t="n"/>
      <c r="AL2" s="92" t="n"/>
      <c r="AM2" s="92" t="n"/>
      <c r="AN2" s="92" t="n"/>
      <c r="AO2" s="92" t="n"/>
      <c r="AP2" s="92" t="n"/>
      <c r="AQ2" s="92" t="n"/>
      <c r="AR2" s="92" t="n"/>
      <c r="AS2" s="93" t="n"/>
      <c r="AT2" s="87" t="inlineStr">
        <is>
          <t>% Gravel</t>
        </is>
      </c>
      <c r="AU2" s="87" t="inlineStr">
        <is>
          <t>% Sand</t>
        </is>
      </c>
      <c r="AV2" s="87" t="inlineStr">
        <is>
          <t>% Silt</t>
        </is>
      </c>
      <c r="AW2" s="87" t="inlineStr">
        <is>
          <t>% Clay</t>
        </is>
      </c>
    </row>
    <row r="3" customFormat="1" s="53">
      <c r="A3" s="53" t="n">
        <v>1</v>
      </c>
      <c r="B3" s="53">
        <f>GSD!B5</f>
        <v/>
      </c>
      <c r="C3" s="49">
        <f>GSD!F5</f>
        <v/>
      </c>
      <c r="D3" s="105" t="n">
        <v>4.75</v>
      </c>
      <c r="E3" s="105" t="n">
        <v>2</v>
      </c>
      <c r="F3" s="105" t="n">
        <v>1.18</v>
      </c>
      <c r="G3" s="105" t="n">
        <v>0.6</v>
      </c>
      <c r="H3" s="105" t="n">
        <v>0.425</v>
      </c>
      <c r="I3" s="105" t="n">
        <v>0.3</v>
      </c>
      <c r="J3" s="105" t="n">
        <v>0.15</v>
      </c>
      <c r="K3" s="105" t="n">
        <v>0.075</v>
      </c>
      <c r="L3" s="106">
        <f>HYD!Z5</f>
        <v/>
      </c>
      <c r="M3" s="106">
        <f>HYD!AA5</f>
        <v/>
      </c>
      <c r="N3" s="106">
        <f>HYD!AB5</f>
        <v/>
      </c>
      <c r="O3" s="106">
        <f>HYD!AC5</f>
        <v/>
      </c>
      <c r="P3" s="106">
        <f>HYD!AD5</f>
        <v/>
      </c>
      <c r="Q3" s="106">
        <f>HYD!AE5</f>
        <v/>
      </c>
      <c r="R3" s="106">
        <f>HYD!AF5</f>
        <v/>
      </c>
      <c r="S3" s="106">
        <f>HYD!AG5</f>
        <v/>
      </c>
      <c r="T3" s="106">
        <f>HYD!AH5</f>
        <v/>
      </c>
      <c r="U3" s="106">
        <f>HYD!AI5</f>
        <v/>
      </c>
      <c r="V3" s="106">
        <f>HYD!AJ5</f>
        <v/>
      </c>
      <c r="W3" s="106">
        <f>HYD!AK5</f>
        <v/>
      </c>
      <c r="X3" s="106">
        <f>HYD!AL5</f>
        <v/>
      </c>
      <c r="Y3" s="52">
        <f>GSD!S5</f>
        <v/>
      </c>
      <c r="Z3" s="52">
        <f>GSD!T5</f>
        <v/>
      </c>
      <c r="AA3" s="52">
        <f>GSD!U5</f>
        <v/>
      </c>
      <c r="AB3" s="52">
        <f>GSD!V5</f>
        <v/>
      </c>
      <c r="AC3" s="52">
        <f>GSD!W5</f>
        <v/>
      </c>
      <c r="AD3" s="52">
        <f>GSD!X5</f>
        <v/>
      </c>
      <c r="AE3" s="52">
        <f>GSD!Y5</f>
        <v/>
      </c>
      <c r="AF3" s="52">
        <f>GSD!Z5</f>
        <v/>
      </c>
      <c r="AG3" s="52">
        <f>HYD!AM5</f>
        <v/>
      </c>
      <c r="AH3" s="52">
        <f>HYD!AN5</f>
        <v/>
      </c>
      <c r="AI3" s="52">
        <f>HYD!AO5</f>
        <v/>
      </c>
      <c r="AJ3" s="52">
        <f>HYD!AP5</f>
        <v/>
      </c>
      <c r="AK3" s="52">
        <f>HYD!AQ5</f>
        <v/>
      </c>
      <c r="AL3" s="52">
        <f>HYD!AR5</f>
        <v/>
      </c>
      <c r="AM3" s="52">
        <f>HYD!AS5</f>
        <v/>
      </c>
      <c r="AN3" s="52">
        <f>HYD!AT5</f>
        <v/>
      </c>
      <c r="AO3" s="52">
        <f>HYD!AU5</f>
        <v/>
      </c>
      <c r="AP3" s="52">
        <f>HYD!AV5</f>
        <v/>
      </c>
      <c r="AQ3" s="52">
        <f>HYD!AW5</f>
        <v/>
      </c>
      <c r="AR3" s="52">
        <f>HYD!AX5</f>
        <v/>
      </c>
      <c r="AS3" s="52">
        <f>HYD!AY5</f>
        <v/>
      </c>
      <c r="AT3" s="52" t="n"/>
      <c r="AU3" s="52" t="n"/>
      <c r="AV3" s="52" t="n"/>
      <c r="AW3" s="52" t="n"/>
    </row>
    <row r="4" s="41">
      <c r="A4" s="53" t="n">
        <v>2</v>
      </c>
      <c r="B4" s="53">
        <f>B3</f>
        <v/>
      </c>
      <c r="C4" s="49">
        <f>GSD!F6</f>
        <v/>
      </c>
      <c r="D4" s="105" t="n">
        <v>4.75</v>
      </c>
      <c r="E4" s="105" t="n">
        <v>2</v>
      </c>
      <c r="F4" s="105" t="n">
        <v>1.18</v>
      </c>
      <c r="G4" s="105" t="n">
        <v>0.6</v>
      </c>
      <c r="H4" s="105" t="n">
        <v>0.425</v>
      </c>
      <c r="I4" s="105" t="n">
        <v>0.3</v>
      </c>
      <c r="J4" s="105" t="n">
        <v>0.15</v>
      </c>
      <c r="K4" s="105" t="n">
        <v>0.075</v>
      </c>
      <c r="L4" s="106">
        <f>HYD!Z6</f>
        <v/>
      </c>
      <c r="M4" s="106">
        <f>HYD!AA6</f>
        <v/>
      </c>
      <c r="N4" s="106">
        <f>HYD!AB6</f>
        <v/>
      </c>
      <c r="O4" s="106">
        <f>HYD!AC6</f>
        <v/>
      </c>
      <c r="P4" s="106">
        <f>HYD!AD6</f>
        <v/>
      </c>
      <c r="Q4" s="106">
        <f>HYD!AE6</f>
        <v/>
      </c>
      <c r="R4" s="106">
        <f>HYD!AF6</f>
        <v/>
      </c>
      <c r="S4" s="106">
        <f>HYD!AG6</f>
        <v/>
      </c>
      <c r="T4" s="106">
        <f>HYD!AH6</f>
        <v/>
      </c>
      <c r="U4" s="106">
        <f>HYD!AI6</f>
        <v/>
      </c>
      <c r="V4" s="106">
        <f>HYD!AJ6</f>
        <v/>
      </c>
      <c r="W4" s="106">
        <f>HYD!AK6</f>
        <v/>
      </c>
      <c r="X4" s="106">
        <f>HYD!AL6</f>
        <v/>
      </c>
      <c r="Y4" s="52">
        <f>GSD!S6</f>
        <v/>
      </c>
      <c r="Z4" s="52">
        <f>GSD!T6</f>
        <v/>
      </c>
      <c r="AA4" s="52">
        <f>GSD!U6</f>
        <v/>
      </c>
      <c r="AB4" s="52">
        <f>GSD!V6</f>
        <v/>
      </c>
      <c r="AC4" s="52">
        <f>GSD!W6</f>
        <v/>
      </c>
      <c r="AD4" s="52">
        <f>GSD!X6</f>
        <v/>
      </c>
      <c r="AE4" s="52">
        <f>GSD!Y6</f>
        <v/>
      </c>
      <c r="AF4" s="52">
        <f>GSD!Z6</f>
        <v/>
      </c>
      <c r="AG4" s="52">
        <f>HYD!AM6</f>
        <v/>
      </c>
      <c r="AH4" s="52">
        <f>HYD!AN6</f>
        <v/>
      </c>
      <c r="AI4" s="52">
        <f>HYD!AO6</f>
        <v/>
      </c>
      <c r="AJ4" s="52">
        <f>HYD!AP6</f>
        <v/>
      </c>
      <c r="AK4" s="52">
        <f>HYD!AQ6</f>
        <v/>
      </c>
      <c r="AL4" s="52">
        <f>HYD!AR6</f>
        <v/>
      </c>
      <c r="AM4" s="52">
        <f>HYD!AS6</f>
        <v/>
      </c>
      <c r="AN4" s="52">
        <f>HYD!AT6</f>
        <v/>
      </c>
      <c r="AO4" s="52">
        <f>HYD!AU6</f>
        <v/>
      </c>
      <c r="AP4" s="52">
        <f>HYD!AV6</f>
        <v/>
      </c>
      <c r="AQ4" s="52">
        <f>HYD!AW6</f>
        <v/>
      </c>
      <c r="AR4" s="52">
        <f>HYD!AX6</f>
        <v/>
      </c>
      <c r="AS4" s="52">
        <f>HYD!AY6</f>
        <v/>
      </c>
      <c r="AT4" s="52" t="n"/>
      <c r="AU4" s="52" t="n"/>
      <c r="AV4" s="52" t="n"/>
      <c r="AW4" s="52" t="n"/>
    </row>
    <row r="5" s="41">
      <c r="A5" s="53" t="n">
        <v>3</v>
      </c>
      <c r="B5" s="53">
        <f>B4</f>
        <v/>
      </c>
      <c r="C5" s="49">
        <f>GSD!F7</f>
        <v/>
      </c>
      <c r="D5" s="105" t="n">
        <v>4.75</v>
      </c>
      <c r="E5" s="105" t="n">
        <v>2</v>
      </c>
      <c r="F5" s="105" t="n">
        <v>1.18</v>
      </c>
      <c r="G5" s="105" t="n">
        <v>0.6</v>
      </c>
      <c r="H5" s="105" t="n">
        <v>0.425</v>
      </c>
      <c r="I5" s="105" t="n">
        <v>0.3</v>
      </c>
      <c r="J5" s="105" t="n">
        <v>0.15</v>
      </c>
      <c r="K5" s="105" t="n">
        <v>0.075</v>
      </c>
      <c r="L5" s="106">
        <f>HYD!Z7</f>
        <v/>
      </c>
      <c r="M5" s="106">
        <f>HYD!AA7</f>
        <v/>
      </c>
      <c r="N5" s="106">
        <f>HYD!AB7</f>
        <v/>
      </c>
      <c r="O5" s="106">
        <f>HYD!AC7</f>
        <v/>
      </c>
      <c r="P5" s="106">
        <f>HYD!AD7</f>
        <v/>
      </c>
      <c r="Q5" s="106">
        <f>HYD!AE7</f>
        <v/>
      </c>
      <c r="R5" s="106">
        <f>HYD!AF7</f>
        <v/>
      </c>
      <c r="S5" s="106">
        <f>HYD!AG7</f>
        <v/>
      </c>
      <c r="T5" s="106">
        <f>HYD!AH7</f>
        <v/>
      </c>
      <c r="U5" s="106">
        <f>HYD!AI7</f>
        <v/>
      </c>
      <c r="V5" s="106">
        <f>HYD!AJ7</f>
        <v/>
      </c>
      <c r="W5" s="106">
        <f>HYD!AK7</f>
        <v/>
      </c>
      <c r="X5" s="106">
        <f>HYD!AL7</f>
        <v/>
      </c>
      <c r="Y5" s="52">
        <f>GSD!S7</f>
        <v/>
      </c>
      <c r="Z5" s="52">
        <f>GSD!T7</f>
        <v/>
      </c>
      <c r="AA5" s="52">
        <f>GSD!U7</f>
        <v/>
      </c>
      <c r="AB5" s="52">
        <f>GSD!V7</f>
        <v/>
      </c>
      <c r="AC5" s="52">
        <f>GSD!W7</f>
        <v/>
      </c>
      <c r="AD5" s="52">
        <f>GSD!X7</f>
        <v/>
      </c>
      <c r="AE5" s="52">
        <f>GSD!Y7</f>
        <v/>
      </c>
      <c r="AF5" s="52">
        <f>GSD!Z7</f>
        <v/>
      </c>
      <c r="AG5" s="52">
        <f>HYD!AM7</f>
        <v/>
      </c>
      <c r="AH5" s="52">
        <f>HYD!AN7</f>
        <v/>
      </c>
      <c r="AI5" s="52">
        <f>HYD!AO7</f>
        <v/>
      </c>
      <c r="AJ5" s="52">
        <f>HYD!AP7</f>
        <v/>
      </c>
      <c r="AK5" s="52">
        <f>HYD!AQ7</f>
        <v/>
      </c>
      <c r="AL5" s="52">
        <f>HYD!AR7</f>
        <v/>
      </c>
      <c r="AM5" s="52">
        <f>HYD!AS7</f>
        <v/>
      </c>
      <c r="AN5" s="52">
        <f>HYD!AT7</f>
        <v/>
      </c>
      <c r="AO5" s="52">
        <f>HYD!AU7</f>
        <v/>
      </c>
      <c r="AP5" s="52">
        <f>HYD!AV7</f>
        <v/>
      </c>
      <c r="AQ5" s="52">
        <f>HYD!AW7</f>
        <v/>
      </c>
      <c r="AR5" s="52">
        <f>HYD!AX7</f>
        <v/>
      </c>
      <c r="AS5" s="52">
        <f>HYD!AY7</f>
        <v/>
      </c>
      <c r="AT5" s="52" t="n"/>
      <c r="AU5" s="52" t="n"/>
      <c r="AV5" s="52" t="n"/>
      <c r="AW5" s="52" t="n"/>
    </row>
    <row r="6" s="41">
      <c r="A6" s="53" t="n">
        <v>4</v>
      </c>
      <c r="B6" s="53">
        <f>B5</f>
        <v/>
      </c>
      <c r="C6" s="49">
        <f>GSD!F8</f>
        <v/>
      </c>
      <c r="D6" s="105" t="n">
        <v>4.75</v>
      </c>
      <c r="E6" s="105" t="n">
        <v>2</v>
      </c>
      <c r="F6" s="105" t="n">
        <v>1.18</v>
      </c>
      <c r="G6" s="105" t="n">
        <v>0.6</v>
      </c>
      <c r="H6" s="105" t="n">
        <v>0.425</v>
      </c>
      <c r="I6" s="105" t="n">
        <v>0.3</v>
      </c>
      <c r="J6" s="105" t="n">
        <v>0.15</v>
      </c>
      <c r="K6" s="105" t="n">
        <v>0.075</v>
      </c>
      <c r="L6" s="106">
        <f>HYD!Z8</f>
        <v/>
      </c>
      <c r="M6" s="106">
        <f>HYD!AA8</f>
        <v/>
      </c>
      <c r="N6" s="106">
        <f>HYD!AB8</f>
        <v/>
      </c>
      <c r="O6" s="106">
        <f>HYD!AC8</f>
        <v/>
      </c>
      <c r="P6" s="106">
        <f>HYD!AD8</f>
        <v/>
      </c>
      <c r="Q6" s="106">
        <f>HYD!AE8</f>
        <v/>
      </c>
      <c r="R6" s="106">
        <f>HYD!AF8</f>
        <v/>
      </c>
      <c r="S6" s="106">
        <f>HYD!AG8</f>
        <v/>
      </c>
      <c r="T6" s="106">
        <f>HYD!AH8</f>
        <v/>
      </c>
      <c r="U6" s="106">
        <f>HYD!AI8</f>
        <v/>
      </c>
      <c r="V6" s="106">
        <f>HYD!AJ8</f>
        <v/>
      </c>
      <c r="W6" s="106">
        <f>HYD!AK8</f>
        <v/>
      </c>
      <c r="X6" s="106">
        <f>HYD!AL8</f>
        <v/>
      </c>
      <c r="Y6" s="52">
        <f>GSD!S8</f>
        <v/>
      </c>
      <c r="Z6" s="52">
        <f>GSD!T8</f>
        <v/>
      </c>
      <c r="AA6" s="52">
        <f>GSD!U8</f>
        <v/>
      </c>
      <c r="AB6" s="52">
        <f>GSD!V8</f>
        <v/>
      </c>
      <c r="AC6" s="52">
        <f>GSD!W8</f>
        <v/>
      </c>
      <c r="AD6" s="52">
        <f>GSD!X8</f>
        <v/>
      </c>
      <c r="AE6" s="52">
        <f>GSD!Y8</f>
        <v/>
      </c>
      <c r="AF6" s="52">
        <f>GSD!Z8</f>
        <v/>
      </c>
      <c r="AG6" s="52">
        <f>HYD!AM8</f>
        <v/>
      </c>
      <c r="AH6" s="52">
        <f>HYD!AN8</f>
        <v/>
      </c>
      <c r="AI6" s="52">
        <f>HYD!AO8</f>
        <v/>
      </c>
      <c r="AJ6" s="52">
        <f>HYD!AP8</f>
        <v/>
      </c>
      <c r="AK6" s="52">
        <f>HYD!AQ8</f>
        <v/>
      </c>
      <c r="AL6" s="52">
        <f>HYD!AR8</f>
        <v/>
      </c>
      <c r="AM6" s="52">
        <f>HYD!AS8</f>
        <v/>
      </c>
      <c r="AN6" s="52">
        <f>HYD!AT8</f>
        <v/>
      </c>
      <c r="AO6" s="52">
        <f>HYD!AU8</f>
        <v/>
      </c>
      <c r="AP6" s="52">
        <f>HYD!AV8</f>
        <v/>
      </c>
      <c r="AQ6" s="52">
        <f>HYD!AW8</f>
        <v/>
      </c>
      <c r="AR6" s="52">
        <f>HYD!AX8</f>
        <v/>
      </c>
      <c r="AS6" s="52">
        <f>HYD!AY8</f>
        <v/>
      </c>
      <c r="AT6" s="52" t="n"/>
      <c r="AU6" s="52" t="n"/>
      <c r="AV6" s="52" t="n"/>
      <c r="AW6" s="52" t="n"/>
    </row>
    <row r="7" s="41">
      <c r="A7" s="53" t="n">
        <v>5</v>
      </c>
      <c r="B7" s="53">
        <f>B6</f>
        <v/>
      </c>
      <c r="C7" s="49">
        <f>GSD!F9</f>
        <v/>
      </c>
      <c r="D7" s="105" t="n">
        <v>4.75</v>
      </c>
      <c r="E7" s="105" t="n">
        <v>2</v>
      </c>
      <c r="F7" s="105" t="n">
        <v>1.18</v>
      </c>
      <c r="G7" s="105" t="n">
        <v>0.6</v>
      </c>
      <c r="H7" s="105" t="n">
        <v>0.425</v>
      </c>
      <c r="I7" s="105" t="n">
        <v>0.3</v>
      </c>
      <c r="J7" s="105" t="n">
        <v>0.15</v>
      </c>
      <c r="K7" s="105" t="n">
        <v>0.075</v>
      </c>
      <c r="L7" s="106">
        <f>HYD!Z9</f>
        <v/>
      </c>
      <c r="M7" s="106">
        <f>HYD!AA9</f>
        <v/>
      </c>
      <c r="N7" s="106">
        <f>HYD!AB9</f>
        <v/>
      </c>
      <c r="O7" s="106">
        <f>HYD!AC9</f>
        <v/>
      </c>
      <c r="P7" s="106">
        <f>HYD!AD9</f>
        <v/>
      </c>
      <c r="Q7" s="106">
        <f>HYD!AE9</f>
        <v/>
      </c>
      <c r="R7" s="106">
        <f>HYD!AF9</f>
        <v/>
      </c>
      <c r="S7" s="106">
        <f>HYD!AG9</f>
        <v/>
      </c>
      <c r="T7" s="106">
        <f>HYD!AH9</f>
        <v/>
      </c>
      <c r="U7" s="106">
        <f>HYD!AI9</f>
        <v/>
      </c>
      <c r="V7" s="106">
        <f>HYD!AJ9</f>
        <v/>
      </c>
      <c r="W7" s="106">
        <f>HYD!AK9</f>
        <v/>
      </c>
      <c r="X7" s="106">
        <f>HYD!AL9</f>
        <v/>
      </c>
      <c r="Y7" s="52">
        <f>GSD!S9</f>
        <v/>
      </c>
      <c r="Z7" s="52">
        <f>GSD!T9</f>
        <v/>
      </c>
      <c r="AA7" s="52">
        <f>GSD!U9</f>
        <v/>
      </c>
      <c r="AB7" s="52">
        <f>GSD!V9</f>
        <v/>
      </c>
      <c r="AC7" s="52">
        <f>GSD!W9</f>
        <v/>
      </c>
      <c r="AD7" s="52">
        <f>GSD!X9</f>
        <v/>
      </c>
      <c r="AE7" s="52">
        <f>GSD!Y9</f>
        <v/>
      </c>
      <c r="AF7" s="52">
        <f>GSD!Z9</f>
        <v/>
      </c>
      <c r="AG7" s="52">
        <f>HYD!AM9</f>
        <v/>
      </c>
      <c r="AH7" s="52">
        <f>HYD!AN9</f>
        <v/>
      </c>
      <c r="AI7" s="52">
        <f>HYD!AO9</f>
        <v/>
      </c>
      <c r="AJ7" s="52">
        <f>HYD!AP9</f>
        <v/>
      </c>
      <c r="AK7" s="52">
        <f>HYD!AQ9</f>
        <v/>
      </c>
      <c r="AL7" s="52">
        <f>HYD!AR9</f>
        <v/>
      </c>
      <c r="AM7" s="52">
        <f>HYD!AS9</f>
        <v/>
      </c>
      <c r="AN7" s="52">
        <f>HYD!AT9</f>
        <v/>
      </c>
      <c r="AO7" s="52">
        <f>HYD!AU9</f>
        <v/>
      </c>
      <c r="AP7" s="52">
        <f>HYD!AV9</f>
        <v/>
      </c>
      <c r="AQ7" s="52">
        <f>HYD!AW9</f>
        <v/>
      </c>
      <c r="AR7" s="52">
        <f>HYD!AX9</f>
        <v/>
      </c>
      <c r="AS7" s="52">
        <f>HYD!AY9</f>
        <v/>
      </c>
      <c r="AT7" s="52" t="n"/>
      <c r="AU7" s="52" t="n"/>
      <c r="AV7" s="52" t="n"/>
      <c r="AW7" s="52" t="n"/>
    </row>
    <row r="8" s="41">
      <c r="A8" s="53" t="n">
        <v>6</v>
      </c>
      <c r="B8" s="53">
        <f>B7</f>
        <v/>
      </c>
      <c r="C8" s="49">
        <f>GSD!F10</f>
        <v/>
      </c>
      <c r="D8" s="105" t="n">
        <v>4.75</v>
      </c>
      <c r="E8" s="105" t="n">
        <v>2</v>
      </c>
      <c r="F8" s="105" t="n">
        <v>1.18</v>
      </c>
      <c r="G8" s="105" t="n">
        <v>0.6</v>
      </c>
      <c r="H8" s="105" t="n">
        <v>0.425</v>
      </c>
      <c r="I8" s="105" t="n">
        <v>0.3</v>
      </c>
      <c r="J8" s="105" t="n">
        <v>0.15</v>
      </c>
      <c r="K8" s="105" t="n">
        <v>0.075</v>
      </c>
      <c r="L8" s="106">
        <f>HYD!Z10</f>
        <v/>
      </c>
      <c r="M8" s="106">
        <f>HYD!AA10</f>
        <v/>
      </c>
      <c r="N8" s="106">
        <f>HYD!AB10</f>
        <v/>
      </c>
      <c r="O8" s="106">
        <f>HYD!AC10</f>
        <v/>
      </c>
      <c r="P8" s="106">
        <f>HYD!AD10</f>
        <v/>
      </c>
      <c r="Q8" s="106">
        <f>HYD!AE10</f>
        <v/>
      </c>
      <c r="R8" s="106">
        <f>HYD!AF10</f>
        <v/>
      </c>
      <c r="S8" s="106">
        <f>HYD!AG10</f>
        <v/>
      </c>
      <c r="T8" s="106">
        <f>HYD!AH10</f>
        <v/>
      </c>
      <c r="U8" s="106">
        <f>HYD!AI10</f>
        <v/>
      </c>
      <c r="V8" s="106">
        <f>HYD!AJ10</f>
        <v/>
      </c>
      <c r="W8" s="106">
        <f>HYD!AK10</f>
        <v/>
      </c>
      <c r="X8" s="106">
        <f>HYD!AL10</f>
        <v/>
      </c>
      <c r="Y8" s="52">
        <f>GSD!S10</f>
        <v/>
      </c>
      <c r="Z8" s="52">
        <f>GSD!T10</f>
        <v/>
      </c>
      <c r="AA8" s="52">
        <f>GSD!U10</f>
        <v/>
      </c>
      <c r="AB8" s="52">
        <f>GSD!V10</f>
        <v/>
      </c>
      <c r="AC8" s="52">
        <f>GSD!W10</f>
        <v/>
      </c>
      <c r="AD8" s="52">
        <f>GSD!X10</f>
        <v/>
      </c>
      <c r="AE8" s="52">
        <f>GSD!Y10</f>
        <v/>
      </c>
      <c r="AF8" s="52">
        <f>GSD!Z10</f>
        <v/>
      </c>
      <c r="AG8" s="52">
        <f>HYD!AM10</f>
        <v/>
      </c>
      <c r="AH8" s="52">
        <f>HYD!AN10</f>
        <v/>
      </c>
      <c r="AI8" s="52">
        <f>HYD!AO10</f>
        <v/>
      </c>
      <c r="AJ8" s="52">
        <f>HYD!AP10</f>
        <v/>
      </c>
      <c r="AK8" s="52">
        <f>HYD!AQ10</f>
        <v/>
      </c>
      <c r="AL8" s="52">
        <f>HYD!AR10</f>
        <v/>
      </c>
      <c r="AM8" s="52">
        <f>HYD!AS10</f>
        <v/>
      </c>
      <c r="AN8" s="52">
        <f>HYD!AT10</f>
        <v/>
      </c>
      <c r="AO8" s="52">
        <f>HYD!AU10</f>
        <v/>
      </c>
      <c r="AP8" s="52">
        <f>HYD!AV10</f>
        <v/>
      </c>
      <c r="AQ8" s="52">
        <f>HYD!AW10</f>
        <v/>
      </c>
      <c r="AR8" s="52">
        <f>HYD!AX10</f>
        <v/>
      </c>
      <c r="AS8" s="52">
        <f>HYD!AY10</f>
        <v/>
      </c>
      <c r="AT8" s="52" t="n"/>
      <c r="AU8" s="52" t="n"/>
      <c r="AV8" s="52" t="n"/>
      <c r="AW8" s="52" t="n"/>
    </row>
    <row r="9" s="41">
      <c r="A9" s="53" t="n">
        <v>7</v>
      </c>
      <c r="B9" s="53">
        <f>B8</f>
        <v/>
      </c>
      <c r="C9" s="49">
        <f>GSD!F11</f>
        <v/>
      </c>
      <c r="D9" s="105" t="n">
        <v>4.75</v>
      </c>
      <c r="E9" s="105" t="n">
        <v>2</v>
      </c>
      <c r="F9" s="105" t="n">
        <v>1.18</v>
      </c>
      <c r="G9" s="105" t="n">
        <v>0.6</v>
      </c>
      <c r="H9" s="105" t="n">
        <v>0.425</v>
      </c>
      <c r="I9" s="105" t="n">
        <v>0.3</v>
      </c>
      <c r="J9" s="105" t="n">
        <v>0.15</v>
      </c>
      <c r="K9" s="105" t="n">
        <v>0.075</v>
      </c>
      <c r="L9" s="106">
        <f>HYD!Z11</f>
        <v/>
      </c>
      <c r="M9" s="106">
        <f>HYD!AA11</f>
        <v/>
      </c>
      <c r="N9" s="106">
        <f>HYD!AB11</f>
        <v/>
      </c>
      <c r="O9" s="106">
        <f>HYD!AC11</f>
        <v/>
      </c>
      <c r="P9" s="106">
        <f>HYD!AD11</f>
        <v/>
      </c>
      <c r="Q9" s="106">
        <f>HYD!AE11</f>
        <v/>
      </c>
      <c r="R9" s="106">
        <f>HYD!AF11</f>
        <v/>
      </c>
      <c r="S9" s="106">
        <f>HYD!AG11</f>
        <v/>
      </c>
      <c r="T9" s="106">
        <f>HYD!AH11</f>
        <v/>
      </c>
      <c r="U9" s="106">
        <f>HYD!AI11</f>
        <v/>
      </c>
      <c r="V9" s="106">
        <f>HYD!AJ11</f>
        <v/>
      </c>
      <c r="W9" s="106">
        <f>HYD!AK11</f>
        <v/>
      </c>
      <c r="X9" s="106">
        <f>HYD!AL11</f>
        <v/>
      </c>
      <c r="Y9" s="52">
        <f>GSD!S11</f>
        <v/>
      </c>
      <c r="Z9" s="52">
        <f>GSD!T11</f>
        <v/>
      </c>
      <c r="AA9" s="52">
        <f>GSD!U11</f>
        <v/>
      </c>
      <c r="AB9" s="52">
        <f>GSD!V11</f>
        <v/>
      </c>
      <c r="AC9" s="52">
        <f>GSD!W11</f>
        <v/>
      </c>
      <c r="AD9" s="52">
        <f>GSD!X11</f>
        <v/>
      </c>
      <c r="AE9" s="52">
        <f>GSD!Y11</f>
        <v/>
      </c>
      <c r="AF9" s="52">
        <f>GSD!Z11</f>
        <v/>
      </c>
      <c r="AG9" s="52">
        <f>HYD!AM11</f>
        <v/>
      </c>
      <c r="AH9" s="52">
        <f>HYD!AN11</f>
        <v/>
      </c>
      <c r="AI9" s="52">
        <f>HYD!AO11</f>
        <v/>
      </c>
      <c r="AJ9" s="52">
        <f>HYD!AP11</f>
        <v/>
      </c>
      <c r="AK9" s="52">
        <f>HYD!AQ11</f>
        <v/>
      </c>
      <c r="AL9" s="52">
        <f>HYD!AR11</f>
        <v/>
      </c>
      <c r="AM9" s="52">
        <f>HYD!AS11</f>
        <v/>
      </c>
      <c r="AN9" s="52">
        <f>HYD!AT11</f>
        <v/>
      </c>
      <c r="AO9" s="52">
        <f>HYD!AU11</f>
        <v/>
      </c>
      <c r="AP9" s="52">
        <f>HYD!AV11</f>
        <v/>
      </c>
      <c r="AQ9" s="52">
        <f>HYD!AW11</f>
        <v/>
      </c>
      <c r="AR9" s="52">
        <f>HYD!AX11</f>
        <v/>
      </c>
      <c r="AS9" s="52">
        <f>HYD!AY11</f>
        <v/>
      </c>
      <c r="AT9" s="54" t="n"/>
      <c r="AU9" s="54" t="n"/>
      <c r="AV9" s="54" t="n"/>
      <c r="AW9" s="54" t="n"/>
    </row>
    <row r="10" s="41">
      <c r="A10" s="53" t="n">
        <v>8</v>
      </c>
      <c r="B10" s="53">
        <f>B9</f>
        <v/>
      </c>
      <c r="C10" s="49">
        <f>GSD!F12</f>
        <v/>
      </c>
      <c r="D10" s="105" t="n">
        <v>4.75</v>
      </c>
      <c r="E10" s="105" t="n">
        <v>2</v>
      </c>
      <c r="F10" s="105" t="n">
        <v>1.18</v>
      </c>
      <c r="G10" s="105" t="n">
        <v>0.6</v>
      </c>
      <c r="H10" s="105" t="n">
        <v>0.425</v>
      </c>
      <c r="I10" s="105" t="n">
        <v>0.3</v>
      </c>
      <c r="J10" s="105" t="n">
        <v>0.15</v>
      </c>
      <c r="K10" s="105" t="n">
        <v>0.075</v>
      </c>
      <c r="L10" s="106">
        <f>HYD!Z12</f>
        <v/>
      </c>
      <c r="M10" s="106">
        <f>HYD!AA12</f>
        <v/>
      </c>
      <c r="N10" s="106">
        <f>HYD!AB12</f>
        <v/>
      </c>
      <c r="O10" s="106">
        <f>HYD!AC12</f>
        <v/>
      </c>
      <c r="P10" s="106">
        <f>HYD!AD12</f>
        <v/>
      </c>
      <c r="Q10" s="106">
        <f>HYD!AE12</f>
        <v/>
      </c>
      <c r="R10" s="106">
        <f>HYD!AF12</f>
        <v/>
      </c>
      <c r="S10" s="106">
        <f>HYD!AG12</f>
        <v/>
      </c>
      <c r="T10" s="106">
        <f>HYD!AH12</f>
        <v/>
      </c>
      <c r="U10" s="106">
        <f>HYD!AI12</f>
        <v/>
      </c>
      <c r="V10" s="106">
        <f>HYD!AJ12</f>
        <v/>
      </c>
      <c r="W10" s="106">
        <f>HYD!AK12</f>
        <v/>
      </c>
      <c r="X10" s="106">
        <f>HYD!AL12</f>
        <v/>
      </c>
      <c r="Y10" s="52">
        <f>GSD!S12</f>
        <v/>
      </c>
      <c r="Z10" s="52">
        <f>GSD!T12</f>
        <v/>
      </c>
      <c r="AA10" s="52">
        <f>GSD!U12</f>
        <v/>
      </c>
      <c r="AB10" s="52">
        <f>GSD!V12</f>
        <v/>
      </c>
      <c r="AC10" s="52">
        <f>GSD!W12</f>
        <v/>
      </c>
      <c r="AD10" s="52">
        <f>GSD!X12</f>
        <v/>
      </c>
      <c r="AE10" s="52">
        <f>GSD!Y12</f>
        <v/>
      </c>
      <c r="AF10" s="52">
        <f>GSD!Z12</f>
        <v/>
      </c>
      <c r="AG10" s="52">
        <f>HYD!AM12</f>
        <v/>
      </c>
      <c r="AH10" s="52">
        <f>HYD!AN12</f>
        <v/>
      </c>
      <c r="AI10" s="52">
        <f>HYD!AO12</f>
        <v/>
      </c>
      <c r="AJ10" s="52">
        <f>HYD!AP12</f>
        <v/>
      </c>
      <c r="AK10" s="52">
        <f>HYD!AQ12</f>
        <v/>
      </c>
      <c r="AL10" s="52">
        <f>HYD!AR12</f>
        <v/>
      </c>
      <c r="AM10" s="52">
        <f>HYD!AS12</f>
        <v/>
      </c>
      <c r="AN10" s="52">
        <f>HYD!AT12</f>
        <v/>
      </c>
      <c r="AO10" s="52">
        <f>HYD!AU12</f>
        <v/>
      </c>
      <c r="AP10" s="52">
        <f>HYD!AV12</f>
        <v/>
      </c>
      <c r="AQ10" s="52">
        <f>HYD!AW12</f>
        <v/>
      </c>
      <c r="AR10" s="52">
        <f>HYD!AX12</f>
        <v/>
      </c>
      <c r="AS10" s="52">
        <f>HYD!AY12</f>
        <v/>
      </c>
      <c r="AT10" s="54" t="n"/>
      <c r="AU10" s="54" t="n"/>
      <c r="AV10" s="54" t="n"/>
      <c r="AW10" s="54" t="n"/>
    </row>
    <row r="11" s="41">
      <c r="A11" s="53" t="n">
        <v>9</v>
      </c>
      <c r="B11" s="53">
        <f>B10</f>
        <v/>
      </c>
      <c r="C11" s="49">
        <f>GSD!F13</f>
        <v/>
      </c>
      <c r="D11" s="105" t="n">
        <v>4.75</v>
      </c>
      <c r="E11" s="105" t="n">
        <v>2</v>
      </c>
      <c r="F11" s="105" t="n">
        <v>1.18</v>
      </c>
      <c r="G11" s="105" t="n">
        <v>0.6</v>
      </c>
      <c r="H11" s="105" t="n">
        <v>0.425</v>
      </c>
      <c r="I11" s="105" t="n">
        <v>0.3</v>
      </c>
      <c r="J11" s="105" t="n">
        <v>0.15</v>
      </c>
      <c r="K11" s="105" t="n">
        <v>0.075</v>
      </c>
      <c r="L11" s="106">
        <f>HYD!Z13</f>
        <v/>
      </c>
      <c r="M11" s="106">
        <f>HYD!AA13</f>
        <v/>
      </c>
      <c r="N11" s="106">
        <f>HYD!AB13</f>
        <v/>
      </c>
      <c r="O11" s="106">
        <f>HYD!AC13</f>
        <v/>
      </c>
      <c r="P11" s="106">
        <f>HYD!AD13</f>
        <v/>
      </c>
      <c r="Q11" s="106">
        <f>HYD!AE13</f>
        <v/>
      </c>
      <c r="R11" s="106">
        <f>HYD!AF13</f>
        <v/>
      </c>
      <c r="S11" s="106">
        <f>HYD!AG13</f>
        <v/>
      </c>
      <c r="T11" s="106">
        <f>HYD!AH13</f>
        <v/>
      </c>
      <c r="U11" s="106">
        <f>HYD!AI13</f>
        <v/>
      </c>
      <c r="V11" s="106">
        <f>HYD!AJ13</f>
        <v/>
      </c>
      <c r="W11" s="106">
        <f>HYD!AK13</f>
        <v/>
      </c>
      <c r="X11" s="106">
        <f>HYD!AL13</f>
        <v/>
      </c>
      <c r="Y11" s="52">
        <f>GSD!S13</f>
        <v/>
      </c>
      <c r="Z11" s="52">
        <f>GSD!T13</f>
        <v/>
      </c>
      <c r="AA11" s="52">
        <f>GSD!U13</f>
        <v/>
      </c>
      <c r="AB11" s="52">
        <f>GSD!V13</f>
        <v/>
      </c>
      <c r="AC11" s="52">
        <f>GSD!W13</f>
        <v/>
      </c>
      <c r="AD11" s="52">
        <f>GSD!X13</f>
        <v/>
      </c>
      <c r="AE11" s="52">
        <f>GSD!Y13</f>
        <v/>
      </c>
      <c r="AF11" s="52">
        <f>GSD!Z13</f>
        <v/>
      </c>
      <c r="AG11" s="52">
        <f>HYD!AM13</f>
        <v/>
      </c>
      <c r="AH11" s="52">
        <f>HYD!AN13</f>
        <v/>
      </c>
      <c r="AI11" s="52">
        <f>HYD!AO13</f>
        <v/>
      </c>
      <c r="AJ11" s="52">
        <f>HYD!AP13</f>
        <v/>
      </c>
      <c r="AK11" s="52">
        <f>HYD!AQ13</f>
        <v/>
      </c>
      <c r="AL11" s="52">
        <f>HYD!AR13</f>
        <v/>
      </c>
      <c r="AM11" s="52">
        <f>HYD!AS13</f>
        <v/>
      </c>
      <c r="AN11" s="52">
        <f>HYD!AT13</f>
        <v/>
      </c>
      <c r="AO11" s="52">
        <f>HYD!AU13</f>
        <v/>
      </c>
      <c r="AP11" s="52">
        <f>HYD!AV13</f>
        <v/>
      </c>
      <c r="AQ11" s="52">
        <f>HYD!AW13</f>
        <v/>
      </c>
      <c r="AR11" s="52">
        <f>HYD!AX13</f>
        <v/>
      </c>
      <c r="AS11" s="52">
        <f>HYD!AY13</f>
        <v/>
      </c>
      <c r="AT11" s="54" t="n"/>
      <c r="AU11" s="54" t="n"/>
      <c r="AV11" s="54" t="n"/>
      <c r="AW11" s="54" t="n"/>
    </row>
  </sheetData>
  <mergeCells count="4">
    <mergeCell ref="AG2:AS2"/>
    <mergeCell ref="D2:K2"/>
    <mergeCell ref="Y2:AF2"/>
    <mergeCell ref="L2:X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2026-09-17T11:22:09Z</dcterms:modified>
  <cp:lastModifiedBy>baps</cp:lastModifiedBy>
</cp:coreProperties>
</file>