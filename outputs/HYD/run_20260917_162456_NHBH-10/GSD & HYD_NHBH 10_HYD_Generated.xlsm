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100</v>
                </pt>
                <pt idx="2">
                  <v>100</v>
                </pt>
                <pt idx="3">
                  <v>97.73999999999999</v>
                </pt>
                <pt idx="4">
                  <v>72.91</v>
                </pt>
                <pt idx="5">
                  <v>63.4</v>
                </pt>
                <pt idx="6">
                  <v>43.87</v>
                </pt>
                <pt idx="7">
                  <v>28.29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88.965</v>
                </pt>
                <pt idx="1">
                  <v>87.34999999999999</v>
                </pt>
                <pt idx="2">
                  <v>87.095</v>
                </pt>
                <pt idx="3">
                  <v>85.685</v>
                </pt>
                <pt idx="4">
                  <v>72.035</v>
                </pt>
                <pt idx="5">
                  <v>61.95499999999999</v>
                </pt>
                <pt idx="6">
                  <v>39.745</v>
                </pt>
                <pt idx="7">
                  <v>31.855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99.90000000000001</v>
                </pt>
                <pt idx="1">
                  <v>99.03</v>
                </pt>
                <pt idx="2">
                  <v>98.68000000000001</v>
                </pt>
                <pt idx="3">
                  <v>96.45</v>
                </pt>
                <pt idx="4">
                  <v>90.19</v>
                </pt>
                <pt idx="5">
                  <v>87.53</v>
                </pt>
                <pt idx="6">
                  <v>73.23</v>
                </pt>
                <pt idx="7">
                  <v>51.57000000000001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99.735</v>
                </pt>
                <pt idx="1">
                  <v>99.42</v>
                </pt>
                <pt idx="2">
                  <v>99.33499999999999</v>
                </pt>
                <pt idx="3">
                  <v>98.7</v>
                </pt>
                <pt idx="4">
                  <v>85.59</v>
                </pt>
                <pt idx="5">
                  <v>72.33</v>
                </pt>
                <pt idx="6">
                  <v>43.355</v>
                </pt>
                <pt idx="7">
                  <v>30.92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99.90000000000001</v>
                </pt>
                <pt idx="1">
                  <v>98.77</v>
                </pt>
                <pt idx="2">
                  <v>98.38</v>
                </pt>
                <pt idx="3">
                  <v>97.34999999999999</v>
                </pt>
                <pt idx="4">
                  <v>87.76000000000001</v>
                </pt>
                <pt idx="5">
                  <v>75.78999999999999</v>
                </pt>
                <pt idx="6">
                  <v>44.3</v>
                </pt>
                <pt idx="7">
                  <v>32.27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98.78</v>
                </pt>
                <pt idx="1">
                  <v>97.37</v>
                </pt>
                <pt idx="2">
                  <v>97.08</v>
                </pt>
                <pt idx="3">
                  <v>96.64</v>
                </pt>
                <pt idx="4">
                  <v>88.95</v>
                </pt>
                <pt idx="5">
                  <v>76.09999999999999</v>
                </pt>
                <pt idx="6">
                  <v>41.01</v>
                </pt>
                <pt idx="7">
                  <v>22.72999999999999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99.67</v>
                </pt>
                <pt idx="1">
                  <v>97.54000000000001</v>
                </pt>
                <pt idx="2">
                  <v>96.20999999999999</v>
                </pt>
                <pt idx="3">
                  <v>93.81999999999999</v>
                </pt>
                <pt idx="4">
                  <v>73.17</v>
                </pt>
                <pt idx="5">
                  <v>55.38000000000001</v>
                </pt>
                <pt idx="6">
                  <v>30.78</v>
                </pt>
                <pt idx="7">
                  <v>20.27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100</v>
                </pt>
                <pt idx="2">
                  <v>100</v>
                </pt>
                <pt idx="3">
                  <v>97.73999999999999</v>
                </pt>
                <pt idx="4">
                  <v>72.91</v>
                </pt>
                <pt idx="5">
                  <v>63.4</v>
                </pt>
                <pt idx="6">
                  <v>43.87</v>
                </pt>
                <pt idx="7">
                  <v>28.29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88.965</v>
                </pt>
                <pt idx="1">
                  <v>87.34999999999999</v>
                </pt>
                <pt idx="2">
                  <v>87.095</v>
                </pt>
                <pt idx="3">
                  <v>85.685</v>
                </pt>
                <pt idx="4">
                  <v>72.035</v>
                </pt>
                <pt idx="5">
                  <v>61.95499999999999</v>
                </pt>
                <pt idx="6">
                  <v>39.745</v>
                </pt>
                <pt idx="7">
                  <v>31.855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99.90000000000001</v>
                </pt>
                <pt idx="1">
                  <v>99.03</v>
                </pt>
                <pt idx="2">
                  <v>98.68000000000001</v>
                </pt>
                <pt idx="3">
                  <v>96.45</v>
                </pt>
                <pt idx="4">
                  <v>90.19</v>
                </pt>
                <pt idx="5">
                  <v>87.53</v>
                </pt>
                <pt idx="6">
                  <v>73.23</v>
                </pt>
                <pt idx="7">
                  <v>51.57000000000001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99.735</v>
                </pt>
                <pt idx="1">
                  <v>99.42</v>
                </pt>
                <pt idx="2">
                  <v>99.33499999999999</v>
                </pt>
                <pt idx="3">
                  <v>98.7</v>
                </pt>
                <pt idx="4">
                  <v>85.59</v>
                </pt>
                <pt idx="5">
                  <v>72.33</v>
                </pt>
                <pt idx="6">
                  <v>43.355</v>
                </pt>
                <pt idx="7">
                  <v>30.92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99.90000000000001</v>
                </pt>
                <pt idx="1">
                  <v>98.77</v>
                </pt>
                <pt idx="2">
                  <v>98.38</v>
                </pt>
                <pt idx="3">
                  <v>97.34999999999999</v>
                </pt>
                <pt idx="4">
                  <v>87.76000000000001</v>
                </pt>
                <pt idx="5">
                  <v>75.78999999999999</v>
                </pt>
                <pt idx="6">
                  <v>44.3</v>
                </pt>
                <pt idx="7">
                  <v>32.27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98.78</v>
                </pt>
                <pt idx="1">
                  <v>97.37</v>
                </pt>
                <pt idx="2">
                  <v>97.08</v>
                </pt>
                <pt idx="3">
                  <v>96.64</v>
                </pt>
                <pt idx="4">
                  <v>88.95</v>
                </pt>
                <pt idx="5">
                  <v>76.09999999999999</v>
                </pt>
                <pt idx="6">
                  <v>41.01</v>
                </pt>
                <pt idx="7">
                  <v>22.72999999999999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99.67</v>
                </pt>
                <pt idx="1">
                  <v>97.54000000000001</v>
                </pt>
                <pt idx="2">
                  <v>96.20999999999999</v>
                </pt>
                <pt idx="3">
                  <v>93.81999999999999</v>
                </pt>
                <pt idx="4">
                  <v>73.17</v>
                </pt>
                <pt idx="5">
                  <v>55.38000000000001</v>
                </pt>
                <pt idx="6">
                  <v>30.78</v>
                </pt>
                <pt idx="7">
                  <v>20.27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view="pageBreakPreview" zoomScale="130" zoomScaleNormal="85" zoomScaleSheetLayoutView="130" zoomScalePageLayoutView="85" workbookViewId="0">
      <selection activeCell="G18" sqref="G18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NHBH-10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A022</t>
        </is>
      </c>
      <c r="H5" s="58" t="n">
        <v>100</v>
      </c>
      <c r="I5" s="44">
        <f>H5-SUM(J5:Q5)</f>
        <v/>
      </c>
      <c r="J5" s="44" t="n">
        <v>0</v>
      </c>
      <c r="K5" s="44" t="n">
        <v>0</v>
      </c>
      <c r="L5" s="44" t="n">
        <v>0</v>
      </c>
      <c r="M5" s="44" t="n">
        <v>2.26</v>
      </c>
      <c r="N5" s="44" t="n">
        <v>24.83</v>
      </c>
      <c r="O5" s="44" t="n">
        <v>9.51</v>
      </c>
      <c r="P5" s="44" t="n">
        <v>19.53</v>
      </c>
      <c r="Q5" s="44" t="n">
        <v>15.58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A062</t>
        </is>
      </c>
      <c r="H6" s="58" t="n">
        <v>200</v>
      </c>
      <c r="I6" s="44">
        <f>H6-SUM(J6:Q6)</f>
        <v/>
      </c>
      <c r="J6" s="44" t="n">
        <v>22.07</v>
      </c>
      <c r="K6" s="44" t="n">
        <v>3.23</v>
      </c>
      <c r="L6" s="44" t="n">
        <v>0.51</v>
      </c>
      <c r="M6" s="44" t="n">
        <v>2.82</v>
      </c>
      <c r="N6" s="44" t="n">
        <v>27.3</v>
      </c>
      <c r="O6" s="44" t="n">
        <v>20.16</v>
      </c>
      <c r="P6" s="44" t="n">
        <v>44.42</v>
      </c>
      <c r="Q6" s="44" t="n">
        <v>15.78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A143</t>
        </is>
      </c>
      <c r="H7" s="58" t="n">
        <v>100</v>
      </c>
      <c r="I7" s="44">
        <f>H7-SUM(J7:Q7)</f>
        <v/>
      </c>
      <c r="J7" s="44" t="n">
        <v>0.1</v>
      </c>
      <c r="K7" s="44" t="n">
        <v>0.87</v>
      </c>
      <c r="L7" s="44" t="n">
        <v>0.35</v>
      </c>
      <c r="M7" s="44" t="n">
        <v>2.23</v>
      </c>
      <c r="N7" s="44" t="n">
        <v>6.26</v>
      </c>
      <c r="O7" s="44" t="n">
        <v>2.66</v>
      </c>
      <c r="P7" s="44" t="n">
        <v>14.3</v>
      </c>
      <c r="Q7" s="44" t="n">
        <v>21.66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A111</t>
        </is>
      </c>
      <c r="H8" s="58" t="n">
        <v>200</v>
      </c>
      <c r="I8" s="44">
        <f>H8-SUM(J8:Q8)</f>
        <v/>
      </c>
      <c r="J8" s="44" t="n">
        <v>0.53</v>
      </c>
      <c r="K8" s="44" t="n">
        <v>0.63</v>
      </c>
      <c r="L8" s="44" t="n">
        <v>0.17</v>
      </c>
      <c r="M8" s="44" t="n">
        <v>1.27</v>
      </c>
      <c r="N8" s="44" t="n">
        <v>26.22</v>
      </c>
      <c r="O8" s="44" t="n">
        <v>26.52</v>
      </c>
      <c r="P8" s="44" t="n">
        <v>57.95</v>
      </c>
      <c r="Q8" s="44" t="n">
        <v>24.87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A130</t>
        </is>
      </c>
      <c r="H9" s="58" t="n">
        <v>100</v>
      </c>
      <c r="I9" s="44">
        <f>H9-SUM(J9:Q9)</f>
        <v/>
      </c>
      <c r="J9" s="44" t="n">
        <v>0.1</v>
      </c>
      <c r="K9" s="44" t="n">
        <v>1.13</v>
      </c>
      <c r="L9" s="44" t="n">
        <v>0.39</v>
      </c>
      <c r="M9" s="44" t="n">
        <v>1.03</v>
      </c>
      <c r="N9" s="44" t="n">
        <v>9.59</v>
      </c>
      <c r="O9" s="44" t="n">
        <v>11.97</v>
      </c>
      <c r="P9" s="44" t="n">
        <v>31.49</v>
      </c>
      <c r="Q9" s="44" t="n">
        <v>12.03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SPT</t>
        </is>
      </c>
      <c r="F10" s="44" t="n">
        <v>7.5</v>
      </c>
      <c r="G10" s="48" t="inlineStr">
        <is>
          <t>A101</t>
        </is>
      </c>
      <c r="H10" s="58" t="n">
        <v>100</v>
      </c>
      <c r="I10" s="44">
        <f>H10-SUM(J10:Q10)</f>
        <v/>
      </c>
      <c r="J10" s="44" t="n">
        <v>1.22</v>
      </c>
      <c r="K10" s="44" t="n">
        <v>1.41</v>
      </c>
      <c r="L10" s="44" t="n">
        <v>0.29</v>
      </c>
      <c r="M10" s="44" t="n">
        <v>0.44</v>
      </c>
      <c r="N10" s="44" t="n">
        <v>7.69</v>
      </c>
      <c r="O10" s="44" t="n">
        <v>12.85</v>
      </c>
      <c r="P10" s="44" t="n">
        <v>35.09</v>
      </c>
      <c r="Q10" s="44" t="n">
        <v>18.28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5" t="n"/>
      <c r="C11" s="95" t="n"/>
      <c r="D11" s="95" t="n"/>
      <c r="E11" s="48" t="inlineStr">
        <is>
          <t>SPT</t>
        </is>
      </c>
      <c r="F11" s="44" t="n">
        <v>10</v>
      </c>
      <c r="G11" s="48" t="inlineStr">
        <is>
          <t>A135</t>
        </is>
      </c>
      <c r="H11" s="58" t="n">
        <v>100</v>
      </c>
      <c r="I11" s="44">
        <f>H11-SUM(J11:Q11)</f>
        <v/>
      </c>
      <c r="J11" s="44" t="n">
        <v>0.33</v>
      </c>
      <c r="K11" s="44" t="n">
        <v>2.13</v>
      </c>
      <c r="L11" s="44" t="n">
        <v>1.33</v>
      </c>
      <c r="M11" s="44" t="n">
        <v>2.39</v>
      </c>
      <c r="N11" s="44" t="n">
        <v>20.65</v>
      </c>
      <c r="O11" s="44" t="n">
        <v>17.79</v>
      </c>
      <c r="P11" s="44" t="n">
        <v>24.6</v>
      </c>
      <c r="Q11" s="44" t="n">
        <v>10.51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C17" sqref="C1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2.68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4" t="n">
        <v>1.009</v>
      </c>
      <c r="N5" s="104" t="n">
        <v>1.009</v>
      </c>
      <c r="O5" s="104" t="n">
        <v>1.008</v>
      </c>
      <c r="P5" s="104" t="n">
        <v>1.008</v>
      </c>
      <c r="Q5" s="104" t="n">
        <v>1.007</v>
      </c>
      <c r="R5" s="104" t="n">
        <v>1.007</v>
      </c>
      <c r="S5" s="104" t="n">
        <v>1.006</v>
      </c>
      <c r="T5" s="104" t="n">
        <v>1.006</v>
      </c>
      <c r="U5" s="104" t="n">
        <v>1.005</v>
      </c>
      <c r="V5" s="104" t="n">
        <v>1.004</v>
      </c>
      <c r="W5" s="104" t="n">
        <v>1.004</v>
      </c>
      <c r="X5" s="104" t="n">
        <v>1.003</v>
      </c>
      <c r="Y5" s="104" t="n">
        <v>1.003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2.64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1.01</v>
      </c>
      <c r="N6" s="104" t="n">
        <v>1.01</v>
      </c>
      <c r="O6" s="104" t="n">
        <v>1.009</v>
      </c>
      <c r="P6" s="104" t="n">
        <v>1.008</v>
      </c>
      <c r="Q6" s="104" t="n">
        <v>1.008</v>
      </c>
      <c r="R6" s="104" t="n">
        <v>1.007</v>
      </c>
      <c r="S6" s="104" t="n">
        <v>1.006</v>
      </c>
      <c r="T6" s="104" t="n">
        <v>1.006</v>
      </c>
      <c r="U6" s="104" t="n">
        <v>1.005</v>
      </c>
      <c r="V6" s="104" t="n">
        <v>1.004</v>
      </c>
      <c r="W6" s="104" t="n">
        <v>1.004</v>
      </c>
      <c r="X6" s="104" t="n">
        <v>1.003</v>
      </c>
      <c r="Y6" s="104" t="n">
        <v>1.003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2.69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4" t="n">
        <v>1.016</v>
      </c>
      <c r="N7" s="104" t="n">
        <v>1.015</v>
      </c>
      <c r="O7" s="104" t="n">
        <v>1.014</v>
      </c>
      <c r="P7" s="104" t="n">
        <v>1.013</v>
      </c>
      <c r="Q7" s="104" t="n">
        <v>1.012</v>
      </c>
      <c r="R7" s="104" t="n">
        <v>1.011</v>
      </c>
      <c r="S7" s="104" t="n">
        <v>1.01</v>
      </c>
      <c r="T7" s="104" t="n">
        <v>1.009</v>
      </c>
      <c r="U7" s="104" t="n">
        <v>1.008</v>
      </c>
      <c r="V7" s="104" t="n">
        <v>1.007</v>
      </c>
      <c r="W7" s="104" t="n">
        <v>1.006</v>
      </c>
      <c r="X7" s="104" t="n">
        <v>1.005</v>
      </c>
      <c r="Y7" s="104" t="n">
        <v>1.005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2.66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4" t="n">
        <v>1.01</v>
      </c>
      <c r="N8" s="104" t="n">
        <v>1.009</v>
      </c>
      <c r="O8" s="104" t="n">
        <v>1.009</v>
      </c>
      <c r="P8" s="104" t="n">
        <v>1.008</v>
      </c>
      <c r="Q8" s="104" t="n">
        <v>1.008</v>
      </c>
      <c r="R8" s="104" t="n">
        <v>1.007</v>
      </c>
      <c r="S8" s="104" t="n">
        <v>1.007</v>
      </c>
      <c r="T8" s="104" t="n">
        <v>1.006</v>
      </c>
      <c r="U8" s="104" t="n">
        <v>1.005</v>
      </c>
      <c r="V8" s="104" t="n">
        <v>1.005</v>
      </c>
      <c r="W8" s="104" t="n">
        <v>1.004</v>
      </c>
      <c r="X8" s="104" t="n">
        <v>1.004</v>
      </c>
      <c r="Y8" s="104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2.64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4" t="n">
        <v>1.01</v>
      </c>
      <c r="N9" s="104" t="n">
        <v>1.01</v>
      </c>
      <c r="O9" s="104" t="n">
        <v>1.009</v>
      </c>
      <c r="P9" s="104" t="n">
        <v>1.009</v>
      </c>
      <c r="Q9" s="104" t="n">
        <v>1.008</v>
      </c>
      <c r="R9" s="104" t="n">
        <v>1.008</v>
      </c>
      <c r="S9" s="104" t="n">
        <v>1.007</v>
      </c>
      <c r="T9" s="104" t="n">
        <v>1.006</v>
      </c>
      <c r="U9" s="104" t="n">
        <v>1.005</v>
      </c>
      <c r="V9" s="104" t="n">
        <v>1.005</v>
      </c>
      <c r="W9" s="104" t="n">
        <v>1.004</v>
      </c>
      <c r="X9" s="104" t="n">
        <v>1.004</v>
      </c>
      <c r="Y9" s="104" t="n">
        <v>1.004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2.68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1.007</v>
      </c>
      <c r="N10" s="104" t="n">
        <v>1.007</v>
      </c>
      <c r="O10" s="104" t="n">
        <v>1.007</v>
      </c>
      <c r="P10" s="104" t="n">
        <v>1.006</v>
      </c>
      <c r="Q10" s="104" t="n">
        <v>1.006</v>
      </c>
      <c r="R10" s="104" t="n">
        <v>1.005</v>
      </c>
      <c r="S10" s="104" t="n">
        <v>1.005</v>
      </c>
      <c r="T10" s="104" t="n">
        <v>1.004</v>
      </c>
      <c r="U10" s="104" t="n">
        <v>1.004</v>
      </c>
      <c r="V10" s="104" t="n">
        <v>1.003</v>
      </c>
      <c r="W10" s="104" t="n">
        <v>1.003</v>
      </c>
      <c r="X10" s="104" t="n">
        <v>1.003</v>
      </c>
      <c r="Y10" s="104" t="n">
        <v>1.002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>
        <f>(0.000000002615*E11^4) - (0.00000030607*E11^3) + (0.000016427499*E11^2) - (0.000618546309*E11) + 0.017919182437</f>
        <v/>
      </c>
      <c r="G11" s="104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Z12" s="40" t="n"/>
      <c r="BA12" s="40" t="n"/>
    </row>
    <row r="13" s="41"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topLeftCell="AG1" zoomScale="130" zoomScaleNormal="130" workbookViewId="0">
      <selection activeCell="AQ21" sqref="AQ21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/>
      <c r="B10" s="54" t="n"/>
      <c r="C10" s="50" t="n"/>
      <c r="D10" s="105" t="n"/>
      <c r="E10" s="105" t="n"/>
      <c r="F10" s="105" t="n"/>
      <c r="G10" s="105" t="n"/>
      <c r="H10" s="105" t="n"/>
      <c r="I10" s="105" t="n"/>
      <c r="J10" s="105" t="n"/>
      <c r="K10" s="105" t="n"/>
      <c r="L10" s="106" t="n"/>
      <c r="M10" s="106" t="n"/>
      <c r="N10" s="106" t="n"/>
      <c r="O10" s="106" t="n"/>
      <c r="P10" s="106" t="n"/>
      <c r="Q10" s="106" t="n"/>
      <c r="R10" s="106" t="n"/>
      <c r="S10" s="106" t="n"/>
      <c r="T10" s="106" t="n"/>
      <c r="U10" s="106" t="n"/>
      <c r="V10" s="106" t="n"/>
      <c r="W10" s="106" t="n"/>
      <c r="X10" s="106" t="n"/>
      <c r="Y10" s="53" t="n"/>
      <c r="Z10" s="53" t="n"/>
      <c r="AA10" s="53" t="n"/>
      <c r="AB10" s="53" t="n"/>
      <c r="AC10" s="53" t="n"/>
      <c r="AD10" s="53" t="n"/>
      <c r="AE10" s="53" t="n"/>
      <c r="AF10" s="53" t="n"/>
      <c r="AG10" s="53" t="n"/>
      <c r="AH10" s="53" t="n"/>
      <c r="AI10" s="53" t="n"/>
      <c r="AJ10" s="53" t="n"/>
      <c r="AK10" s="53" t="n"/>
      <c r="AL10" s="53" t="n"/>
      <c r="AM10" s="53" t="n"/>
      <c r="AN10" s="53" t="n"/>
      <c r="AO10" s="53" t="n"/>
      <c r="AP10" s="53" t="n"/>
      <c r="AQ10" s="53" t="n"/>
      <c r="AR10" s="53" t="n"/>
      <c r="AS10" s="53" t="n"/>
      <c r="AT10" s="55" t="n"/>
      <c r="AU10" s="55" t="n"/>
      <c r="AV10" s="55" t="n"/>
      <c r="AW10" s="55" t="n"/>
    </row>
    <row r="11" s="41">
      <c r="A11" s="54" t="n"/>
      <c r="B11" s="54" t="n"/>
      <c r="C11" s="50" t="n"/>
      <c r="D11" s="105" t="n"/>
      <c r="E11" s="105" t="n"/>
      <c r="F11" s="105" t="n"/>
      <c r="G11" s="105" t="n"/>
      <c r="H11" s="105" t="n"/>
      <c r="I11" s="105" t="n"/>
      <c r="J11" s="105" t="n"/>
      <c r="K11" s="105" t="n"/>
      <c r="L11" s="106" t="n"/>
      <c r="M11" s="106" t="n"/>
      <c r="N11" s="106" t="n"/>
      <c r="O11" s="106" t="n"/>
      <c r="P11" s="106" t="n"/>
      <c r="Q11" s="106" t="n"/>
      <c r="R11" s="106" t="n"/>
      <c r="S11" s="106" t="n"/>
      <c r="T11" s="106" t="n"/>
      <c r="U11" s="106" t="n"/>
      <c r="V11" s="106" t="n"/>
      <c r="W11" s="106" t="n"/>
      <c r="X11" s="106" t="n"/>
      <c r="Y11" s="53" t="n"/>
      <c r="Z11" s="53" t="n"/>
      <c r="AA11" s="53" t="n"/>
      <c r="AB11" s="53" t="n"/>
      <c r="AC11" s="53" t="n"/>
      <c r="AD11" s="53" t="n"/>
      <c r="AE11" s="53" t="n"/>
      <c r="AF11" s="53" t="n"/>
      <c r="AG11" s="53" t="n"/>
      <c r="AH11" s="53" t="n"/>
      <c r="AI11" s="53" t="n"/>
      <c r="AJ11" s="53" t="n"/>
      <c r="AK11" s="53" t="n"/>
      <c r="AL11" s="53" t="n"/>
      <c r="AM11" s="53" t="n"/>
      <c r="AN11" s="53" t="n"/>
      <c r="AO11" s="53" t="n"/>
      <c r="AP11" s="53" t="n"/>
      <c r="AQ11" s="53" t="n"/>
      <c r="AR11" s="53" t="n"/>
      <c r="AS11" s="53" t="n"/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2026-09-17T10:54:57Z</dcterms:modified>
  <cp:lastModifiedBy>baps</cp:lastModifiedBy>
</cp:coreProperties>
</file>