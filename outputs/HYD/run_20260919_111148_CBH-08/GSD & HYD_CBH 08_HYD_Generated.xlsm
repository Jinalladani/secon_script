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99.98999999999999</v>
                </pt>
                <pt idx="1">
                  <v>99.55</v>
                </pt>
                <pt idx="2">
                  <v>99.2</v>
                </pt>
                <pt idx="3">
                  <v>97.81</v>
                </pt>
                <pt idx="4">
                  <v>93.97</v>
                </pt>
                <pt idx="5">
                  <v>89.17</v>
                </pt>
                <pt idx="6">
                  <v>67.42</v>
                </pt>
                <pt idx="7">
                  <v>60.7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99.935</v>
                </pt>
                <pt idx="1">
                  <v>98.7</v>
                </pt>
                <pt idx="2">
                  <v>98.19</v>
                </pt>
                <pt idx="3">
                  <v>96.14</v>
                </pt>
                <pt idx="4">
                  <v>90.27</v>
                </pt>
                <pt idx="5">
                  <v>83.315</v>
                </pt>
                <pt idx="6">
                  <v>60.255</v>
                </pt>
                <pt idx="7">
                  <v>52.42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99.97</v>
                </pt>
                <pt idx="1">
                  <v>99.56</v>
                </pt>
                <pt idx="2">
                  <v>99.14</v>
                </pt>
                <pt idx="3">
                  <v>97.7</v>
                </pt>
                <pt idx="4">
                  <v>93.89</v>
                </pt>
                <pt idx="5">
                  <v>89.81</v>
                </pt>
                <pt idx="6">
                  <v>72.12</v>
                </pt>
                <pt idx="7">
                  <v>66.75999999999999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99.65000000000001</v>
                </pt>
                <pt idx="1">
                  <v>97.90000000000001</v>
                </pt>
                <pt idx="2">
                  <v>97.22</v>
                </pt>
                <pt idx="3">
                  <v>94.86</v>
                </pt>
                <pt idx="4">
                  <v>90.12</v>
                </pt>
                <pt idx="5">
                  <v>84.89</v>
                </pt>
                <pt idx="6">
                  <v>63.095</v>
                </pt>
                <pt idx="7">
                  <v>62.485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100</v>
                </pt>
                <pt idx="1">
                  <v>99.75</v>
                </pt>
                <pt idx="2">
                  <v>99.33</v>
                </pt>
                <pt idx="3">
                  <v>96.8</v>
                </pt>
                <pt idx="4">
                  <v>94.01000000000001</v>
                </pt>
                <pt idx="5">
                  <v>72.14</v>
                </pt>
                <pt idx="6">
                  <v>30.61</v>
                </pt>
                <pt idx="7">
                  <v>24.61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98.815</v>
                </pt>
                <pt idx="1">
                  <v>96.44499999999999</v>
                </pt>
                <pt idx="2">
                  <v>95.3</v>
                </pt>
                <pt idx="3">
                  <v>93.435</v>
                </pt>
                <pt idx="4">
                  <v>89.08500000000001</v>
                </pt>
                <pt idx="5">
                  <v>85.08500000000001</v>
                </pt>
                <pt idx="6">
                  <v>60.175</v>
                </pt>
                <pt idx="7">
                  <v>52.145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99.995</v>
                </pt>
                <pt idx="1">
                  <v>99.575</v>
                </pt>
                <pt idx="2">
                  <v>99.38500000000001</v>
                </pt>
                <pt idx="3">
                  <v>98.59999999999999</v>
                </pt>
                <pt idx="4">
                  <v>95.935</v>
                </pt>
                <pt idx="5">
                  <v>92.935</v>
                </pt>
                <pt idx="6">
                  <v>80.045</v>
                </pt>
                <pt idx="7">
                  <v>73.86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100</v>
                </pt>
                <pt idx="1">
                  <v>99.69</v>
                </pt>
                <pt idx="2">
                  <v>99.45999999999999</v>
                </pt>
                <pt idx="3">
                  <v>99.02500000000001</v>
                </pt>
                <pt idx="4">
                  <v>98.06</v>
                </pt>
                <pt idx="5">
                  <v>96.52</v>
                </pt>
                <pt idx="6">
                  <v>86.505</v>
                </pt>
                <pt idx="7">
                  <v>80.745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99.3</v>
                </pt>
                <pt idx="1">
                  <v>97.40000000000001</v>
                </pt>
                <pt idx="2">
                  <v>91.16</v>
                </pt>
                <pt idx="3">
                  <v>53.06999999999999</v>
                </pt>
                <pt idx="4">
                  <v>49.85999999999999</v>
                </pt>
                <pt idx="5">
                  <v>44.78999999999999</v>
                </pt>
                <pt idx="6">
                  <v>31.03999999999999</v>
                </pt>
                <pt idx="7">
                  <v>24.60999999999999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99.98999999999999</v>
                </pt>
                <pt idx="1">
                  <v>99.55</v>
                </pt>
                <pt idx="2">
                  <v>99.2</v>
                </pt>
                <pt idx="3">
                  <v>97.81</v>
                </pt>
                <pt idx="4">
                  <v>93.97</v>
                </pt>
                <pt idx="5">
                  <v>89.17</v>
                </pt>
                <pt idx="6">
                  <v>67.42</v>
                </pt>
                <pt idx="7">
                  <v>60.7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99.935</v>
                </pt>
                <pt idx="1">
                  <v>98.7</v>
                </pt>
                <pt idx="2">
                  <v>98.19</v>
                </pt>
                <pt idx="3">
                  <v>96.14</v>
                </pt>
                <pt idx="4">
                  <v>90.27</v>
                </pt>
                <pt idx="5">
                  <v>83.315</v>
                </pt>
                <pt idx="6">
                  <v>60.255</v>
                </pt>
                <pt idx="7">
                  <v>52.42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99.97</v>
                </pt>
                <pt idx="1">
                  <v>99.56</v>
                </pt>
                <pt idx="2">
                  <v>99.14</v>
                </pt>
                <pt idx="3">
                  <v>97.7</v>
                </pt>
                <pt idx="4">
                  <v>93.89</v>
                </pt>
                <pt idx="5">
                  <v>89.81</v>
                </pt>
                <pt idx="6">
                  <v>72.12</v>
                </pt>
                <pt idx="7">
                  <v>66.75999999999999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99.65000000000001</v>
                </pt>
                <pt idx="1">
                  <v>97.90000000000001</v>
                </pt>
                <pt idx="2">
                  <v>97.22</v>
                </pt>
                <pt idx="3">
                  <v>94.86</v>
                </pt>
                <pt idx="4">
                  <v>90.12</v>
                </pt>
                <pt idx="5">
                  <v>84.89</v>
                </pt>
                <pt idx="6">
                  <v>63.095</v>
                </pt>
                <pt idx="7">
                  <v>62.485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100</v>
                </pt>
                <pt idx="1">
                  <v>99.75</v>
                </pt>
                <pt idx="2">
                  <v>99.33</v>
                </pt>
                <pt idx="3">
                  <v>96.8</v>
                </pt>
                <pt idx="4">
                  <v>94.01000000000001</v>
                </pt>
                <pt idx="5">
                  <v>72.14</v>
                </pt>
                <pt idx="6">
                  <v>30.61</v>
                </pt>
                <pt idx="7">
                  <v>24.61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0.07006572987234166</v>
                </pt>
                <pt idx="9">
                  <formatCode>0.00000</formatCode>
                  <v>0.05006275171415855</v>
                </pt>
                <pt idx="10">
                  <formatCode>0.00000</formatCode>
                  <v>0.03539971122193997</v>
                </pt>
                <pt idx="11">
                  <formatCode>0.00000</formatCode>
                  <v>0.02503137585707927</v>
                </pt>
                <pt idx="12">
                  <formatCode>0.00000</formatCode>
                  <v>0.01847253559799615</v>
                </pt>
                <pt idx="13">
                  <formatCode>0.00000</formatCode>
                  <v>0.0134904325884529</v>
                </pt>
                <pt idx="14">
                  <formatCode>0.00000</formatCode>
                  <v>0.009629040155133845</v>
                </pt>
                <pt idx="15">
                  <formatCode>0.00000</formatCode>
                  <v>0.006808759590012708</v>
                </pt>
                <pt idx="16">
                  <formatCode>0.00000</formatCode>
                  <v>0.004859036501883982</v>
                </pt>
                <pt idx="17">
                  <formatCode>0.00000</formatCode>
                  <v>0.003435857660515124</v>
                </pt>
                <pt idx="18">
                  <formatCode>0.00000</formatCode>
                  <v>0.002429518250941991</v>
                </pt>
                <pt idx="19">
                  <formatCode>0.00000</formatCode>
                  <v>0.001733524872765997</v>
                </pt>
                <pt idx="20">
                  <formatCode>0.00000</formatCode>
                  <v>0.001428037698654254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98.815</v>
                </pt>
                <pt idx="1">
                  <v>96.44499999999999</v>
                </pt>
                <pt idx="2">
                  <v>95.3</v>
                </pt>
                <pt idx="3">
                  <v>93.435</v>
                </pt>
                <pt idx="4">
                  <v>89.08500000000001</v>
                </pt>
                <pt idx="5">
                  <v>85.08500000000001</v>
                </pt>
                <pt idx="6">
                  <v>60.175</v>
                </pt>
                <pt idx="7">
                  <v>52.145</v>
                </pt>
                <pt idx="8">
                  <v>21.87192288242696</v>
                </pt>
                <pt idx="9">
                  <v>18.60770037926677</v>
                </pt>
                <pt idx="10">
                  <v>18.60770037926677</v>
                </pt>
                <pt idx="11">
                  <v>18.60770037926677</v>
                </pt>
                <pt idx="12">
                  <v>18.60770037926677</v>
                </pt>
                <pt idx="13">
                  <v>18.60770037926677</v>
                </pt>
                <pt idx="14">
                  <v>15.34347787610585</v>
                </pt>
                <pt idx="15">
                  <v>15.34347787610585</v>
                </pt>
                <pt idx="16">
                  <v>12.07925537294565</v>
                </pt>
                <pt idx="17">
                  <v>12.07925537294565</v>
                </pt>
                <pt idx="18">
                  <v>12.07925537294565</v>
                </pt>
                <pt idx="19">
                  <v>8.81503286978473</v>
                </pt>
                <pt idx="20">
                  <v>5.550810366624533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99.995</v>
                </pt>
                <pt idx="1">
                  <v>99.575</v>
                </pt>
                <pt idx="2">
                  <v>99.38500000000001</v>
                </pt>
                <pt idx="3">
                  <v>98.59999999999999</v>
                </pt>
                <pt idx="4">
                  <v>95.935</v>
                </pt>
                <pt idx="5">
                  <v>92.935</v>
                </pt>
                <pt idx="6">
                  <v>80.045</v>
                </pt>
                <pt idx="7">
                  <v>73.86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100</v>
                </pt>
                <pt idx="1">
                  <v>99.69</v>
                </pt>
                <pt idx="2">
                  <v>99.45999999999999</v>
                </pt>
                <pt idx="3">
                  <v>99.02500000000001</v>
                </pt>
                <pt idx="4">
                  <v>98.06</v>
                </pt>
                <pt idx="5">
                  <v>96.52</v>
                </pt>
                <pt idx="6">
                  <v>86.505</v>
                </pt>
                <pt idx="7">
                  <v>80.745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99.3</v>
                </pt>
                <pt idx="1">
                  <v>97.40000000000001</v>
                </pt>
                <pt idx="2">
                  <v>91.16</v>
                </pt>
                <pt idx="3">
                  <v>53.06999999999999</v>
                </pt>
                <pt idx="4">
                  <v>49.85999999999999</v>
                </pt>
                <pt idx="5">
                  <v>44.78999999999999</v>
                </pt>
                <pt idx="6">
                  <v>31.03999999999999</v>
                </pt>
                <pt idx="7">
                  <v>24.60999999999999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130" zoomScaleNormal="85" zoomScaleSheetLayoutView="130" zoomScalePageLayoutView="85" workbookViewId="0">
      <selection activeCell="R7" sqref="R7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56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3" t="inlineStr">
        <is>
          <t>Sample Type</t>
        </is>
      </c>
      <c r="F2" s="63" t="inlineStr">
        <is>
          <t>Depth</t>
        </is>
      </c>
      <c r="G2" s="63" t="inlineStr">
        <is>
          <t>Container No.</t>
        </is>
      </c>
      <c r="H2" s="63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67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67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6" t="inlineStr">
        <is>
          <t xml:space="preserve">Gravel </t>
        </is>
      </c>
      <c r="AB2" s="66" t="inlineStr">
        <is>
          <t>Sand</t>
        </is>
      </c>
      <c r="AC2" s="66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5" t="n">
        <v>4.75</v>
      </c>
      <c r="K3" s="3" t="n">
        <v>2</v>
      </c>
      <c r="L3" s="3" t="n">
        <v>1.18</v>
      </c>
      <c r="M3" s="97" t="n">
        <v>0.6</v>
      </c>
      <c r="N3" s="65" t="n">
        <v>0.425</v>
      </c>
      <c r="O3" s="97" t="n">
        <v>0.3</v>
      </c>
      <c r="P3" s="97" t="n">
        <v>0.15</v>
      </c>
      <c r="Q3" s="65" t="n">
        <v>0.075</v>
      </c>
      <c r="R3" s="65" t="inlineStr">
        <is>
          <t>Pan</t>
        </is>
      </c>
      <c r="S3" s="63" t="n">
        <v>4.75</v>
      </c>
      <c r="T3" s="6" t="n">
        <v>2</v>
      </c>
      <c r="U3" s="6" t="n">
        <v>1.18</v>
      </c>
      <c r="V3" s="98" t="n">
        <v>0.6</v>
      </c>
      <c r="W3" s="63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5" t="inlineStr">
        <is>
          <t>-</t>
        </is>
      </c>
      <c r="F4" s="67" t="inlineStr">
        <is>
          <t>(m)</t>
        </is>
      </c>
      <c r="G4" s="67" t="inlineStr">
        <is>
          <t>-</t>
        </is>
      </c>
      <c r="H4" s="67" t="inlineStr">
        <is>
          <t>(gm)</t>
        </is>
      </c>
      <c r="I4" s="67" t="inlineStr">
        <is>
          <t>(gm)</t>
        </is>
      </c>
      <c r="J4" s="67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67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68" t="inlineStr">
        <is>
          <t>%</t>
        </is>
      </c>
      <c r="AB4" s="92" t="n"/>
      <c r="AC4" s="93" t="n"/>
    </row>
    <row r="5" ht="30" customHeight="1" s="41">
      <c r="A5" s="68" t="n">
        <v>1</v>
      </c>
      <c r="B5" s="70" t="inlineStr">
        <is>
          <t>CBH-08</t>
        </is>
      </c>
      <c r="C5" s="70" t="n"/>
      <c r="D5" s="71" t="n"/>
      <c r="E5" s="48" t="inlineStr">
        <is>
          <t>SPT</t>
        </is>
      </c>
      <c r="F5" s="44" t="n">
        <v>0.5</v>
      </c>
      <c r="G5" s="48" t="inlineStr">
        <is>
          <t>A032</t>
        </is>
      </c>
      <c r="H5" s="71" t="n">
        <v>100</v>
      </c>
      <c r="I5" s="44">
        <f>H5-SUM(J5:Q5)</f>
        <v/>
      </c>
      <c r="J5" s="44" t="n">
        <v>0.01</v>
      </c>
      <c r="K5" s="44" t="n">
        <v>0.44</v>
      </c>
      <c r="L5" s="44" t="n">
        <v>0.35</v>
      </c>
      <c r="M5" s="44" t="n">
        <v>1.39</v>
      </c>
      <c r="N5" s="44" t="n">
        <v>3.84</v>
      </c>
      <c r="O5" s="44" t="n">
        <v>4.8</v>
      </c>
      <c r="P5" s="44" t="n">
        <v>21.75</v>
      </c>
      <c r="Q5" s="44" t="n">
        <v>6.72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8" t="n">
        <v>2</v>
      </c>
      <c r="B6" s="99" t="n"/>
      <c r="C6" s="99" t="n"/>
      <c r="D6" s="99" t="n"/>
      <c r="E6" s="48" t="inlineStr">
        <is>
          <t>UDS</t>
        </is>
      </c>
      <c r="F6" s="44" t="n">
        <v>1.5</v>
      </c>
      <c r="G6" s="48" t="inlineStr">
        <is>
          <t>A110</t>
        </is>
      </c>
      <c r="H6" s="71" t="n">
        <v>200</v>
      </c>
      <c r="I6" s="44">
        <f>H6-SUM(J6:Q6)</f>
        <v/>
      </c>
      <c r="J6" s="44" t="n">
        <v>0.13</v>
      </c>
      <c r="K6" s="44" t="n">
        <v>2.47</v>
      </c>
      <c r="L6" s="44" t="n">
        <v>1.02</v>
      </c>
      <c r="M6" s="44" t="n">
        <v>4.1</v>
      </c>
      <c r="N6" s="44" t="n">
        <v>11.74</v>
      </c>
      <c r="O6" s="44" t="n">
        <v>13.91</v>
      </c>
      <c r="P6" s="44" t="n">
        <v>46.12</v>
      </c>
      <c r="Q6" s="44" t="n">
        <v>15.67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8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A158</t>
        </is>
      </c>
      <c r="H7" s="71" t="n">
        <v>100</v>
      </c>
      <c r="I7" s="44">
        <f>H7-SUM(J7:Q7)</f>
        <v/>
      </c>
      <c r="J7" s="44" t="n">
        <v>0.03</v>
      </c>
      <c r="K7" s="44" t="n">
        <v>0.41</v>
      </c>
      <c r="L7" s="44" t="n">
        <v>0.42</v>
      </c>
      <c r="M7" s="44" t="n">
        <v>1.44</v>
      </c>
      <c r="N7" s="44" t="n">
        <v>3.81</v>
      </c>
      <c r="O7" s="44" t="n">
        <v>4.08</v>
      </c>
      <c r="P7" s="44" t="n">
        <v>17.69</v>
      </c>
      <c r="Q7" s="44" t="n">
        <v>5.36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8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A109</t>
        </is>
      </c>
      <c r="H8" s="71" t="n">
        <v>200</v>
      </c>
      <c r="I8" s="44">
        <f>H8-SUM(J8:Q8)</f>
        <v/>
      </c>
      <c r="J8" s="44" t="n">
        <v>0.7</v>
      </c>
      <c r="K8" s="44" t="n">
        <v>3.5</v>
      </c>
      <c r="L8" s="44" t="n">
        <v>1.36</v>
      </c>
      <c r="M8" s="44" t="n">
        <v>4.72</v>
      </c>
      <c r="N8" s="44" t="n">
        <v>9.48</v>
      </c>
      <c r="O8" s="44" t="n">
        <v>10.46</v>
      </c>
      <c r="P8" s="44" t="n">
        <v>43.59</v>
      </c>
      <c r="Q8" s="44" t="n">
        <v>1.22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8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A054</t>
        </is>
      </c>
      <c r="H9" s="71" t="n">
        <v>100</v>
      </c>
      <c r="I9" s="44">
        <f>H9-SUM(J9:Q9)</f>
        <v/>
      </c>
      <c r="J9" s="44" t="n">
        <v>0</v>
      </c>
      <c r="K9" s="44" t="n">
        <v>0.25</v>
      </c>
      <c r="L9" s="44" t="n">
        <v>0.42</v>
      </c>
      <c r="M9" s="44" t="n">
        <v>2.53</v>
      </c>
      <c r="N9" s="44" t="n">
        <v>2.79</v>
      </c>
      <c r="O9" s="44" t="n">
        <v>21.87</v>
      </c>
      <c r="P9" s="44" t="n">
        <v>41.53</v>
      </c>
      <c r="Q9" s="44" t="n">
        <v>6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UDS</t>
        </is>
      </c>
      <c r="F10" s="44" t="n">
        <v>7.5</v>
      </c>
      <c r="G10" s="48" t="inlineStr">
        <is>
          <t>A162</t>
        </is>
      </c>
      <c r="H10" s="71" t="n">
        <v>200</v>
      </c>
      <c r="I10" s="44">
        <f>H10-SUM(J10:Q10)</f>
        <v/>
      </c>
      <c r="J10" s="44" t="n">
        <v>2.37</v>
      </c>
      <c r="K10" s="44" t="n">
        <v>4.74</v>
      </c>
      <c r="L10" s="44" t="n">
        <v>2.29</v>
      </c>
      <c r="M10" s="44" t="n">
        <v>3.73</v>
      </c>
      <c r="N10" s="44" t="n">
        <v>8.699999999999999</v>
      </c>
      <c r="O10" s="44" t="n">
        <v>8</v>
      </c>
      <c r="P10" s="44" t="n">
        <v>49.82</v>
      </c>
      <c r="Q10" s="44" t="n">
        <v>16.06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68" t="n">
        <v>7</v>
      </c>
      <c r="B11" s="99" t="n"/>
      <c r="C11" s="99" t="n"/>
      <c r="D11" s="99" t="n"/>
      <c r="E11" s="48" t="inlineStr">
        <is>
          <t>UDS</t>
        </is>
      </c>
      <c r="F11" s="44" t="n">
        <v>10.5</v>
      </c>
      <c r="G11" s="48" t="inlineStr">
        <is>
          <t>A060</t>
        </is>
      </c>
      <c r="H11" s="71" t="n">
        <v>200</v>
      </c>
      <c r="I11" s="44">
        <f>H11-SUM(J11:Q11)</f>
        <v/>
      </c>
      <c r="J11" s="44" t="n">
        <v>0.01</v>
      </c>
      <c r="K11" s="44" t="n">
        <v>0.84</v>
      </c>
      <c r="L11" s="44" t="n">
        <v>0.38</v>
      </c>
      <c r="M11" s="44" t="n">
        <v>1.57</v>
      </c>
      <c r="N11" s="44" t="n">
        <v>5.33</v>
      </c>
      <c r="O11" s="44" t="n">
        <v>6</v>
      </c>
      <c r="P11" s="44" t="n">
        <v>25.78</v>
      </c>
      <c r="Q11" s="44" t="n">
        <v>12.37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68" t="n">
        <v>8</v>
      </c>
      <c r="B12" s="99" t="n"/>
      <c r="C12" s="99" t="n"/>
      <c r="D12" s="99" t="n"/>
      <c r="E12" s="48" t="inlineStr">
        <is>
          <t>UDS</t>
        </is>
      </c>
      <c r="F12" s="44" t="n">
        <v>13.5</v>
      </c>
      <c r="G12" s="48" t="inlineStr">
        <is>
          <t>A133</t>
        </is>
      </c>
      <c r="H12" s="71" t="n">
        <v>200</v>
      </c>
      <c r="I12" s="44">
        <f>H12-SUM(J12:Q12)</f>
        <v/>
      </c>
      <c r="J12" s="44" t="n">
        <v>0</v>
      </c>
      <c r="K12" s="44" t="n">
        <v>0.62</v>
      </c>
      <c r="L12" s="44" t="n">
        <v>0.46</v>
      </c>
      <c r="M12" s="44" t="n">
        <v>0.87</v>
      </c>
      <c r="N12" s="44" t="n">
        <v>1.93</v>
      </c>
      <c r="O12" s="44" t="n">
        <v>3.08</v>
      </c>
      <c r="P12" s="44" t="n">
        <v>20.03</v>
      </c>
      <c r="Q12" s="44" t="n">
        <v>11.52</v>
      </c>
      <c r="R12" s="45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68" t="n">
        <v>9</v>
      </c>
      <c r="B13" s="95" t="n"/>
      <c r="C13" s="95" t="n"/>
      <c r="D13" s="95" t="n"/>
      <c r="E13" s="48" t="inlineStr">
        <is>
          <t>SPT</t>
        </is>
      </c>
      <c r="F13" s="44" t="n">
        <v>15</v>
      </c>
      <c r="G13" s="48" t="inlineStr">
        <is>
          <t>A150</t>
        </is>
      </c>
      <c r="H13" s="71" t="n">
        <v>100</v>
      </c>
      <c r="I13" s="44">
        <f>H13-SUM(J13:Q13)</f>
        <v/>
      </c>
      <c r="J13" s="44" t="n">
        <v>0.7</v>
      </c>
      <c r="K13" s="44" t="n">
        <v>1.9</v>
      </c>
      <c r="L13" s="44" t="n">
        <v>6.24</v>
      </c>
      <c r="M13" s="44" t="n">
        <v>38.09</v>
      </c>
      <c r="N13" s="44" t="n">
        <v>3.21</v>
      </c>
      <c r="O13" s="44" t="n">
        <v>5.07</v>
      </c>
      <c r="P13" s="44" t="n">
        <v>13.75</v>
      </c>
      <c r="Q13" s="44" t="n">
        <v>6.43</v>
      </c>
      <c r="R13" s="45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AJ1" zoomScale="145" zoomScaleNormal="145" zoomScaleSheetLayoutView="145" workbookViewId="0">
      <selection activeCell="AP12" sqref="AP12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81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9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9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80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8" t="n">
        <v>1</v>
      </c>
      <c r="O2" s="78" t="n">
        <v>2</v>
      </c>
      <c r="P2" s="78" t="n">
        <v>4</v>
      </c>
      <c r="Q2" s="78" t="n">
        <v>8</v>
      </c>
      <c r="R2" s="78" t="n">
        <v>15</v>
      </c>
      <c r="S2" s="78" t="n">
        <v>30</v>
      </c>
      <c r="T2" s="78" t="n">
        <v>60</v>
      </c>
      <c r="U2" s="78" t="n">
        <v>120</v>
      </c>
      <c r="V2" s="78" t="n">
        <v>240</v>
      </c>
      <c r="W2" s="78" t="n">
        <v>480</v>
      </c>
      <c r="X2" s="78" t="n">
        <v>960</v>
      </c>
      <c r="Y2" s="78" t="n">
        <v>1440</v>
      </c>
      <c r="Z2" s="102" t="n">
        <v>0.5</v>
      </c>
      <c r="AA2" s="78" t="n">
        <v>1</v>
      </c>
      <c r="AB2" s="78" t="n">
        <v>2</v>
      </c>
      <c r="AC2" s="78" t="n">
        <v>4</v>
      </c>
      <c r="AD2" s="78" t="n">
        <v>8</v>
      </c>
      <c r="AE2" s="78" t="n">
        <v>15</v>
      </c>
      <c r="AF2" s="78" t="n">
        <v>30</v>
      </c>
      <c r="AG2" s="78" t="n">
        <v>60</v>
      </c>
      <c r="AH2" s="78" t="n">
        <v>120</v>
      </c>
      <c r="AI2" s="78" t="n">
        <v>240</v>
      </c>
      <c r="AJ2" s="78" t="n">
        <v>480</v>
      </c>
      <c r="AK2" s="78" t="n">
        <v>960</v>
      </c>
      <c r="AL2" s="78" t="n">
        <v>1440</v>
      </c>
      <c r="AM2" s="102" t="n">
        <v>0.5</v>
      </c>
      <c r="AN2" s="78" t="n">
        <v>1</v>
      </c>
      <c r="AO2" s="78" t="n">
        <v>2</v>
      </c>
      <c r="AP2" s="78" t="n">
        <v>4</v>
      </c>
      <c r="AQ2" s="78" t="n">
        <v>8</v>
      </c>
      <c r="AR2" s="78" t="n">
        <v>15</v>
      </c>
      <c r="AS2" s="78" t="n">
        <v>30</v>
      </c>
      <c r="AT2" s="78" t="n">
        <v>60</v>
      </c>
      <c r="AU2" s="78" t="n">
        <v>120</v>
      </c>
      <c r="AV2" s="78" t="n">
        <v>240</v>
      </c>
      <c r="AW2" s="78" t="n">
        <v>480</v>
      </c>
      <c r="AX2" s="78" t="n">
        <v>960</v>
      </c>
      <c r="AY2" s="78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74" t="inlineStr">
        <is>
          <t>-</t>
        </is>
      </c>
      <c r="E4" s="74" t="inlineStr">
        <is>
          <t>(°C)</t>
        </is>
      </c>
      <c r="F4" s="74" t="inlineStr">
        <is>
          <t>Poise</t>
        </is>
      </c>
      <c r="G4" s="74" t="inlineStr">
        <is>
          <t>-</t>
        </is>
      </c>
      <c r="H4" s="74" t="inlineStr">
        <is>
          <t>-</t>
        </is>
      </c>
      <c r="I4" s="81" t="inlineStr">
        <is>
          <t>-</t>
        </is>
      </c>
      <c r="J4" s="83" t="n"/>
      <c r="K4" s="83" t="inlineStr">
        <is>
          <t>-</t>
        </is>
      </c>
      <c r="L4" s="83" t="inlineStr">
        <is>
          <t>-</t>
        </is>
      </c>
      <c r="M4" s="81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81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81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2.66</v>
      </c>
      <c r="H5" s="35" t="n">
        <v>0.0005</v>
      </c>
      <c r="I5" s="35" t="n">
        <v>2</v>
      </c>
      <c r="J5" s="35" t="n">
        <v>1</v>
      </c>
      <c r="K5" s="36" t="n">
        <v>0</v>
      </c>
      <c r="L5" s="35" t="n">
        <v>0.3</v>
      </c>
      <c r="M5" s="104" t="n">
        <v>1.019</v>
      </c>
      <c r="N5" s="104" t="n">
        <v>1.018</v>
      </c>
      <c r="O5" s="104" t="n">
        <v>1.018</v>
      </c>
      <c r="P5" s="104" t="n">
        <v>1.017</v>
      </c>
      <c r="Q5" s="104" t="n">
        <v>1.016</v>
      </c>
      <c r="R5" s="104" t="n">
        <v>1.015</v>
      </c>
      <c r="S5" s="104" t="n">
        <v>1.014</v>
      </c>
      <c r="T5" s="104" t="n">
        <v>1.013</v>
      </c>
      <c r="U5" s="104" t="n">
        <v>1.013</v>
      </c>
      <c r="V5" s="104" t="n">
        <v>1.012</v>
      </c>
      <c r="W5" s="104" t="n">
        <v>1.011</v>
      </c>
      <c r="X5" s="104" t="n">
        <v>1.01</v>
      </c>
      <c r="Y5" s="104" t="n">
        <v>1.01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2.64</v>
      </c>
      <c r="H6" s="35" t="n">
        <v>0.0005</v>
      </c>
      <c r="I6" s="35" t="n">
        <v>2</v>
      </c>
      <c r="J6" s="35" t="n">
        <v>1</v>
      </c>
      <c r="K6" s="36" t="n">
        <v>0</v>
      </c>
      <c r="L6" s="35" t="n">
        <v>0.3</v>
      </c>
      <c r="M6" s="104" t="n">
        <v>1.016</v>
      </c>
      <c r="N6" s="104" t="n">
        <v>1.016</v>
      </c>
      <c r="O6" s="104" t="n">
        <v>1.015</v>
      </c>
      <c r="P6" s="104" t="n">
        <v>1.015</v>
      </c>
      <c r="Q6" s="104" t="n">
        <v>1.014</v>
      </c>
      <c r="R6" s="104" t="n">
        <v>1.013</v>
      </c>
      <c r="S6" s="104" t="n">
        <v>1.013</v>
      </c>
      <c r="T6" s="104" t="n">
        <v>1.012</v>
      </c>
      <c r="U6" s="104" t="n">
        <v>1.011</v>
      </c>
      <c r="V6" s="104" t="n">
        <v>1.01</v>
      </c>
      <c r="W6" s="104" t="n">
        <v>1.01</v>
      </c>
      <c r="X6" s="104" t="n">
        <v>1.009</v>
      </c>
      <c r="Y6" s="104" t="n">
        <v>1.009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2.68</v>
      </c>
      <c r="H7" s="35" t="n">
        <v>0.0005</v>
      </c>
      <c r="I7" s="35" t="n">
        <v>2</v>
      </c>
      <c r="J7" s="35" t="n">
        <v>1</v>
      </c>
      <c r="K7" s="36" t="n">
        <v>0</v>
      </c>
      <c r="L7" s="35" t="n">
        <v>0.3</v>
      </c>
      <c r="M7" s="104" t="n">
        <v>1.021</v>
      </c>
      <c r="N7" s="104" t="n">
        <v>1.02</v>
      </c>
      <c r="O7" s="104" t="n">
        <v>1.019</v>
      </c>
      <c r="P7" s="104" t="n">
        <v>1.019</v>
      </c>
      <c r="Q7" s="104" t="n">
        <v>1.018</v>
      </c>
      <c r="R7" s="104" t="n">
        <v>1.017</v>
      </c>
      <c r="S7" s="104" t="n">
        <v>1.016</v>
      </c>
      <c r="T7" s="104" t="n">
        <v>1.015</v>
      </c>
      <c r="U7" s="104" t="n">
        <v>1.014</v>
      </c>
      <c r="V7" s="104" t="n">
        <v>1.013</v>
      </c>
      <c r="W7" s="104" t="n">
        <v>1.012</v>
      </c>
      <c r="X7" s="104" t="n">
        <v>1.012</v>
      </c>
      <c r="Y7" s="104" t="n">
        <v>1.012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2.69</v>
      </c>
      <c r="H8" s="35" t="n">
        <v>0.0005</v>
      </c>
      <c r="I8" s="35" t="n">
        <v>2</v>
      </c>
      <c r="J8" s="35" t="n">
        <v>1</v>
      </c>
      <c r="K8" s="36" t="n">
        <v>0</v>
      </c>
      <c r="L8" s="35" t="n">
        <v>0.3</v>
      </c>
      <c r="M8" s="104" t="n">
        <v>1.02</v>
      </c>
      <c r="N8" s="104" t="n">
        <v>1.019</v>
      </c>
      <c r="O8" s="104" t="n">
        <v>1.018</v>
      </c>
      <c r="P8" s="104" t="n">
        <v>1.018</v>
      </c>
      <c r="Q8" s="104" t="n">
        <v>1.017</v>
      </c>
      <c r="R8" s="104" t="n">
        <v>1.016</v>
      </c>
      <c r="S8" s="104" t="n">
        <v>1.015</v>
      </c>
      <c r="T8" s="104" t="n">
        <v>1.014</v>
      </c>
      <c r="U8" s="104" t="n">
        <v>1.014</v>
      </c>
      <c r="V8" s="104" t="n">
        <v>1.013</v>
      </c>
      <c r="W8" s="104" t="n">
        <v>1.012</v>
      </c>
      <c r="X8" s="104" t="n">
        <v>1.012</v>
      </c>
      <c r="Y8" s="104" t="n">
        <v>1.012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>
        <f>(0.000000002615*E9^4) - (0.00000030607*E9^3) + (0.000016427499*E9^2) - (0.000618546309*E9) + 0.017919182437</f>
        <v/>
      </c>
      <c r="G9" s="104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2.67</v>
      </c>
      <c r="H10" s="35" t="n">
        <v>0.0005</v>
      </c>
      <c r="I10" s="35" t="n">
        <v>1</v>
      </c>
      <c r="J10" s="35" t="n">
        <v>2</v>
      </c>
      <c r="K10" s="36" t="n">
        <v>0</v>
      </c>
      <c r="L10" s="35" t="n">
        <v>0.3</v>
      </c>
      <c r="M10" s="104" t="n">
        <v>1.016</v>
      </c>
      <c r="N10" s="104" t="n">
        <v>1.016</v>
      </c>
      <c r="O10" s="104" t="n">
        <v>1.015</v>
      </c>
      <c r="P10" s="104" t="n">
        <v>1.015</v>
      </c>
      <c r="Q10" s="104" t="n">
        <v>1.014</v>
      </c>
      <c r="R10" s="104" t="n">
        <v>1.013</v>
      </c>
      <c r="S10" s="104" t="n">
        <v>1.013</v>
      </c>
      <c r="T10" s="104" t="n">
        <v>1.012</v>
      </c>
      <c r="U10" s="104" t="n">
        <v>1.011</v>
      </c>
      <c r="V10" s="104" t="n">
        <v>1.01</v>
      </c>
      <c r="W10" s="104" t="n">
        <v>1.01</v>
      </c>
      <c r="X10" s="104" t="n">
        <v>1.009</v>
      </c>
      <c r="Y10" s="104" t="n">
        <v>1.009</v>
      </c>
      <c r="Z10" s="39" t="n">
        <v>0.07006572987234166</v>
      </c>
      <c r="AA10" s="39" t="n">
        <v>0.05006275171415855</v>
      </c>
      <c r="AB10" s="39" t="n">
        <v>0.03539971122193997</v>
      </c>
      <c r="AC10" s="39" t="n">
        <v>0.02503137585707927</v>
      </c>
      <c r="AD10" s="39" t="n">
        <v>0.01847253559799615</v>
      </c>
      <c r="AE10" s="39" t="n">
        <v>0.0134904325884529</v>
      </c>
      <c r="AF10" s="39" t="n">
        <v>0.009629040155133845</v>
      </c>
      <c r="AG10" s="39" t="n">
        <v>0.006808759590012708</v>
      </c>
      <c r="AH10" s="39" t="n">
        <v>0.004859036501883982</v>
      </c>
      <c r="AI10" s="39" t="n">
        <v>0.003435857660515124</v>
      </c>
      <c r="AJ10" s="39" t="n">
        <v>0.002429518250941991</v>
      </c>
      <c r="AK10" s="39" t="n">
        <v>0.001733524872765997</v>
      </c>
      <c r="AL10" s="39" t="n">
        <v>0.001428037698654254</v>
      </c>
      <c r="AM10" s="36" t="n">
        <v>21.87192288242696</v>
      </c>
      <c r="AN10" s="36" t="n">
        <v>18.60770037926677</v>
      </c>
      <c r="AO10" s="36" t="n">
        <v>18.60770037926677</v>
      </c>
      <c r="AP10" s="36" t="n">
        <v>18.60770037926677</v>
      </c>
      <c r="AQ10" s="36" t="n">
        <v>18.60770037926677</v>
      </c>
      <c r="AR10" s="36" t="n">
        <v>18.60770037926677</v>
      </c>
      <c r="AS10" s="36" t="n">
        <v>15.34347787610585</v>
      </c>
      <c r="AT10" s="36" t="n">
        <v>15.34347787610585</v>
      </c>
      <c r="AU10" s="36" t="n">
        <v>12.07925537294565</v>
      </c>
      <c r="AV10" s="36" t="n">
        <v>12.07925537294565</v>
      </c>
      <c r="AW10" s="36" t="n">
        <v>12.07925537294565</v>
      </c>
      <c r="AX10" s="36" t="n">
        <v>8.81503286978473</v>
      </c>
      <c r="AY10" s="36" t="n">
        <v>5.550810366624533</v>
      </c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2.7</v>
      </c>
      <c r="H11" s="35" t="n">
        <v>0.0005</v>
      </c>
      <c r="I11" s="35" t="n">
        <v>1</v>
      </c>
      <c r="J11" s="35" t="n">
        <v>2</v>
      </c>
      <c r="K11" s="36" t="n">
        <v>0</v>
      </c>
      <c r="L11" s="35" t="n">
        <v>0.3</v>
      </c>
      <c r="M11" s="104" t="n">
        <v>1.023</v>
      </c>
      <c r="N11" s="104" t="n">
        <v>1.022</v>
      </c>
      <c r="O11" s="104" t="n">
        <v>1.021</v>
      </c>
      <c r="P11" s="104" t="n">
        <v>1.02</v>
      </c>
      <c r="Q11" s="104" t="n">
        <v>1.02</v>
      </c>
      <c r="R11" s="104" t="n">
        <v>1.019</v>
      </c>
      <c r="S11" s="104" t="n">
        <v>1.018</v>
      </c>
      <c r="T11" s="104" t="n">
        <v>1.017</v>
      </c>
      <c r="U11" s="104" t="n">
        <v>1.016</v>
      </c>
      <c r="V11" s="104" t="n">
        <v>1.015</v>
      </c>
      <c r="W11" s="104" t="n">
        <v>1.013</v>
      </c>
      <c r="X11" s="104" t="n">
        <v>1.013</v>
      </c>
      <c r="Y11" s="104" t="n">
        <v>1.013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2.65</v>
      </c>
      <c r="H12" s="35" t="n">
        <v>0.0005</v>
      </c>
      <c r="I12" s="35" t="n">
        <v>1</v>
      </c>
      <c r="J12" s="35" t="n">
        <v>2</v>
      </c>
      <c r="K12" s="36" t="n">
        <v>0</v>
      </c>
      <c r="L12" s="35" t="n">
        <v>0.3</v>
      </c>
      <c r="M12" s="104" t="n">
        <v>1.025</v>
      </c>
      <c r="N12" s="104" t="n">
        <v>1.024</v>
      </c>
      <c r="O12" s="104" t="n">
        <v>1.023</v>
      </c>
      <c r="P12" s="104" t="n">
        <v>1.022</v>
      </c>
      <c r="Q12" s="104" t="n">
        <v>1.021</v>
      </c>
      <c r="R12" s="104" t="n">
        <v>1.02</v>
      </c>
      <c r="S12" s="104" t="n">
        <v>1.019</v>
      </c>
      <c r="T12" s="104" t="n">
        <v>1.018</v>
      </c>
      <c r="U12" s="104" t="n">
        <v>1.017</v>
      </c>
      <c r="V12" s="104" t="n">
        <v>1.016</v>
      </c>
      <c r="W12" s="104" t="n">
        <v>1.015</v>
      </c>
      <c r="X12" s="104" t="n">
        <v>1.015</v>
      </c>
      <c r="Y12" s="104" t="n">
        <v>1.015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>
        <f>(0.000000002615*E13^4) - (0.00000030607*E13^3) + (0.000016427499*E13^2) - (0.000618546309*E13) + 0.017919182437</f>
        <v/>
      </c>
      <c r="G13" s="104" t="n"/>
      <c r="H13" s="35" t="n">
        <v>0.0005</v>
      </c>
      <c r="I13" s="35" t="n">
        <v>1</v>
      </c>
      <c r="J13" s="35" t="n">
        <v>2</v>
      </c>
      <c r="K13" s="36">
        <f>(E13-27)*0.25</f>
        <v/>
      </c>
      <c r="L13" s="35" t="n">
        <v>0.3</v>
      </c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C1" zoomScale="130" zoomScaleNormal="130" workbookViewId="0">
      <selection activeCell="AO15" sqref="AO15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>
        <v>0.01000000000000512</v>
      </c>
      <c r="AU3" s="53" t="n">
        <v>39.29</v>
      </c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>
        <v>0.06499999999999773</v>
      </c>
      <c r="AU4" s="53" t="n">
        <v>47.515</v>
      </c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>
        <v>0.03000000000000114</v>
      </c>
      <c r="AU5" s="53" t="n">
        <v>33.21000000000001</v>
      </c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>
        <v>0.3499999999999943</v>
      </c>
      <c r="AU6" s="53" t="n">
        <v>37.16500000000001</v>
      </c>
      <c r="AV6" s="53" t="n"/>
      <c r="AW6" s="53" t="n"/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>
        <v>0</v>
      </c>
      <c r="AU7" s="53" t="n">
        <v>75.39</v>
      </c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>
        <v>1.185000000000002</v>
      </c>
      <c r="AU8" s="53" t="n">
        <v>46.67</v>
      </c>
      <c r="AV8" s="53" t="n">
        <v>41.94714546171605</v>
      </c>
      <c r="AW8" s="53" t="n">
        <v>10.19785453828394</v>
      </c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>
        <v>0.004999999999995453</v>
      </c>
      <c r="AU9" s="55" t="n">
        <v>26.13500000000001</v>
      </c>
      <c r="AV9" s="55" t="n"/>
      <c r="AW9" s="55" t="n"/>
    </row>
    <row r="10" s="41">
      <c r="A10" s="54" t="n">
        <v>8</v>
      </c>
      <c r="B10" s="54">
        <f>B9</f>
        <v/>
      </c>
      <c r="C10" s="50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3">
        <f>GSD!S12</f>
        <v/>
      </c>
      <c r="Z10" s="53">
        <f>GSD!T12</f>
        <v/>
      </c>
      <c r="AA10" s="53">
        <f>GSD!U12</f>
        <v/>
      </c>
      <c r="AB10" s="53">
        <f>GSD!V12</f>
        <v/>
      </c>
      <c r="AC10" s="53">
        <f>GSD!W12</f>
        <v/>
      </c>
      <c r="AD10" s="53">
        <f>GSD!X12</f>
        <v/>
      </c>
      <c r="AE10" s="53">
        <f>GSD!Y12</f>
        <v/>
      </c>
      <c r="AF10" s="53">
        <f>GSD!Z12</f>
        <v/>
      </c>
      <c r="AG10" s="53">
        <f>HYD!AM12</f>
        <v/>
      </c>
      <c r="AH10" s="53">
        <f>HYD!AN12</f>
        <v/>
      </c>
      <c r="AI10" s="53">
        <f>HYD!AO12</f>
        <v/>
      </c>
      <c r="AJ10" s="53">
        <f>HYD!AP12</f>
        <v/>
      </c>
      <c r="AK10" s="53">
        <f>HYD!AQ12</f>
        <v/>
      </c>
      <c r="AL10" s="53">
        <f>HYD!AR12</f>
        <v/>
      </c>
      <c r="AM10" s="53">
        <f>HYD!AS12</f>
        <v/>
      </c>
      <c r="AN10" s="53">
        <f>HYD!AT12</f>
        <v/>
      </c>
      <c r="AO10" s="53">
        <f>HYD!AU12</f>
        <v/>
      </c>
      <c r="AP10" s="53">
        <f>HYD!AV12</f>
        <v/>
      </c>
      <c r="AQ10" s="53">
        <f>HYD!AW12</f>
        <v/>
      </c>
      <c r="AR10" s="53">
        <f>HYD!AX12</f>
        <v/>
      </c>
      <c r="AS10" s="53">
        <f>HYD!AY12</f>
        <v/>
      </c>
      <c r="AT10" s="55" t="n">
        <v>0</v>
      </c>
      <c r="AU10" s="55" t="n">
        <v>19.255</v>
      </c>
      <c r="AV10" s="55" t="n"/>
      <c r="AW10" s="55" t="n"/>
    </row>
    <row r="11" s="41">
      <c r="A11" s="54" t="n">
        <v>9</v>
      </c>
      <c r="B11" s="54">
        <f>B10</f>
        <v/>
      </c>
      <c r="C11" s="50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3">
        <f>GSD!S13</f>
        <v/>
      </c>
      <c r="Z11" s="53">
        <f>GSD!T13</f>
        <v/>
      </c>
      <c r="AA11" s="53">
        <f>GSD!U13</f>
        <v/>
      </c>
      <c r="AB11" s="53">
        <f>GSD!V13</f>
        <v/>
      </c>
      <c r="AC11" s="53">
        <f>GSD!W13</f>
        <v/>
      </c>
      <c r="AD11" s="53">
        <f>GSD!X13</f>
        <v/>
      </c>
      <c r="AE11" s="53">
        <f>GSD!Y13</f>
        <v/>
      </c>
      <c r="AF11" s="53">
        <f>GSD!Z13</f>
        <v/>
      </c>
      <c r="AG11" s="53">
        <f>HYD!AM13</f>
        <v/>
      </c>
      <c r="AH11" s="53">
        <f>HYD!AN13</f>
        <v/>
      </c>
      <c r="AI11" s="53">
        <f>HYD!AO13</f>
        <v/>
      </c>
      <c r="AJ11" s="53">
        <f>HYD!AP13</f>
        <v/>
      </c>
      <c r="AK11" s="53">
        <f>HYD!AQ13</f>
        <v/>
      </c>
      <c r="AL11" s="53">
        <f>HYD!AR13</f>
        <v/>
      </c>
      <c r="AM11" s="53">
        <f>HYD!AS13</f>
        <v/>
      </c>
      <c r="AN11" s="53">
        <f>HYD!AT13</f>
        <v/>
      </c>
      <c r="AO11" s="53">
        <f>HYD!AU13</f>
        <v/>
      </c>
      <c r="AP11" s="53">
        <f>HYD!AV13</f>
        <v/>
      </c>
      <c r="AQ11" s="53">
        <f>HYD!AW13</f>
        <v/>
      </c>
      <c r="AR11" s="53">
        <f>HYD!AX13</f>
        <v/>
      </c>
      <c r="AS11" s="53">
        <f>HYD!AY13</f>
        <v/>
      </c>
      <c r="AT11" s="55" t="n">
        <v>0.7000000000000028</v>
      </c>
      <c r="AU11" s="55" t="n">
        <v>74.69000000000001</v>
      </c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2026-09-19T05:41:52Z</dcterms:modified>
  <cp:lastModifiedBy>baps</cp:lastModifiedBy>
</cp:coreProperties>
</file>