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'GSD'!$A$1:$AC$11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108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98.76000000000001</v>
                </pt>
                <pt idx="1">
                  <v>96.62</v>
                </pt>
                <pt idx="2">
                  <v>94.45999999999999</v>
                </pt>
                <pt idx="3">
                  <v>87.43000000000001</v>
                </pt>
                <pt idx="4">
                  <v>86.11</v>
                </pt>
                <pt idx="5">
                  <v>82.45</v>
                </pt>
                <pt idx="6">
                  <v>67.23999999999999</v>
                </pt>
                <pt idx="7">
                  <v>55.13999999999999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98.58</v>
                </pt>
                <pt idx="1">
                  <v>97.545</v>
                </pt>
                <pt idx="2">
                  <v>96.315</v>
                </pt>
                <pt idx="3">
                  <v>91.09</v>
                </pt>
                <pt idx="4">
                  <v>90.09</v>
                </pt>
                <pt idx="5">
                  <v>86.61</v>
                </pt>
                <pt idx="6">
                  <v>71.87</v>
                </pt>
                <pt idx="7">
                  <v>64.83499999999999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98.40000000000001</v>
                </pt>
                <pt idx="1">
                  <v>96.77</v>
                </pt>
                <pt idx="2">
                  <v>95.06999999999999</v>
                </pt>
                <pt idx="3">
                  <v>88.11</v>
                </pt>
                <pt idx="4">
                  <v>86.75</v>
                </pt>
                <pt idx="5">
                  <v>82.93000000000001</v>
                </pt>
                <pt idx="6">
                  <v>68.38</v>
                </pt>
                <pt idx="7">
                  <v>55.86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99.58</v>
                </pt>
                <pt idx="1">
                  <v>98.755</v>
                </pt>
                <pt idx="2">
                  <v>96.77</v>
                </pt>
                <pt idx="3">
                  <v>83.345</v>
                </pt>
                <pt idx="4">
                  <v>81.125</v>
                </pt>
                <pt idx="5">
                  <v>76.215</v>
                </pt>
                <pt idx="6">
                  <v>63.54</v>
                </pt>
                <pt idx="7">
                  <v>55.09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97.43000000000001</v>
                </pt>
                <pt idx="1">
                  <v>94.88</v>
                </pt>
                <pt idx="2">
                  <v>92.91</v>
                </pt>
                <pt idx="3">
                  <v>90.55</v>
                </pt>
                <pt idx="4">
                  <v>88.17</v>
                </pt>
                <pt idx="5">
                  <v>85</v>
                </pt>
                <pt idx="6">
                  <v>66.45</v>
                </pt>
                <pt idx="7">
                  <v>49.54000000000001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99.14</v>
                </pt>
                <pt idx="1">
                  <v>98.19499999999999</v>
                </pt>
                <pt idx="2">
                  <v>96.45</v>
                </pt>
                <pt idx="3">
                  <v>92.47</v>
                </pt>
                <pt idx="4">
                  <v>91.08</v>
                </pt>
                <pt idx="5">
                  <v>85.16</v>
                </pt>
                <pt idx="6">
                  <v>70.56</v>
                </pt>
                <pt idx="7">
                  <v>62.45499999999999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99.54000000000001</v>
                </pt>
                <pt idx="1">
                  <v>96.89</v>
                </pt>
                <pt idx="2">
                  <v>94.95999999999999</v>
                </pt>
                <pt idx="3">
                  <v>91.19</v>
                </pt>
                <pt idx="4">
                  <v>90.2</v>
                </pt>
                <pt idx="5">
                  <v>86.5</v>
                </pt>
                <pt idx="6">
                  <v>67.86</v>
                </pt>
                <pt idx="7">
                  <v>50.95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08383388876035092"/>
          <h val="0.0140808164951776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98.76000000000001</v>
                </pt>
                <pt idx="1">
                  <v>96.62</v>
                </pt>
                <pt idx="2">
                  <v>94.45999999999999</v>
                </pt>
                <pt idx="3">
                  <v>87.43000000000001</v>
                </pt>
                <pt idx="4">
                  <v>86.11</v>
                </pt>
                <pt idx="5">
                  <v>82.45</v>
                </pt>
                <pt idx="6">
                  <v>67.23999999999999</v>
                </pt>
                <pt idx="7">
                  <v>55.13999999999999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98.58</v>
                </pt>
                <pt idx="1">
                  <v>97.545</v>
                </pt>
                <pt idx="2">
                  <v>96.315</v>
                </pt>
                <pt idx="3">
                  <v>91.09</v>
                </pt>
                <pt idx="4">
                  <v>90.09</v>
                </pt>
                <pt idx="5">
                  <v>86.61</v>
                </pt>
                <pt idx="6">
                  <v>71.87</v>
                </pt>
                <pt idx="7">
                  <v>64.83499999999999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98.40000000000001</v>
                </pt>
                <pt idx="1">
                  <v>96.77</v>
                </pt>
                <pt idx="2">
                  <v>95.06999999999999</v>
                </pt>
                <pt idx="3">
                  <v>88.11</v>
                </pt>
                <pt idx="4">
                  <v>86.75</v>
                </pt>
                <pt idx="5">
                  <v>82.93000000000001</v>
                </pt>
                <pt idx="6">
                  <v>68.38</v>
                </pt>
                <pt idx="7">
                  <v>55.86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99.58</v>
                </pt>
                <pt idx="1">
                  <v>98.755</v>
                </pt>
                <pt idx="2">
                  <v>96.77</v>
                </pt>
                <pt idx="3">
                  <v>83.345</v>
                </pt>
                <pt idx="4">
                  <v>81.125</v>
                </pt>
                <pt idx="5">
                  <v>76.215</v>
                </pt>
                <pt idx="6">
                  <v>63.54</v>
                </pt>
                <pt idx="7">
                  <v>55.09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97.43000000000001</v>
                </pt>
                <pt idx="1">
                  <v>94.88</v>
                </pt>
                <pt idx="2">
                  <v>92.91</v>
                </pt>
                <pt idx="3">
                  <v>90.55</v>
                </pt>
                <pt idx="4">
                  <v>88.17</v>
                </pt>
                <pt idx="5">
                  <v>85</v>
                </pt>
                <pt idx="6">
                  <v>66.45</v>
                </pt>
                <pt idx="7">
                  <v>49.54000000000001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99.14</v>
                </pt>
                <pt idx="1">
                  <v>98.19499999999999</v>
                </pt>
                <pt idx="2">
                  <v>96.45</v>
                </pt>
                <pt idx="3">
                  <v>92.47</v>
                </pt>
                <pt idx="4">
                  <v>91.08</v>
                </pt>
                <pt idx="5">
                  <v>85.16</v>
                </pt>
                <pt idx="6">
                  <v>70.56</v>
                </pt>
                <pt idx="7">
                  <v>62.45499999999999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99.54000000000001</v>
                </pt>
                <pt idx="1">
                  <v>96.89</v>
                </pt>
                <pt idx="2">
                  <v>94.95999999999999</v>
                </pt>
                <pt idx="3">
                  <v>91.19</v>
                </pt>
                <pt idx="4">
                  <v>90.2</v>
                </pt>
                <pt idx="5">
                  <v>86.5</v>
                </pt>
                <pt idx="6">
                  <v>67.86</v>
                </pt>
                <pt idx="7">
                  <v>50.95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</numCache>
            </numRef>
          </xVal>
          <yVal>
            <numRef>
              <f>PLOT!$Y$10:$AS$10</f>
              <numCache>
                <formatCode>0.00</formatCode>
                <ptCount val="21"/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</numCache>
            </numRef>
          </xVal>
          <yVal>
            <numRef>
              <f>PLOT!$Y$11:$AS$11</f>
              <numCache>
                <formatCode>0.00</formatCode>
                <ptCount val="21"/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11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1"/>
  <sheetViews>
    <sheetView tabSelected="1" view="pageBreakPreview" zoomScale="130" zoomScaleNormal="85" zoomScaleSheetLayoutView="130" zoomScalePageLayoutView="85" workbookViewId="0">
      <selection activeCell="J3" sqref="J3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26"/>
    <col width="9" customWidth="1" style="1" min="27" max="16384"/>
  </cols>
  <sheetData>
    <row r="1" ht="25.15" customHeight="1" s="41">
      <c r="A1" s="60" t="inlineStr">
        <is>
          <t>Grain Size Analysis (Sieve Analysis)</t>
        </is>
      </c>
      <c r="B1" s="89" t="n"/>
      <c r="C1" s="89" t="n"/>
      <c r="D1" s="89" t="n"/>
      <c r="E1" s="89" t="n"/>
      <c r="F1" s="89" t="n"/>
      <c r="G1" s="89" t="n"/>
      <c r="H1" s="89" t="n"/>
      <c r="I1" s="89" t="n"/>
      <c r="J1" s="89" t="n"/>
      <c r="K1" s="89" t="n"/>
      <c r="L1" s="89" t="n"/>
      <c r="M1" s="89" t="n"/>
      <c r="N1" s="89" t="n"/>
      <c r="O1" s="89" t="n"/>
      <c r="P1" s="89" t="n"/>
      <c r="Q1" s="89" t="n"/>
      <c r="R1" s="89" t="n"/>
      <c r="S1" s="89" t="n"/>
      <c r="T1" s="89" t="n"/>
      <c r="U1" s="89" t="n"/>
      <c r="V1" s="89" t="n"/>
      <c r="W1" s="89" t="n"/>
      <c r="X1" s="89" t="n"/>
      <c r="Y1" s="89" t="n"/>
      <c r="Z1" s="89" t="n"/>
      <c r="AA1" s="89" t="n"/>
      <c r="AB1" s="89" t="n"/>
      <c r="AC1" s="89" t="n"/>
    </row>
    <row r="2" ht="24.6" customHeight="1" s="41">
      <c r="A2" s="90" t="inlineStr">
        <is>
          <t>Sr No.</t>
        </is>
      </c>
      <c r="B2" s="91" t="inlineStr">
        <is>
          <t>BH ID</t>
        </is>
      </c>
      <c r="C2" s="91" t="inlineStr">
        <is>
          <t>Chainage</t>
        </is>
      </c>
      <c r="D2" s="91" t="inlineStr">
        <is>
          <t>Sample ID</t>
        </is>
      </c>
      <c r="E2" s="67" t="inlineStr">
        <is>
          <t>Sample Type</t>
        </is>
      </c>
      <c r="F2" s="67" t="inlineStr">
        <is>
          <t>Depth</t>
        </is>
      </c>
      <c r="G2" s="67" t="inlineStr">
        <is>
          <t>Container No.</t>
        </is>
      </c>
      <c r="H2" s="67" t="inlineStr">
        <is>
          <t>Weight of Sample taken for Sieve Analysis</t>
        </is>
      </c>
      <c r="I2" s="92" t="inlineStr">
        <is>
          <t>Weight of Sample Remain after washing through 75µ sieve</t>
        </is>
      </c>
      <c r="J2" s="57" t="inlineStr">
        <is>
          <t>Weight Retained on IS Sieve</t>
        </is>
      </c>
      <c r="K2" s="93" t="n"/>
      <c r="L2" s="93" t="n"/>
      <c r="M2" s="93" t="n"/>
      <c r="N2" s="93" t="n"/>
      <c r="O2" s="93" t="n"/>
      <c r="P2" s="93" t="n"/>
      <c r="Q2" s="93" t="n"/>
      <c r="R2" s="94" t="n"/>
      <c r="S2" s="57" t="inlineStr">
        <is>
          <t>% Passing</t>
        </is>
      </c>
      <c r="T2" s="93" t="n"/>
      <c r="U2" s="93" t="n"/>
      <c r="V2" s="93" t="n"/>
      <c r="W2" s="93" t="n"/>
      <c r="X2" s="93" t="n"/>
      <c r="Y2" s="93" t="n"/>
      <c r="Z2" s="94" t="n"/>
      <c r="AA2" s="70" t="inlineStr">
        <is>
          <t xml:space="preserve">Gravel </t>
        </is>
      </c>
      <c r="AB2" s="70" t="inlineStr">
        <is>
          <t>Sand</t>
        </is>
      </c>
      <c r="AC2" s="70" t="inlineStr">
        <is>
          <t>Fines</t>
        </is>
      </c>
    </row>
    <row r="3" ht="40.5" customHeight="1" s="41">
      <c r="A3" s="95" t="n"/>
      <c r="B3" s="95" t="n"/>
      <c r="C3" s="95" t="n"/>
      <c r="D3" s="95" t="n"/>
      <c r="E3" s="96" t="n"/>
      <c r="F3" s="96" t="n"/>
      <c r="G3" s="96" t="n"/>
      <c r="H3" s="96" t="n"/>
      <c r="I3" s="97" t="n"/>
      <c r="J3" s="69" t="n">
        <v>4.75</v>
      </c>
      <c r="K3" s="3" t="n">
        <v>2</v>
      </c>
      <c r="L3" s="3" t="n">
        <v>1.18</v>
      </c>
      <c r="M3" s="98" t="n">
        <v>0.6</v>
      </c>
      <c r="N3" s="69" t="n">
        <v>0.425</v>
      </c>
      <c r="O3" s="98" t="n">
        <v>0.3</v>
      </c>
      <c r="P3" s="98" t="n">
        <v>0.15</v>
      </c>
      <c r="Q3" s="69" t="n">
        <v>0.075</v>
      </c>
      <c r="R3" s="69" t="inlineStr">
        <is>
          <t>Pan</t>
        </is>
      </c>
      <c r="S3" s="67" t="n">
        <v>4.75</v>
      </c>
      <c r="T3" s="6" t="n">
        <v>2</v>
      </c>
      <c r="U3" s="6" t="n">
        <v>1.18</v>
      </c>
      <c r="V3" s="99" t="n">
        <v>0.6</v>
      </c>
      <c r="W3" s="67" t="n">
        <v>0.425</v>
      </c>
      <c r="X3" s="99" t="n">
        <v>0.3</v>
      </c>
      <c r="Y3" s="99" t="n">
        <v>0.15</v>
      </c>
      <c r="Z3" s="99" t="n">
        <v>0.075</v>
      </c>
      <c r="AA3" s="96" t="n"/>
      <c r="AB3" s="96" t="n"/>
      <c r="AC3" s="96" t="n"/>
    </row>
    <row r="4" ht="21.6" customHeight="1" s="41">
      <c r="A4" s="97" t="n"/>
      <c r="B4" s="97" t="n"/>
      <c r="C4" s="97" t="n"/>
      <c r="D4" s="97" t="n"/>
      <c r="E4" s="69" t="inlineStr">
        <is>
          <t>-</t>
        </is>
      </c>
      <c r="F4" s="57" t="inlineStr">
        <is>
          <t>(m)</t>
        </is>
      </c>
      <c r="G4" s="57" t="inlineStr">
        <is>
          <t>-</t>
        </is>
      </c>
      <c r="H4" s="57" t="inlineStr">
        <is>
          <t>(gm)</t>
        </is>
      </c>
      <c r="I4" s="57" t="inlineStr">
        <is>
          <t>(gm)</t>
        </is>
      </c>
      <c r="J4" s="57" t="inlineStr">
        <is>
          <t>(gm)</t>
        </is>
      </c>
      <c r="K4" s="93" t="n"/>
      <c r="L4" s="93" t="n"/>
      <c r="M4" s="93" t="n"/>
      <c r="N4" s="93" t="n"/>
      <c r="O4" s="93" t="n"/>
      <c r="P4" s="93" t="n"/>
      <c r="Q4" s="93" t="n"/>
      <c r="R4" s="94" t="n"/>
      <c r="S4" s="57" t="inlineStr">
        <is>
          <t>(gm)</t>
        </is>
      </c>
      <c r="T4" s="93" t="n"/>
      <c r="U4" s="93" t="n"/>
      <c r="V4" s="93" t="n"/>
      <c r="W4" s="93" t="n"/>
      <c r="X4" s="93" t="n"/>
      <c r="Y4" s="93" t="n"/>
      <c r="Z4" s="94" t="n"/>
      <c r="AA4" s="71" t="inlineStr">
        <is>
          <t>%</t>
        </is>
      </c>
      <c r="AB4" s="93" t="n"/>
      <c r="AC4" s="94" t="n"/>
    </row>
    <row r="5" ht="30" customHeight="1" s="41">
      <c r="A5" s="71" t="n">
        <v>1</v>
      </c>
      <c r="B5" s="58" t="inlineStr">
        <is>
          <t>SHBH-11</t>
        </is>
      </c>
      <c r="C5" s="58" t="n"/>
      <c r="D5" s="59" t="n"/>
      <c r="E5" s="46" t="inlineStr">
        <is>
          <t>SPT</t>
        </is>
      </c>
      <c r="F5" s="42" t="n">
        <v>0.5</v>
      </c>
      <c r="G5" s="46" t="inlineStr">
        <is>
          <t>A076</t>
        </is>
      </c>
      <c r="H5" s="59" t="n">
        <v>100</v>
      </c>
      <c r="I5" s="42">
        <f>H5-SUM(J5:Q5)</f>
        <v/>
      </c>
      <c r="J5" s="42" t="n">
        <v>1.24</v>
      </c>
      <c r="K5" s="42" t="n">
        <v>2.14</v>
      </c>
      <c r="L5" s="42" t="n">
        <v>2.16</v>
      </c>
      <c r="M5" s="42" t="n">
        <v>7.03</v>
      </c>
      <c r="N5" s="42" t="n">
        <v>1.32</v>
      </c>
      <c r="O5" s="42" t="n">
        <v>3.66</v>
      </c>
      <c r="P5" s="42" t="n">
        <v>15.21</v>
      </c>
      <c r="Q5" s="42" t="n">
        <v>12.1</v>
      </c>
      <c r="R5" s="43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71" t="n">
        <v>2</v>
      </c>
      <c r="B6" s="100" t="n"/>
      <c r="C6" s="100" t="n"/>
      <c r="D6" s="100" t="n"/>
      <c r="E6" s="46" t="inlineStr">
        <is>
          <t>UDS</t>
        </is>
      </c>
      <c r="F6" s="42" t="n">
        <v>1.5</v>
      </c>
      <c r="G6" s="46" t="inlineStr">
        <is>
          <t>A118</t>
        </is>
      </c>
      <c r="H6" s="59" t="n">
        <v>200</v>
      </c>
      <c r="I6" s="42">
        <f>H6-SUM(J6:Q6)</f>
        <v/>
      </c>
      <c r="J6" s="42" t="n">
        <v>2.84</v>
      </c>
      <c r="K6" s="42" t="n">
        <v>2.07</v>
      </c>
      <c r="L6" s="42" t="n">
        <v>2.46</v>
      </c>
      <c r="M6" s="42" t="n">
        <v>10.45</v>
      </c>
      <c r="N6" s="42" t="n">
        <v>2</v>
      </c>
      <c r="O6" s="42" t="n">
        <v>6.96</v>
      </c>
      <c r="P6" s="42" t="n">
        <v>29.48</v>
      </c>
      <c r="Q6" s="42" t="n">
        <v>14.07</v>
      </c>
      <c r="R6" s="43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71" t="n">
        <v>3</v>
      </c>
      <c r="B7" s="100" t="n"/>
      <c r="C7" s="100" t="n"/>
      <c r="D7" s="100" t="n"/>
      <c r="E7" s="46" t="inlineStr">
        <is>
          <t>SPT</t>
        </is>
      </c>
      <c r="F7" s="55" t="n">
        <v>3.5</v>
      </c>
      <c r="G7" s="46" t="inlineStr">
        <is>
          <t>A035</t>
        </is>
      </c>
      <c r="H7" s="59" t="n">
        <v>100</v>
      </c>
      <c r="I7" s="42">
        <f>H7-SUM(J7:Q7)</f>
        <v/>
      </c>
      <c r="J7" s="42" t="n">
        <v>1.6</v>
      </c>
      <c r="K7" s="42" t="n">
        <v>1.63</v>
      </c>
      <c r="L7" s="42" t="n">
        <v>1.7</v>
      </c>
      <c r="M7" s="42" t="n">
        <v>6.96</v>
      </c>
      <c r="N7" s="42" t="n">
        <v>1.36</v>
      </c>
      <c r="O7" s="42" t="n">
        <v>3.82</v>
      </c>
      <c r="P7" s="42" t="n">
        <v>14.55</v>
      </c>
      <c r="Q7" s="42" t="n">
        <v>12.52</v>
      </c>
      <c r="R7" s="43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71" t="n">
        <v>4</v>
      </c>
      <c r="B8" s="100" t="n"/>
      <c r="C8" s="100" t="n"/>
      <c r="D8" s="100" t="n"/>
      <c r="E8" s="46" t="inlineStr">
        <is>
          <t>UDS</t>
        </is>
      </c>
      <c r="F8" s="42" t="n">
        <v>4.5</v>
      </c>
      <c r="G8" s="46" t="inlineStr">
        <is>
          <t>A030</t>
        </is>
      </c>
      <c r="H8" s="59" t="n">
        <v>200</v>
      </c>
      <c r="I8" s="42">
        <f>H8-SUM(J8:Q8)</f>
        <v/>
      </c>
      <c r="J8" s="42" t="n">
        <v>0.84</v>
      </c>
      <c r="K8" s="42" t="n">
        <v>1.65</v>
      </c>
      <c r="L8" s="42" t="n">
        <v>3.97</v>
      </c>
      <c r="M8" s="42" t="n">
        <v>26.85</v>
      </c>
      <c r="N8" s="55" t="n">
        <v>4.44</v>
      </c>
      <c r="O8" s="42" t="n">
        <v>9.82</v>
      </c>
      <c r="P8" s="42" t="n">
        <v>25.35</v>
      </c>
      <c r="Q8" s="42" t="n">
        <v>16.9</v>
      </c>
      <c r="R8" s="43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71" t="n">
        <v>5</v>
      </c>
      <c r="B9" s="100" t="n"/>
      <c r="C9" s="100" t="n"/>
      <c r="D9" s="100" t="n"/>
      <c r="E9" s="46" t="inlineStr">
        <is>
          <t>SPT</t>
        </is>
      </c>
      <c r="F9" s="42" t="n">
        <v>6.5</v>
      </c>
      <c r="G9" s="46" t="inlineStr">
        <is>
          <t>A091</t>
        </is>
      </c>
      <c r="H9" s="59" t="n">
        <v>100</v>
      </c>
      <c r="I9" s="42">
        <f>H9-SUM(J9:Q9)</f>
        <v/>
      </c>
      <c r="J9" s="42" t="n">
        <v>2.57</v>
      </c>
      <c r="K9" s="42" t="n">
        <v>2.55</v>
      </c>
      <c r="L9" s="42" t="n">
        <v>1.97</v>
      </c>
      <c r="M9" s="42" t="n">
        <v>2.36</v>
      </c>
      <c r="N9" s="42" t="n">
        <v>2.38</v>
      </c>
      <c r="O9" s="42" t="n">
        <v>3.17</v>
      </c>
      <c r="P9" s="42" t="n">
        <v>18.55</v>
      </c>
      <c r="Q9" s="42" t="n">
        <v>16.91</v>
      </c>
      <c r="R9" s="43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71" t="n">
        <v>6</v>
      </c>
      <c r="B10" s="100" t="n"/>
      <c r="C10" s="100" t="n"/>
      <c r="D10" s="100" t="n"/>
      <c r="E10" s="46" t="inlineStr">
        <is>
          <t>UDS</t>
        </is>
      </c>
      <c r="F10" s="42" t="n">
        <v>7.5</v>
      </c>
      <c r="G10" s="46" t="inlineStr">
        <is>
          <t>A156</t>
        </is>
      </c>
      <c r="H10" s="59" t="n">
        <v>200</v>
      </c>
      <c r="I10" s="42">
        <f>H10-SUM(J10:Q10)</f>
        <v/>
      </c>
      <c r="J10" s="42" t="n">
        <v>1.72</v>
      </c>
      <c r="K10" s="42" t="n">
        <v>1.89</v>
      </c>
      <c r="L10" s="42" t="n">
        <v>3.49</v>
      </c>
      <c r="M10" s="42" t="n">
        <v>7.96</v>
      </c>
      <c r="N10" s="42" t="n">
        <v>2.78</v>
      </c>
      <c r="O10" s="42" t="n">
        <v>11.84</v>
      </c>
      <c r="P10" s="42" t="n">
        <v>29.2</v>
      </c>
      <c r="Q10" s="42" t="n">
        <v>16.21</v>
      </c>
      <c r="R10" s="43" t="n"/>
      <c r="S10" s="44">
        <f>((H10-(SUM(J10)))/H10)*100</f>
        <v/>
      </c>
      <c r="T10" s="44">
        <f>((H10-(SUM(J10:K10)))/H10)*100</f>
        <v/>
      </c>
      <c r="U10" s="44">
        <f>((H10-(SUM(J10:L10)))/H10)*100</f>
        <v/>
      </c>
      <c r="V10" s="44">
        <f>((H10-(SUM(J10:M10)))/H10)*100</f>
        <v/>
      </c>
      <c r="W10" s="44">
        <f>((H10-(SUM(J10:N10)))/H10)*100</f>
        <v/>
      </c>
      <c r="X10" s="44">
        <f>((H10-(SUM(J10:O10)))/H10)*100</f>
        <v/>
      </c>
      <c r="Y10" s="44">
        <f>((H10-(SUM(J10:P10)))/H10)*100</f>
        <v/>
      </c>
      <c r="Z10" s="44">
        <f>((H10-(SUM(J10:Q10)))/H10)*100</f>
        <v/>
      </c>
      <c r="AA10" s="44">
        <f>100-S10</f>
        <v/>
      </c>
      <c r="AB10" s="44">
        <f>S10-Z10</f>
        <v/>
      </c>
      <c r="AC10" s="44">
        <f>Z10</f>
        <v/>
      </c>
    </row>
    <row r="11" ht="30" customHeight="1" s="41">
      <c r="A11" s="71" t="n">
        <v>7</v>
      </c>
      <c r="B11" s="96" t="n"/>
      <c r="C11" s="96" t="n"/>
      <c r="D11" s="96" t="n"/>
      <c r="E11" s="46" t="inlineStr">
        <is>
          <t>SPT</t>
        </is>
      </c>
      <c r="F11" s="42" t="n">
        <v>10</v>
      </c>
      <c r="G11" s="46" t="inlineStr">
        <is>
          <t>A014</t>
        </is>
      </c>
      <c r="H11" s="59" t="n">
        <v>100</v>
      </c>
      <c r="I11" s="42">
        <f>H11-SUM(J11:Q11)</f>
        <v/>
      </c>
      <c r="J11" s="42" t="n">
        <v>0.46</v>
      </c>
      <c r="K11" s="42" t="n">
        <v>2.65</v>
      </c>
      <c r="L11" s="42" t="n">
        <v>1.93</v>
      </c>
      <c r="M11" s="42" t="n">
        <v>3.77</v>
      </c>
      <c r="N11" s="42" t="n">
        <v>0.99</v>
      </c>
      <c r="O11" s="42" t="n">
        <v>3.7</v>
      </c>
      <c r="P11" s="42" t="n">
        <v>18.64</v>
      </c>
      <c r="Q11" s="42" t="n">
        <v>16.91</v>
      </c>
      <c r="R11" s="43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</sheetData>
  <mergeCells count="21">
    <mergeCell ref="A2:A4"/>
    <mergeCell ref="C2:C4"/>
    <mergeCell ref="AA4:AC4"/>
    <mergeCell ref="F2:F3"/>
    <mergeCell ref="H2:H3"/>
    <mergeCell ref="J4:R4"/>
    <mergeCell ref="B5:B11"/>
    <mergeCell ref="A1:AC1"/>
    <mergeCell ref="D5:D11"/>
    <mergeCell ref="S2:Z2"/>
    <mergeCell ref="AB2:AB3"/>
    <mergeCell ref="E2:E3"/>
    <mergeCell ref="J2:R2"/>
    <mergeCell ref="AA2:AA3"/>
    <mergeCell ref="B2:B4"/>
    <mergeCell ref="AC2:AC3"/>
    <mergeCell ref="D2:D4"/>
    <mergeCell ref="C5:C11"/>
    <mergeCell ref="S4:Z4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1"/>
  <sheetViews>
    <sheetView zoomScale="145" zoomScaleNormal="145" zoomScaleSheetLayoutView="145" workbookViewId="0">
      <selection activeCell="A13" sqref="A13:XFD14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1" t="inlineStr">
        <is>
          <t>Sr No.</t>
        </is>
      </c>
      <c r="B1" s="102" t="inlineStr">
        <is>
          <t>BH ID</t>
        </is>
      </c>
      <c r="C1" s="102" t="inlineStr">
        <is>
          <t>Depth</t>
        </is>
      </c>
      <c r="D1" s="101" t="inlineStr">
        <is>
          <t>Sample Type</t>
        </is>
      </c>
      <c r="E1" s="101" t="inlineStr">
        <is>
          <t xml:space="preserve">Temperature </t>
        </is>
      </c>
      <c r="F1" s="101" t="inlineStr">
        <is>
          <t xml:space="preserve">Coefficent of Viscosity </t>
        </is>
      </c>
      <c r="G1" s="101" t="inlineStr">
        <is>
          <t>SPGR</t>
        </is>
      </c>
      <c r="H1" s="101" t="inlineStr">
        <is>
          <t xml:space="preserve"> Meniscus Correction (Cm)</t>
        </is>
      </c>
      <c r="I1" s="77" t="inlineStr">
        <is>
          <t>Hydrometer No.</t>
        </is>
      </c>
      <c r="J1" s="101" t="inlineStr">
        <is>
          <t>Cylinder Type</t>
        </is>
      </c>
      <c r="K1" s="101" t="inlineStr">
        <is>
          <t>Mt (temperature correction)</t>
        </is>
      </c>
      <c r="L1" s="101" t="inlineStr">
        <is>
          <t>X (dispersion correction)</t>
        </is>
      </c>
      <c r="M1" s="79" t="inlineStr">
        <is>
          <t xml:space="preserve"> Hydrometer Reading at Elapsed Time (min)</t>
        </is>
      </c>
      <c r="N1" s="93" t="n"/>
      <c r="O1" s="93" t="n"/>
      <c r="P1" s="93" t="n"/>
      <c r="Q1" s="93" t="n"/>
      <c r="R1" s="93" t="n"/>
      <c r="S1" s="93" t="n"/>
      <c r="T1" s="93" t="n"/>
      <c r="U1" s="93" t="n"/>
      <c r="V1" s="93" t="n"/>
      <c r="W1" s="93" t="n"/>
      <c r="X1" s="93" t="n"/>
      <c r="Y1" s="94" t="n"/>
      <c r="Z1" s="79" t="inlineStr">
        <is>
          <t>Diameter of the particle at Elapsed Time</t>
        </is>
      </c>
      <c r="AA1" s="93" t="n"/>
      <c r="AB1" s="93" t="n"/>
      <c r="AC1" s="93" t="n"/>
      <c r="AD1" s="93" t="n"/>
      <c r="AE1" s="93" t="n"/>
      <c r="AF1" s="93" t="n"/>
      <c r="AG1" s="93" t="n"/>
      <c r="AH1" s="93" t="n"/>
      <c r="AI1" s="93" t="n"/>
      <c r="AJ1" s="93" t="n"/>
      <c r="AK1" s="93" t="n"/>
      <c r="AL1" s="94" t="n"/>
      <c r="AM1" s="80" t="inlineStr">
        <is>
          <t>Percentge finer than Diameter of the particle at Elapsed Time</t>
        </is>
      </c>
      <c r="AN1" s="93" t="n"/>
      <c r="AO1" s="93" t="n"/>
      <c r="AP1" s="93" t="n"/>
      <c r="AQ1" s="93" t="n"/>
      <c r="AR1" s="93" t="n"/>
      <c r="AS1" s="93" t="n"/>
      <c r="AT1" s="93" t="n"/>
      <c r="AU1" s="93" t="n"/>
      <c r="AV1" s="93" t="n"/>
      <c r="AW1" s="93" t="n"/>
      <c r="AX1" s="93" t="n"/>
      <c r="AY1" s="94" t="n"/>
      <c r="AZ1" s="22" t="n"/>
      <c r="BA1" s="22" t="n"/>
    </row>
    <row r="2">
      <c r="A2" s="95" t="n"/>
      <c r="B2" s="95" t="n"/>
      <c r="C2" s="95" t="n"/>
      <c r="D2" s="95" t="n"/>
      <c r="E2" s="95" t="n"/>
      <c r="F2" s="95" t="n"/>
      <c r="G2" s="95" t="n"/>
      <c r="H2" s="95" t="n"/>
      <c r="I2" s="100" t="n"/>
      <c r="J2" s="95" t="n"/>
      <c r="K2" s="95" t="n"/>
      <c r="L2" s="95" t="n"/>
      <c r="M2" s="103" t="n">
        <v>0.5</v>
      </c>
      <c r="N2" s="73" t="n">
        <v>1</v>
      </c>
      <c r="O2" s="73" t="n">
        <v>2</v>
      </c>
      <c r="P2" s="73" t="n">
        <v>4</v>
      </c>
      <c r="Q2" s="73" t="n">
        <v>8</v>
      </c>
      <c r="R2" s="73" t="n">
        <v>15</v>
      </c>
      <c r="S2" s="73" t="n">
        <v>30</v>
      </c>
      <c r="T2" s="73" t="n">
        <v>60</v>
      </c>
      <c r="U2" s="73" t="n">
        <v>120</v>
      </c>
      <c r="V2" s="73" t="n">
        <v>240</v>
      </c>
      <c r="W2" s="73" t="n">
        <v>480</v>
      </c>
      <c r="X2" s="73" t="n">
        <v>960</v>
      </c>
      <c r="Y2" s="73" t="n">
        <v>1440</v>
      </c>
      <c r="Z2" s="103" t="n">
        <v>0.5</v>
      </c>
      <c r="AA2" s="73" t="n">
        <v>1</v>
      </c>
      <c r="AB2" s="73" t="n">
        <v>2</v>
      </c>
      <c r="AC2" s="73" t="n">
        <v>4</v>
      </c>
      <c r="AD2" s="73" t="n">
        <v>8</v>
      </c>
      <c r="AE2" s="73" t="n">
        <v>15</v>
      </c>
      <c r="AF2" s="73" t="n">
        <v>30</v>
      </c>
      <c r="AG2" s="73" t="n">
        <v>60</v>
      </c>
      <c r="AH2" s="73" t="n">
        <v>120</v>
      </c>
      <c r="AI2" s="73" t="n">
        <v>240</v>
      </c>
      <c r="AJ2" s="73" t="n">
        <v>480</v>
      </c>
      <c r="AK2" s="73" t="n">
        <v>960</v>
      </c>
      <c r="AL2" s="73" t="n">
        <v>1440</v>
      </c>
      <c r="AM2" s="103" t="n">
        <v>0.5</v>
      </c>
      <c r="AN2" s="73" t="n">
        <v>1</v>
      </c>
      <c r="AO2" s="73" t="n">
        <v>2</v>
      </c>
      <c r="AP2" s="73" t="n">
        <v>4</v>
      </c>
      <c r="AQ2" s="73" t="n">
        <v>8</v>
      </c>
      <c r="AR2" s="73" t="n">
        <v>15</v>
      </c>
      <c r="AS2" s="73" t="n">
        <v>30</v>
      </c>
      <c r="AT2" s="73" t="n">
        <v>60</v>
      </c>
      <c r="AU2" s="73" t="n">
        <v>120</v>
      </c>
      <c r="AV2" s="73" t="n">
        <v>240</v>
      </c>
      <c r="AW2" s="73" t="n">
        <v>480</v>
      </c>
      <c r="AX2" s="73" t="n">
        <v>960</v>
      </c>
      <c r="AY2" s="73" t="n">
        <v>1440</v>
      </c>
      <c r="AZ2" s="22" t="n"/>
      <c r="BA2" s="22" t="n"/>
    </row>
    <row r="3">
      <c r="A3" s="95" t="n"/>
      <c r="B3" s="95" t="n"/>
      <c r="C3" s="95" t="n"/>
      <c r="D3" s="97" t="n"/>
      <c r="E3" s="97" t="n"/>
      <c r="F3" s="97" t="n"/>
      <c r="G3" s="97" t="n"/>
      <c r="H3" s="97" t="n"/>
      <c r="I3" s="96" t="n"/>
      <c r="J3" s="97" t="n"/>
      <c r="K3" s="97" t="n"/>
      <c r="L3" s="97" t="n"/>
      <c r="M3" s="96" t="n"/>
      <c r="N3" s="96" t="n"/>
      <c r="O3" s="96" t="n"/>
      <c r="P3" s="96" t="n"/>
      <c r="Q3" s="96" t="n"/>
      <c r="R3" s="96" t="n"/>
      <c r="S3" s="96" t="n"/>
      <c r="T3" s="96" t="n"/>
      <c r="U3" s="96" t="n"/>
      <c r="V3" s="96" t="n"/>
      <c r="W3" s="96" t="n"/>
      <c r="X3" s="96" t="n"/>
      <c r="Y3" s="96" t="n"/>
      <c r="Z3" s="96" t="n"/>
      <c r="AA3" s="96" t="n"/>
      <c r="AB3" s="96" t="n"/>
      <c r="AC3" s="96" t="n"/>
      <c r="AD3" s="96" t="n"/>
      <c r="AE3" s="96" t="n"/>
      <c r="AF3" s="96" t="n"/>
      <c r="AG3" s="96" t="n"/>
      <c r="AH3" s="96" t="n"/>
      <c r="AI3" s="96" t="n"/>
      <c r="AJ3" s="96" t="n"/>
      <c r="AK3" s="96" t="n"/>
      <c r="AL3" s="96" t="n"/>
      <c r="AM3" s="96" t="n"/>
      <c r="AN3" s="96" t="n"/>
      <c r="AO3" s="96" t="n"/>
      <c r="AP3" s="96" t="n"/>
      <c r="AQ3" s="96" t="n"/>
      <c r="AR3" s="96" t="n"/>
      <c r="AS3" s="96" t="n"/>
      <c r="AT3" s="96" t="n"/>
      <c r="AU3" s="96" t="n"/>
      <c r="AV3" s="96" t="n"/>
      <c r="AW3" s="96" t="n"/>
      <c r="AX3" s="96" t="n"/>
      <c r="AY3" s="96" t="n"/>
      <c r="AZ3" s="22" t="n"/>
      <c r="BA3" s="22" t="n"/>
    </row>
    <row r="4">
      <c r="A4" s="97" t="n"/>
      <c r="B4" s="97" t="n"/>
      <c r="C4" s="97" t="n"/>
      <c r="D4" s="83" t="inlineStr">
        <is>
          <t>-</t>
        </is>
      </c>
      <c r="E4" s="83" t="inlineStr">
        <is>
          <t>(°C)</t>
        </is>
      </c>
      <c r="F4" s="83" t="inlineStr">
        <is>
          <t>Poise</t>
        </is>
      </c>
      <c r="G4" s="83" t="inlineStr">
        <is>
          <t>-</t>
        </is>
      </c>
      <c r="H4" s="83" t="inlineStr">
        <is>
          <t>-</t>
        </is>
      </c>
      <c r="I4" s="77" t="inlineStr">
        <is>
          <t>-</t>
        </is>
      </c>
      <c r="J4" s="74" t="n"/>
      <c r="K4" s="74" t="inlineStr">
        <is>
          <t>-</t>
        </is>
      </c>
      <c r="L4" s="74" t="inlineStr">
        <is>
          <t>-</t>
        </is>
      </c>
      <c r="M4" s="77" t="n"/>
      <c r="N4" s="93" t="n"/>
      <c r="O4" s="93" t="n"/>
      <c r="P4" s="93" t="n"/>
      <c r="Q4" s="93" t="n"/>
      <c r="R4" s="93" t="n"/>
      <c r="S4" s="93" t="n"/>
      <c r="T4" s="93" t="n"/>
      <c r="U4" s="93" t="n"/>
      <c r="V4" s="93" t="n"/>
      <c r="W4" s="93" t="n"/>
      <c r="X4" s="93" t="n"/>
      <c r="Y4" s="94" t="n"/>
      <c r="Z4" s="77" t="inlineStr">
        <is>
          <t>(mm)</t>
        </is>
      </c>
      <c r="AA4" s="93" t="n"/>
      <c r="AB4" s="93" t="n"/>
      <c r="AC4" s="93" t="n"/>
      <c r="AD4" s="93" t="n"/>
      <c r="AE4" s="93" t="n"/>
      <c r="AF4" s="93" t="n"/>
      <c r="AG4" s="93" t="n"/>
      <c r="AH4" s="93" t="n"/>
      <c r="AI4" s="93" t="n"/>
      <c r="AJ4" s="93" t="n"/>
      <c r="AK4" s="93" t="n"/>
      <c r="AL4" s="94" t="n"/>
      <c r="AM4" s="77" t="inlineStr">
        <is>
          <t>(%)</t>
        </is>
      </c>
      <c r="AN4" s="93" t="n"/>
      <c r="AO4" s="93" t="n"/>
      <c r="AP4" s="93" t="n"/>
      <c r="AQ4" s="93" t="n"/>
      <c r="AR4" s="93" t="n"/>
      <c r="AS4" s="93" t="n"/>
      <c r="AT4" s="93" t="n"/>
      <c r="AU4" s="93" t="n"/>
      <c r="AV4" s="93" t="n"/>
      <c r="AW4" s="93" t="n"/>
      <c r="AX4" s="93" t="n"/>
      <c r="AY4" s="94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4" t="n">
        <v>0.008559421270000001</v>
      </c>
      <c r="G5" s="105" t="n">
        <v>2.67</v>
      </c>
      <c r="H5" s="35" t="n">
        <v>0.0005</v>
      </c>
      <c r="I5" s="35" t="n">
        <v>1</v>
      </c>
      <c r="J5" s="35" t="n">
        <v>2</v>
      </c>
      <c r="K5" s="36" t="n">
        <v>0</v>
      </c>
      <c r="L5" s="35" t="n">
        <v>0.3</v>
      </c>
      <c r="M5" s="105" t="n">
        <v>1.017</v>
      </c>
      <c r="N5" s="105" t="n">
        <v>1.017</v>
      </c>
      <c r="O5" s="105" t="n">
        <v>1.017</v>
      </c>
      <c r="P5" s="105" t="n">
        <v>1.016</v>
      </c>
      <c r="Q5" s="105" t="n">
        <v>1.016</v>
      </c>
      <c r="R5" s="105" t="n">
        <v>1.015</v>
      </c>
      <c r="S5" s="105" t="n">
        <v>1.014</v>
      </c>
      <c r="T5" s="105" t="n">
        <v>1.013</v>
      </c>
      <c r="U5" s="105" t="n">
        <v>1.012</v>
      </c>
      <c r="V5" s="105" t="n">
        <v>1.011</v>
      </c>
      <c r="W5" s="105" t="n">
        <v>1.01</v>
      </c>
      <c r="X5" s="105" t="n">
        <v>1.01</v>
      </c>
      <c r="Y5" s="105" t="n">
        <v>1.01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4" t="n">
        <v>0.008559421270000001</v>
      </c>
      <c r="G6" s="105" t="n">
        <v>2.69</v>
      </c>
      <c r="H6" s="35" t="n">
        <v>0.0005</v>
      </c>
      <c r="I6" s="35" t="n">
        <v>1</v>
      </c>
      <c r="J6" s="35" t="n">
        <v>2</v>
      </c>
      <c r="K6" s="36" t="n">
        <v>0</v>
      </c>
      <c r="L6" s="35" t="n">
        <v>0.3</v>
      </c>
      <c r="M6" s="105" t="n">
        <v>1.02</v>
      </c>
      <c r="N6" s="105" t="n">
        <v>1.02</v>
      </c>
      <c r="O6" s="105" t="n">
        <v>1.019</v>
      </c>
      <c r="P6" s="105" t="n">
        <v>1.019</v>
      </c>
      <c r="Q6" s="105" t="n">
        <v>1.018</v>
      </c>
      <c r="R6" s="105" t="n">
        <v>1.017</v>
      </c>
      <c r="S6" s="105" t="n">
        <v>1.016</v>
      </c>
      <c r="T6" s="105" t="n">
        <v>1.015</v>
      </c>
      <c r="U6" s="105" t="n">
        <v>1.014</v>
      </c>
      <c r="V6" s="105" t="n">
        <v>1.013</v>
      </c>
      <c r="W6" s="105" t="n">
        <v>1.012</v>
      </c>
      <c r="X6" s="105" t="n">
        <v>1.011</v>
      </c>
      <c r="Y6" s="105" t="n">
        <v>1.011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4" t="n">
        <v>0.008559421270000001</v>
      </c>
      <c r="G7" s="105" t="n">
        <v>2.65</v>
      </c>
      <c r="H7" s="35" t="n">
        <v>0.0005</v>
      </c>
      <c r="I7" s="35" t="n">
        <v>1</v>
      </c>
      <c r="J7" s="35" t="n">
        <v>2</v>
      </c>
      <c r="K7" s="36" t="n">
        <v>0</v>
      </c>
      <c r="L7" s="35" t="n">
        <v>0.3</v>
      </c>
      <c r="M7" s="105" t="n">
        <v>1.018</v>
      </c>
      <c r="N7" s="105" t="n">
        <v>1.017</v>
      </c>
      <c r="O7" s="105" t="n">
        <v>1.017</v>
      </c>
      <c r="P7" s="105" t="n">
        <v>1.016</v>
      </c>
      <c r="Q7" s="105" t="n">
        <v>1.016</v>
      </c>
      <c r="R7" s="105" t="n">
        <v>1.015</v>
      </c>
      <c r="S7" s="105" t="n">
        <v>1.014</v>
      </c>
      <c r="T7" s="105" t="n">
        <v>1.013</v>
      </c>
      <c r="U7" s="105" t="n">
        <v>1.012</v>
      </c>
      <c r="V7" s="105" t="n">
        <v>1.011</v>
      </c>
      <c r="W7" s="105" t="n">
        <v>1.01</v>
      </c>
      <c r="X7" s="105" t="n">
        <v>1.01</v>
      </c>
      <c r="Y7" s="105" t="n">
        <v>1.01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4" t="n">
        <v>0.008559421270000001</v>
      </c>
      <c r="G8" s="105" t="n">
        <v>2.68</v>
      </c>
      <c r="H8" s="35" t="n">
        <v>0.0005</v>
      </c>
      <c r="I8" s="35" t="n">
        <v>2</v>
      </c>
      <c r="J8" s="35" t="n">
        <v>1</v>
      </c>
      <c r="K8" s="36" t="n">
        <v>0</v>
      </c>
      <c r="L8" s="35" t="n">
        <v>0.3</v>
      </c>
      <c r="M8" s="105" t="n">
        <v>1.018</v>
      </c>
      <c r="N8" s="105" t="n">
        <v>1.017</v>
      </c>
      <c r="O8" s="105" t="n">
        <v>1.017</v>
      </c>
      <c r="P8" s="105" t="n">
        <v>1.016</v>
      </c>
      <c r="Q8" s="105" t="n">
        <v>1.015</v>
      </c>
      <c r="R8" s="105" t="n">
        <v>1.015</v>
      </c>
      <c r="S8" s="105" t="n">
        <v>1.014</v>
      </c>
      <c r="T8" s="105" t="n">
        <v>1.013</v>
      </c>
      <c r="U8" s="105" t="n">
        <v>1.012</v>
      </c>
      <c r="V8" s="105" t="n">
        <v>1.011</v>
      </c>
      <c r="W8" s="105" t="n">
        <v>1.01</v>
      </c>
      <c r="X8" s="105" t="n">
        <v>1.009</v>
      </c>
      <c r="Y8" s="105" t="n">
        <v>1.009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4" t="n">
        <v>0.008559421270000001</v>
      </c>
      <c r="G9" s="105" t="n">
        <v>2.66</v>
      </c>
      <c r="H9" s="35" t="n">
        <v>0.0005</v>
      </c>
      <c r="I9" s="35" t="n">
        <v>2</v>
      </c>
      <c r="J9" s="35" t="n">
        <v>1</v>
      </c>
      <c r="K9" s="36" t="n">
        <v>0</v>
      </c>
      <c r="L9" s="35" t="n">
        <v>0.3</v>
      </c>
      <c r="M9" s="105" t="n">
        <v>1.016</v>
      </c>
      <c r="N9" s="105" t="n">
        <v>1.016</v>
      </c>
      <c r="O9" s="105" t="n">
        <v>1.015</v>
      </c>
      <c r="P9" s="105" t="n">
        <v>1.015</v>
      </c>
      <c r="Q9" s="105" t="n">
        <v>1.014</v>
      </c>
      <c r="R9" s="105" t="n">
        <v>1.014</v>
      </c>
      <c r="S9" s="105" t="n">
        <v>1.013</v>
      </c>
      <c r="T9" s="105" t="n">
        <v>1.012</v>
      </c>
      <c r="U9" s="105" t="n">
        <v>1.011</v>
      </c>
      <c r="V9" s="105" t="n">
        <v>1.01</v>
      </c>
      <c r="W9" s="105" t="n">
        <v>1.01</v>
      </c>
      <c r="X9" s="105" t="n">
        <v>1.009</v>
      </c>
      <c r="Y9" s="105" t="n">
        <v>1.009</v>
      </c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4" t="n">
        <v>0.008559421270000001</v>
      </c>
      <c r="G10" s="105" t="n">
        <v>2.64</v>
      </c>
      <c r="H10" s="35" t="n">
        <v>0.0005</v>
      </c>
      <c r="I10" s="35" t="n">
        <v>2</v>
      </c>
      <c r="J10" s="35" t="n">
        <v>1</v>
      </c>
      <c r="K10" s="36" t="n">
        <v>0</v>
      </c>
      <c r="L10" s="35" t="n">
        <v>0.3</v>
      </c>
      <c r="M10" s="105" t="n">
        <v>1.02</v>
      </c>
      <c r="N10" s="105" t="n">
        <v>1.019</v>
      </c>
      <c r="O10" s="105" t="n">
        <v>1.019</v>
      </c>
      <c r="P10" s="105" t="n">
        <v>1.018</v>
      </c>
      <c r="Q10" s="105" t="n">
        <v>1.017</v>
      </c>
      <c r="R10" s="105" t="n">
        <v>1.017</v>
      </c>
      <c r="S10" s="105" t="n">
        <v>1.016</v>
      </c>
      <c r="T10" s="105" t="n">
        <v>1.015</v>
      </c>
      <c r="U10" s="105" t="n">
        <v>1.014</v>
      </c>
      <c r="V10" s="105" t="n">
        <v>1.012</v>
      </c>
      <c r="W10" s="105" t="n">
        <v>1.011</v>
      </c>
      <c r="X10" s="105" t="n">
        <v>1.011</v>
      </c>
      <c r="Y10" s="105" t="n">
        <v>1.011</v>
      </c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4" t="n">
        <v>0.008559421270000001</v>
      </c>
      <c r="G11" s="105" t="n">
        <v>2.68</v>
      </c>
      <c r="H11" s="35" t="n">
        <v>0.0005</v>
      </c>
      <c r="I11" s="35" t="n">
        <v>2</v>
      </c>
      <c r="J11" s="35" t="n">
        <v>1</v>
      </c>
      <c r="K11" s="36" t="n">
        <v>0</v>
      </c>
      <c r="L11" s="35" t="n">
        <v>0.3</v>
      </c>
      <c r="M11" s="105" t="n">
        <v>1.016</v>
      </c>
      <c r="N11" s="105" t="n">
        <v>1.016</v>
      </c>
      <c r="O11" s="105" t="n">
        <v>1.016</v>
      </c>
      <c r="P11" s="105" t="n">
        <v>1.015</v>
      </c>
      <c r="Q11" s="105" t="n">
        <v>1.015</v>
      </c>
      <c r="R11" s="105" t="n">
        <v>1.014</v>
      </c>
      <c r="S11" s="105" t="n">
        <v>1.013</v>
      </c>
      <c r="T11" s="105" t="n">
        <v>1.013</v>
      </c>
      <c r="U11" s="105" t="n">
        <v>1.012</v>
      </c>
      <c r="V11" s="105" t="n">
        <v>1.011</v>
      </c>
      <c r="W11" s="105" t="n">
        <v>1.01</v>
      </c>
      <c r="X11" s="105" t="n">
        <v>1.01</v>
      </c>
      <c r="Y11" s="105" t="n">
        <v>1.01</v>
      </c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2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2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2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2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2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2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2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2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2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2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2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2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2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2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2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2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2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2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2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2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2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2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2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2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2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2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2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2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2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2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2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2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2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2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2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2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2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2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2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2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opLeftCell="B1" zoomScale="130" zoomScaleNormal="130" workbookViewId="0">
      <selection activeCell="B13" sqref="B13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8" t="inlineStr">
        <is>
          <t>SR No.</t>
        </is>
      </c>
      <c r="B2" s="88" t="inlineStr">
        <is>
          <t>BH ID</t>
        </is>
      </c>
      <c r="C2" s="88" t="inlineStr">
        <is>
          <t>Depth</t>
        </is>
      </c>
      <c r="D2" s="87" t="inlineStr">
        <is>
          <t>Particle Size in mm (GSD)</t>
        </is>
      </c>
      <c r="E2" s="93" t="n"/>
      <c r="F2" s="93" t="n"/>
      <c r="G2" s="93" t="n"/>
      <c r="H2" s="93" t="n"/>
      <c r="I2" s="93" t="n"/>
      <c r="J2" s="93" t="n"/>
      <c r="K2" s="94" t="n"/>
      <c r="L2" s="87" t="inlineStr">
        <is>
          <t>Particle Size in mm (HYD)</t>
        </is>
      </c>
      <c r="M2" s="93" t="n"/>
      <c r="N2" s="93" t="n"/>
      <c r="O2" s="93" t="n"/>
      <c r="P2" s="93" t="n"/>
      <c r="Q2" s="93" t="n"/>
      <c r="R2" s="93" t="n"/>
      <c r="S2" s="93" t="n"/>
      <c r="T2" s="93" t="n"/>
      <c r="U2" s="93" t="n"/>
      <c r="V2" s="93" t="n"/>
      <c r="W2" s="93" t="n"/>
      <c r="X2" s="94" t="n"/>
      <c r="Y2" s="88" t="inlineStr">
        <is>
          <t>% Passing (GSD)</t>
        </is>
      </c>
      <c r="Z2" s="93" t="n"/>
      <c r="AA2" s="93" t="n"/>
      <c r="AB2" s="93" t="n"/>
      <c r="AC2" s="93" t="n"/>
      <c r="AD2" s="93" t="n"/>
      <c r="AE2" s="93" t="n"/>
      <c r="AF2" s="94" t="n"/>
      <c r="AG2" s="87" t="inlineStr">
        <is>
          <t>% Passing (HYD)</t>
        </is>
      </c>
      <c r="AH2" s="93" t="n"/>
      <c r="AI2" s="93" t="n"/>
      <c r="AJ2" s="93" t="n"/>
      <c r="AK2" s="93" t="n"/>
      <c r="AL2" s="93" t="n"/>
      <c r="AM2" s="93" t="n"/>
      <c r="AN2" s="93" t="n"/>
      <c r="AO2" s="93" t="n"/>
      <c r="AP2" s="93" t="n"/>
      <c r="AQ2" s="93" t="n"/>
      <c r="AR2" s="93" t="n"/>
      <c r="AS2" s="94" t="n"/>
      <c r="AT2" s="88" t="inlineStr">
        <is>
          <t>% Gravel</t>
        </is>
      </c>
      <c r="AU2" s="88" t="inlineStr">
        <is>
          <t>% Sand</t>
        </is>
      </c>
      <c r="AV2" s="88" t="inlineStr">
        <is>
          <t>% Silt</t>
        </is>
      </c>
      <c r="AW2" s="88" t="inlineStr">
        <is>
          <t>% Clay</t>
        </is>
      </c>
    </row>
    <row r="3" customFormat="1" s="52">
      <c r="A3" s="52" t="n">
        <v>1</v>
      </c>
      <c r="B3" s="52">
        <f>GSD!B5</f>
        <v/>
      </c>
      <c r="C3" s="48">
        <f>GSD!F5</f>
        <v/>
      </c>
      <c r="D3" s="106" t="n">
        <v>4.75</v>
      </c>
      <c r="E3" s="106" t="n">
        <v>2</v>
      </c>
      <c r="F3" s="106" t="n">
        <v>1.18</v>
      </c>
      <c r="G3" s="106" t="n">
        <v>0.6</v>
      </c>
      <c r="H3" s="106" t="n">
        <v>0.425</v>
      </c>
      <c r="I3" s="106" t="n">
        <v>0.3</v>
      </c>
      <c r="J3" s="106" t="n">
        <v>0.15</v>
      </c>
      <c r="K3" s="106" t="n">
        <v>0.075</v>
      </c>
      <c r="L3" s="107">
        <f>HYD!Z5</f>
        <v/>
      </c>
      <c r="M3" s="107">
        <f>HYD!AA5</f>
        <v/>
      </c>
      <c r="N3" s="107">
        <f>HYD!AB5</f>
        <v/>
      </c>
      <c r="O3" s="107">
        <f>HYD!AC5</f>
        <v/>
      </c>
      <c r="P3" s="107">
        <f>HYD!AD5</f>
        <v/>
      </c>
      <c r="Q3" s="107">
        <f>HYD!AE5</f>
        <v/>
      </c>
      <c r="R3" s="107">
        <f>HYD!AF5</f>
        <v/>
      </c>
      <c r="S3" s="107">
        <f>HYD!AG5</f>
        <v/>
      </c>
      <c r="T3" s="107">
        <f>HYD!AH5</f>
        <v/>
      </c>
      <c r="U3" s="107">
        <f>HYD!AI5</f>
        <v/>
      </c>
      <c r="V3" s="107">
        <f>HYD!AJ5</f>
        <v/>
      </c>
      <c r="W3" s="107">
        <f>HYD!AK5</f>
        <v/>
      </c>
      <c r="X3" s="107">
        <f>HYD!AL5</f>
        <v/>
      </c>
      <c r="Y3" s="51">
        <f>GSD!S5</f>
        <v/>
      </c>
      <c r="Z3" s="51">
        <f>GSD!T5</f>
        <v/>
      </c>
      <c r="AA3" s="51">
        <f>GSD!U5</f>
        <v/>
      </c>
      <c r="AB3" s="51">
        <f>GSD!V5</f>
        <v/>
      </c>
      <c r="AC3" s="51">
        <f>GSD!W5</f>
        <v/>
      </c>
      <c r="AD3" s="51">
        <f>GSD!X5</f>
        <v/>
      </c>
      <c r="AE3" s="51">
        <f>GSD!Y5</f>
        <v/>
      </c>
      <c r="AF3" s="51">
        <f>GSD!Z5</f>
        <v/>
      </c>
      <c r="AG3" s="51">
        <f>HYD!AM5</f>
        <v/>
      </c>
      <c r="AH3" s="51">
        <f>HYD!AN5</f>
        <v/>
      </c>
      <c r="AI3" s="51">
        <f>HYD!AO5</f>
        <v/>
      </c>
      <c r="AJ3" s="51">
        <f>HYD!AP5</f>
        <v/>
      </c>
      <c r="AK3" s="51">
        <f>HYD!AQ5</f>
        <v/>
      </c>
      <c r="AL3" s="51">
        <f>HYD!AR5</f>
        <v/>
      </c>
      <c r="AM3" s="51">
        <f>HYD!AS5</f>
        <v/>
      </c>
      <c r="AN3" s="51">
        <f>HYD!AT5</f>
        <v/>
      </c>
      <c r="AO3" s="51">
        <f>HYD!AU5</f>
        <v/>
      </c>
      <c r="AP3" s="51">
        <f>HYD!AV5</f>
        <v/>
      </c>
      <c r="AQ3" s="51">
        <f>HYD!AW5</f>
        <v/>
      </c>
      <c r="AR3" s="51">
        <f>HYD!AX5</f>
        <v/>
      </c>
      <c r="AS3" s="51">
        <f>HYD!AY5</f>
        <v/>
      </c>
      <c r="AT3" s="51" t="n"/>
      <c r="AU3" s="51" t="n"/>
      <c r="AV3" s="51" t="n"/>
      <c r="AW3" s="51" t="n"/>
    </row>
    <row r="4" s="41">
      <c r="A4" s="52" t="n">
        <v>2</v>
      </c>
      <c r="B4" s="52">
        <f>B3</f>
        <v/>
      </c>
      <c r="C4" s="48">
        <f>GSD!F6</f>
        <v/>
      </c>
      <c r="D4" s="106" t="n">
        <v>4.75</v>
      </c>
      <c r="E4" s="106" t="n">
        <v>2</v>
      </c>
      <c r="F4" s="106" t="n">
        <v>1.18</v>
      </c>
      <c r="G4" s="106" t="n">
        <v>0.6</v>
      </c>
      <c r="H4" s="106" t="n">
        <v>0.425</v>
      </c>
      <c r="I4" s="106" t="n">
        <v>0.3</v>
      </c>
      <c r="J4" s="106" t="n">
        <v>0.15</v>
      </c>
      <c r="K4" s="106" t="n">
        <v>0.075</v>
      </c>
      <c r="L4" s="107">
        <f>HYD!Z6</f>
        <v/>
      </c>
      <c r="M4" s="107">
        <f>HYD!AA6</f>
        <v/>
      </c>
      <c r="N4" s="107">
        <f>HYD!AB6</f>
        <v/>
      </c>
      <c r="O4" s="107">
        <f>HYD!AC6</f>
        <v/>
      </c>
      <c r="P4" s="107">
        <f>HYD!AD6</f>
        <v/>
      </c>
      <c r="Q4" s="107">
        <f>HYD!AE6</f>
        <v/>
      </c>
      <c r="R4" s="107">
        <f>HYD!AF6</f>
        <v/>
      </c>
      <c r="S4" s="107">
        <f>HYD!AG6</f>
        <v/>
      </c>
      <c r="T4" s="107">
        <f>HYD!AH6</f>
        <v/>
      </c>
      <c r="U4" s="107">
        <f>HYD!AI6</f>
        <v/>
      </c>
      <c r="V4" s="107">
        <f>HYD!AJ6</f>
        <v/>
      </c>
      <c r="W4" s="107">
        <f>HYD!AK6</f>
        <v/>
      </c>
      <c r="X4" s="107">
        <f>HYD!AL6</f>
        <v/>
      </c>
      <c r="Y4" s="51">
        <f>GSD!S6</f>
        <v/>
      </c>
      <c r="Z4" s="51">
        <f>GSD!T6</f>
        <v/>
      </c>
      <c r="AA4" s="51">
        <f>GSD!U6</f>
        <v/>
      </c>
      <c r="AB4" s="51">
        <f>GSD!V6</f>
        <v/>
      </c>
      <c r="AC4" s="51">
        <f>GSD!W6</f>
        <v/>
      </c>
      <c r="AD4" s="51">
        <f>GSD!X6</f>
        <v/>
      </c>
      <c r="AE4" s="51">
        <f>GSD!Y6</f>
        <v/>
      </c>
      <c r="AF4" s="51">
        <f>GSD!Z6</f>
        <v/>
      </c>
      <c r="AG4" s="51">
        <f>HYD!AM6</f>
        <v/>
      </c>
      <c r="AH4" s="51">
        <f>HYD!AN6</f>
        <v/>
      </c>
      <c r="AI4" s="51">
        <f>HYD!AO6</f>
        <v/>
      </c>
      <c r="AJ4" s="51">
        <f>HYD!AP6</f>
        <v/>
      </c>
      <c r="AK4" s="51">
        <f>HYD!AQ6</f>
        <v/>
      </c>
      <c r="AL4" s="51">
        <f>HYD!AR6</f>
        <v/>
      </c>
      <c r="AM4" s="51">
        <f>HYD!AS6</f>
        <v/>
      </c>
      <c r="AN4" s="51">
        <f>HYD!AT6</f>
        <v/>
      </c>
      <c r="AO4" s="51">
        <f>HYD!AU6</f>
        <v/>
      </c>
      <c r="AP4" s="51">
        <f>HYD!AV6</f>
        <v/>
      </c>
      <c r="AQ4" s="51">
        <f>HYD!AW6</f>
        <v/>
      </c>
      <c r="AR4" s="51">
        <f>HYD!AX6</f>
        <v/>
      </c>
      <c r="AS4" s="51">
        <f>HYD!AY6</f>
        <v/>
      </c>
      <c r="AT4" s="51" t="n"/>
      <c r="AU4" s="51" t="n"/>
      <c r="AV4" s="51" t="n"/>
      <c r="AW4" s="51" t="n"/>
    </row>
    <row r="5" s="41">
      <c r="A5" s="52" t="n">
        <v>3</v>
      </c>
      <c r="B5" s="52">
        <f>B4</f>
        <v/>
      </c>
      <c r="C5" s="48">
        <f>GSD!F7</f>
        <v/>
      </c>
      <c r="D5" s="106" t="n">
        <v>4.75</v>
      </c>
      <c r="E5" s="106" t="n">
        <v>2</v>
      </c>
      <c r="F5" s="106" t="n">
        <v>1.18</v>
      </c>
      <c r="G5" s="106" t="n">
        <v>0.6</v>
      </c>
      <c r="H5" s="106" t="n">
        <v>0.425</v>
      </c>
      <c r="I5" s="106" t="n">
        <v>0.3</v>
      </c>
      <c r="J5" s="106" t="n">
        <v>0.15</v>
      </c>
      <c r="K5" s="106" t="n">
        <v>0.075</v>
      </c>
      <c r="L5" s="107">
        <f>HYD!Z7</f>
        <v/>
      </c>
      <c r="M5" s="107">
        <f>HYD!AA7</f>
        <v/>
      </c>
      <c r="N5" s="107">
        <f>HYD!AB7</f>
        <v/>
      </c>
      <c r="O5" s="107">
        <f>HYD!AC7</f>
        <v/>
      </c>
      <c r="P5" s="107">
        <f>HYD!AD7</f>
        <v/>
      </c>
      <c r="Q5" s="107">
        <f>HYD!AE7</f>
        <v/>
      </c>
      <c r="R5" s="107">
        <f>HYD!AF7</f>
        <v/>
      </c>
      <c r="S5" s="107">
        <f>HYD!AG7</f>
        <v/>
      </c>
      <c r="T5" s="107">
        <f>HYD!AH7</f>
        <v/>
      </c>
      <c r="U5" s="107">
        <f>HYD!AI7</f>
        <v/>
      </c>
      <c r="V5" s="107">
        <f>HYD!AJ7</f>
        <v/>
      </c>
      <c r="W5" s="107">
        <f>HYD!AK7</f>
        <v/>
      </c>
      <c r="X5" s="107">
        <f>HYD!AL7</f>
        <v/>
      </c>
      <c r="Y5" s="51">
        <f>GSD!S7</f>
        <v/>
      </c>
      <c r="Z5" s="51">
        <f>GSD!T7</f>
        <v/>
      </c>
      <c r="AA5" s="51">
        <f>GSD!U7</f>
        <v/>
      </c>
      <c r="AB5" s="51">
        <f>GSD!V7</f>
        <v/>
      </c>
      <c r="AC5" s="51">
        <f>GSD!W7</f>
        <v/>
      </c>
      <c r="AD5" s="51">
        <f>GSD!X7</f>
        <v/>
      </c>
      <c r="AE5" s="51">
        <f>GSD!Y7</f>
        <v/>
      </c>
      <c r="AF5" s="51">
        <f>GSD!Z7</f>
        <v/>
      </c>
      <c r="AG5" s="51">
        <f>HYD!AM7</f>
        <v/>
      </c>
      <c r="AH5" s="51">
        <f>HYD!AN7</f>
        <v/>
      </c>
      <c r="AI5" s="51">
        <f>HYD!AO7</f>
        <v/>
      </c>
      <c r="AJ5" s="51">
        <f>HYD!AP7</f>
        <v/>
      </c>
      <c r="AK5" s="51">
        <f>HYD!AQ7</f>
        <v/>
      </c>
      <c r="AL5" s="51">
        <f>HYD!AR7</f>
        <v/>
      </c>
      <c r="AM5" s="51">
        <f>HYD!AS7</f>
        <v/>
      </c>
      <c r="AN5" s="51">
        <f>HYD!AT7</f>
        <v/>
      </c>
      <c r="AO5" s="51">
        <f>HYD!AU7</f>
        <v/>
      </c>
      <c r="AP5" s="51">
        <f>HYD!AV7</f>
        <v/>
      </c>
      <c r="AQ5" s="51">
        <f>HYD!AW7</f>
        <v/>
      </c>
      <c r="AR5" s="51">
        <f>HYD!AX7</f>
        <v/>
      </c>
      <c r="AS5" s="51">
        <f>HYD!AY7</f>
        <v/>
      </c>
      <c r="AT5" s="51" t="n"/>
      <c r="AU5" s="51" t="n"/>
      <c r="AV5" s="51" t="n"/>
      <c r="AW5" s="51" t="n"/>
    </row>
    <row r="6" s="41">
      <c r="A6" s="52" t="n">
        <v>4</v>
      </c>
      <c r="B6" s="52">
        <f>B5</f>
        <v/>
      </c>
      <c r="C6" s="48">
        <f>GSD!F8</f>
        <v/>
      </c>
      <c r="D6" s="106" t="n">
        <v>4.75</v>
      </c>
      <c r="E6" s="106" t="n">
        <v>2</v>
      </c>
      <c r="F6" s="106" t="n">
        <v>1.18</v>
      </c>
      <c r="G6" s="106" t="n">
        <v>0.6</v>
      </c>
      <c r="H6" s="106" t="n">
        <v>0.425</v>
      </c>
      <c r="I6" s="106" t="n">
        <v>0.3</v>
      </c>
      <c r="J6" s="106" t="n">
        <v>0.15</v>
      </c>
      <c r="K6" s="106" t="n">
        <v>0.075</v>
      </c>
      <c r="L6" s="107">
        <f>HYD!Z8</f>
        <v/>
      </c>
      <c r="M6" s="107">
        <f>HYD!AA8</f>
        <v/>
      </c>
      <c r="N6" s="107">
        <f>HYD!AB8</f>
        <v/>
      </c>
      <c r="O6" s="107">
        <f>HYD!AC8</f>
        <v/>
      </c>
      <c r="P6" s="107">
        <f>HYD!AD8</f>
        <v/>
      </c>
      <c r="Q6" s="107">
        <f>HYD!AE8</f>
        <v/>
      </c>
      <c r="R6" s="107">
        <f>HYD!AF8</f>
        <v/>
      </c>
      <c r="S6" s="107">
        <f>HYD!AG8</f>
        <v/>
      </c>
      <c r="T6" s="107">
        <f>HYD!AH8</f>
        <v/>
      </c>
      <c r="U6" s="107">
        <f>HYD!AI8</f>
        <v/>
      </c>
      <c r="V6" s="107">
        <f>HYD!AJ8</f>
        <v/>
      </c>
      <c r="W6" s="107">
        <f>HYD!AK8</f>
        <v/>
      </c>
      <c r="X6" s="107">
        <f>HYD!AL8</f>
        <v/>
      </c>
      <c r="Y6" s="51">
        <f>GSD!S8</f>
        <v/>
      </c>
      <c r="Z6" s="51">
        <f>GSD!T8</f>
        <v/>
      </c>
      <c r="AA6" s="51">
        <f>GSD!U8</f>
        <v/>
      </c>
      <c r="AB6" s="51">
        <f>GSD!V8</f>
        <v/>
      </c>
      <c r="AC6" s="51">
        <f>GSD!W8</f>
        <v/>
      </c>
      <c r="AD6" s="51">
        <f>GSD!X8</f>
        <v/>
      </c>
      <c r="AE6" s="51">
        <f>GSD!Y8</f>
        <v/>
      </c>
      <c r="AF6" s="51">
        <f>GSD!Z8</f>
        <v/>
      </c>
      <c r="AG6" s="51">
        <f>HYD!AM8</f>
        <v/>
      </c>
      <c r="AH6" s="51">
        <f>HYD!AN8</f>
        <v/>
      </c>
      <c r="AI6" s="51">
        <f>HYD!AO8</f>
        <v/>
      </c>
      <c r="AJ6" s="51">
        <f>HYD!AP8</f>
        <v/>
      </c>
      <c r="AK6" s="51">
        <f>HYD!AQ8</f>
        <v/>
      </c>
      <c r="AL6" s="51">
        <f>HYD!AR8</f>
        <v/>
      </c>
      <c r="AM6" s="51">
        <f>HYD!AS8</f>
        <v/>
      </c>
      <c r="AN6" s="51">
        <f>HYD!AT8</f>
        <v/>
      </c>
      <c r="AO6" s="51">
        <f>HYD!AU8</f>
        <v/>
      </c>
      <c r="AP6" s="51">
        <f>HYD!AV8</f>
        <v/>
      </c>
      <c r="AQ6" s="51">
        <f>HYD!AW8</f>
        <v/>
      </c>
      <c r="AR6" s="51">
        <f>HYD!AX8</f>
        <v/>
      </c>
      <c r="AS6" s="51">
        <f>HYD!AY8</f>
        <v/>
      </c>
      <c r="AT6" s="51" t="n"/>
      <c r="AU6" s="51" t="n"/>
      <c r="AV6" s="51" t="n"/>
      <c r="AW6" s="51" t="n"/>
    </row>
    <row r="7" s="41">
      <c r="A7" s="52" t="n">
        <v>5</v>
      </c>
      <c r="B7" s="52">
        <f>B6</f>
        <v/>
      </c>
      <c r="C7" s="48">
        <f>GSD!F9</f>
        <v/>
      </c>
      <c r="D7" s="106" t="n">
        <v>4.75</v>
      </c>
      <c r="E7" s="106" t="n">
        <v>2</v>
      </c>
      <c r="F7" s="106" t="n">
        <v>1.18</v>
      </c>
      <c r="G7" s="106" t="n">
        <v>0.6</v>
      </c>
      <c r="H7" s="106" t="n">
        <v>0.425</v>
      </c>
      <c r="I7" s="106" t="n">
        <v>0.3</v>
      </c>
      <c r="J7" s="106" t="n">
        <v>0.15</v>
      </c>
      <c r="K7" s="106" t="n">
        <v>0.075</v>
      </c>
      <c r="L7" s="107">
        <f>HYD!Z9</f>
        <v/>
      </c>
      <c r="M7" s="107">
        <f>HYD!AA9</f>
        <v/>
      </c>
      <c r="N7" s="107">
        <f>HYD!AB9</f>
        <v/>
      </c>
      <c r="O7" s="107">
        <f>HYD!AC9</f>
        <v/>
      </c>
      <c r="P7" s="107">
        <f>HYD!AD9</f>
        <v/>
      </c>
      <c r="Q7" s="107">
        <f>HYD!AE9</f>
        <v/>
      </c>
      <c r="R7" s="107">
        <f>HYD!AF9</f>
        <v/>
      </c>
      <c r="S7" s="107">
        <f>HYD!AG9</f>
        <v/>
      </c>
      <c r="T7" s="107">
        <f>HYD!AH9</f>
        <v/>
      </c>
      <c r="U7" s="107">
        <f>HYD!AI9</f>
        <v/>
      </c>
      <c r="V7" s="107">
        <f>HYD!AJ9</f>
        <v/>
      </c>
      <c r="W7" s="107">
        <f>HYD!AK9</f>
        <v/>
      </c>
      <c r="X7" s="107">
        <f>HYD!AL9</f>
        <v/>
      </c>
      <c r="Y7" s="51">
        <f>GSD!S9</f>
        <v/>
      </c>
      <c r="Z7" s="51">
        <f>GSD!T9</f>
        <v/>
      </c>
      <c r="AA7" s="51">
        <f>GSD!U9</f>
        <v/>
      </c>
      <c r="AB7" s="51">
        <f>GSD!V9</f>
        <v/>
      </c>
      <c r="AC7" s="51">
        <f>GSD!W9</f>
        <v/>
      </c>
      <c r="AD7" s="51">
        <f>GSD!X9</f>
        <v/>
      </c>
      <c r="AE7" s="51">
        <f>GSD!Y9</f>
        <v/>
      </c>
      <c r="AF7" s="51">
        <f>GSD!Z9</f>
        <v/>
      </c>
      <c r="AG7" s="51">
        <f>HYD!AM9</f>
        <v/>
      </c>
      <c r="AH7" s="51">
        <f>HYD!AN9</f>
        <v/>
      </c>
      <c r="AI7" s="51">
        <f>HYD!AO9</f>
        <v/>
      </c>
      <c r="AJ7" s="51">
        <f>HYD!AP9</f>
        <v/>
      </c>
      <c r="AK7" s="51">
        <f>HYD!AQ9</f>
        <v/>
      </c>
      <c r="AL7" s="51">
        <f>HYD!AR9</f>
        <v/>
      </c>
      <c r="AM7" s="51">
        <f>HYD!AS9</f>
        <v/>
      </c>
      <c r="AN7" s="51">
        <f>HYD!AT9</f>
        <v/>
      </c>
      <c r="AO7" s="51">
        <f>HYD!AU9</f>
        <v/>
      </c>
      <c r="AP7" s="51">
        <f>HYD!AV9</f>
        <v/>
      </c>
      <c r="AQ7" s="51">
        <f>HYD!AW9</f>
        <v/>
      </c>
      <c r="AR7" s="51">
        <f>HYD!AX9</f>
        <v/>
      </c>
      <c r="AS7" s="51">
        <f>HYD!AY9</f>
        <v/>
      </c>
      <c r="AT7" s="51" t="n"/>
      <c r="AU7" s="51" t="n"/>
      <c r="AV7" s="51" t="n"/>
      <c r="AW7" s="51" t="n"/>
    </row>
    <row r="8" s="41">
      <c r="A8" s="52" t="n">
        <v>6</v>
      </c>
      <c r="B8" s="52">
        <f>B7</f>
        <v/>
      </c>
      <c r="C8" s="48">
        <f>GSD!F10</f>
        <v/>
      </c>
      <c r="D8" s="106" t="n">
        <v>4.75</v>
      </c>
      <c r="E8" s="106" t="n">
        <v>2</v>
      </c>
      <c r="F8" s="106" t="n">
        <v>1.18</v>
      </c>
      <c r="G8" s="106" t="n">
        <v>0.6</v>
      </c>
      <c r="H8" s="106" t="n">
        <v>0.425</v>
      </c>
      <c r="I8" s="106" t="n">
        <v>0.3</v>
      </c>
      <c r="J8" s="106" t="n">
        <v>0.15</v>
      </c>
      <c r="K8" s="106" t="n">
        <v>0.075</v>
      </c>
      <c r="L8" s="107">
        <f>HYD!Z10</f>
        <v/>
      </c>
      <c r="M8" s="107">
        <f>HYD!AA10</f>
        <v/>
      </c>
      <c r="N8" s="107">
        <f>HYD!AB10</f>
        <v/>
      </c>
      <c r="O8" s="107">
        <f>HYD!AC10</f>
        <v/>
      </c>
      <c r="P8" s="107">
        <f>HYD!AD10</f>
        <v/>
      </c>
      <c r="Q8" s="107">
        <f>HYD!AE10</f>
        <v/>
      </c>
      <c r="R8" s="107">
        <f>HYD!AF10</f>
        <v/>
      </c>
      <c r="S8" s="107">
        <f>HYD!AG10</f>
        <v/>
      </c>
      <c r="T8" s="107">
        <f>HYD!AH10</f>
        <v/>
      </c>
      <c r="U8" s="107">
        <f>HYD!AI10</f>
        <v/>
      </c>
      <c r="V8" s="107">
        <f>HYD!AJ10</f>
        <v/>
      </c>
      <c r="W8" s="107">
        <f>HYD!AK10</f>
        <v/>
      </c>
      <c r="X8" s="107">
        <f>HYD!AL10</f>
        <v/>
      </c>
      <c r="Y8" s="51">
        <f>GSD!S10</f>
        <v/>
      </c>
      <c r="Z8" s="51">
        <f>GSD!T10</f>
        <v/>
      </c>
      <c r="AA8" s="51">
        <f>GSD!U10</f>
        <v/>
      </c>
      <c r="AB8" s="51">
        <f>GSD!V10</f>
        <v/>
      </c>
      <c r="AC8" s="51">
        <f>GSD!W10</f>
        <v/>
      </c>
      <c r="AD8" s="51">
        <f>GSD!X10</f>
        <v/>
      </c>
      <c r="AE8" s="51">
        <f>GSD!Y10</f>
        <v/>
      </c>
      <c r="AF8" s="51">
        <f>GSD!Z10</f>
        <v/>
      </c>
      <c r="AG8" s="51">
        <f>HYD!AM10</f>
        <v/>
      </c>
      <c r="AH8" s="51">
        <f>HYD!AN10</f>
        <v/>
      </c>
      <c r="AI8" s="51">
        <f>HYD!AO10</f>
        <v/>
      </c>
      <c r="AJ8" s="51">
        <f>HYD!AP10</f>
        <v/>
      </c>
      <c r="AK8" s="51">
        <f>HYD!AQ10</f>
        <v/>
      </c>
      <c r="AL8" s="51">
        <f>HYD!AR10</f>
        <v/>
      </c>
      <c r="AM8" s="51">
        <f>HYD!AS10</f>
        <v/>
      </c>
      <c r="AN8" s="51">
        <f>HYD!AT10</f>
        <v/>
      </c>
      <c r="AO8" s="51">
        <f>HYD!AU10</f>
        <v/>
      </c>
      <c r="AP8" s="51">
        <f>HYD!AV10</f>
        <v/>
      </c>
      <c r="AQ8" s="51">
        <f>HYD!AW10</f>
        <v/>
      </c>
      <c r="AR8" s="51">
        <f>HYD!AX10</f>
        <v/>
      </c>
      <c r="AS8" s="51">
        <f>HYD!AY10</f>
        <v/>
      </c>
      <c r="AT8" s="51" t="n"/>
      <c r="AU8" s="51" t="n"/>
      <c r="AV8" s="51" t="n"/>
      <c r="AW8" s="51" t="n"/>
    </row>
    <row r="9" s="41">
      <c r="A9" s="52" t="n">
        <v>7</v>
      </c>
      <c r="B9" s="52">
        <f>B8</f>
        <v/>
      </c>
      <c r="C9" s="48">
        <f>GSD!F11</f>
        <v/>
      </c>
      <c r="D9" s="106" t="n">
        <v>4.75</v>
      </c>
      <c r="E9" s="106" t="n">
        <v>2</v>
      </c>
      <c r="F9" s="106" t="n">
        <v>1.18</v>
      </c>
      <c r="G9" s="106" t="n">
        <v>0.6</v>
      </c>
      <c r="H9" s="106" t="n">
        <v>0.425</v>
      </c>
      <c r="I9" s="106" t="n">
        <v>0.3</v>
      </c>
      <c r="J9" s="106" t="n">
        <v>0.15</v>
      </c>
      <c r="K9" s="106" t="n">
        <v>0.075</v>
      </c>
      <c r="L9" s="107">
        <f>HYD!Z11</f>
        <v/>
      </c>
      <c r="M9" s="107">
        <f>HYD!AA11</f>
        <v/>
      </c>
      <c r="N9" s="107">
        <f>HYD!AB11</f>
        <v/>
      </c>
      <c r="O9" s="107">
        <f>HYD!AC11</f>
        <v/>
      </c>
      <c r="P9" s="107">
        <f>HYD!AD11</f>
        <v/>
      </c>
      <c r="Q9" s="107">
        <f>HYD!AE11</f>
        <v/>
      </c>
      <c r="R9" s="107">
        <f>HYD!AF11</f>
        <v/>
      </c>
      <c r="S9" s="107">
        <f>HYD!AG11</f>
        <v/>
      </c>
      <c r="T9" s="107">
        <f>HYD!AH11</f>
        <v/>
      </c>
      <c r="U9" s="107">
        <f>HYD!AI11</f>
        <v/>
      </c>
      <c r="V9" s="107">
        <f>HYD!AJ11</f>
        <v/>
      </c>
      <c r="W9" s="107">
        <f>HYD!AK11</f>
        <v/>
      </c>
      <c r="X9" s="107">
        <f>HYD!AL11</f>
        <v/>
      </c>
      <c r="Y9" s="51">
        <f>GSD!S11</f>
        <v/>
      </c>
      <c r="Z9" s="51">
        <f>GSD!T11</f>
        <v/>
      </c>
      <c r="AA9" s="51">
        <f>GSD!U11</f>
        <v/>
      </c>
      <c r="AB9" s="51">
        <f>GSD!V11</f>
        <v/>
      </c>
      <c r="AC9" s="51">
        <f>GSD!W11</f>
        <v/>
      </c>
      <c r="AD9" s="51">
        <f>GSD!X11</f>
        <v/>
      </c>
      <c r="AE9" s="51">
        <f>GSD!Y11</f>
        <v/>
      </c>
      <c r="AF9" s="51">
        <f>GSD!Z11</f>
        <v/>
      </c>
      <c r="AG9" s="51">
        <f>HYD!AM11</f>
        <v/>
      </c>
      <c r="AH9" s="51">
        <f>HYD!AN11</f>
        <v/>
      </c>
      <c r="AI9" s="51">
        <f>HYD!AO11</f>
        <v/>
      </c>
      <c r="AJ9" s="51">
        <f>HYD!AP11</f>
        <v/>
      </c>
      <c r="AK9" s="51">
        <f>HYD!AQ11</f>
        <v/>
      </c>
      <c r="AL9" s="51">
        <f>HYD!AR11</f>
        <v/>
      </c>
      <c r="AM9" s="51">
        <f>HYD!AS11</f>
        <v/>
      </c>
      <c r="AN9" s="51">
        <f>HYD!AT11</f>
        <v/>
      </c>
      <c r="AO9" s="51">
        <f>HYD!AU11</f>
        <v/>
      </c>
      <c r="AP9" s="51">
        <f>HYD!AV11</f>
        <v/>
      </c>
      <c r="AQ9" s="51">
        <f>HYD!AW11</f>
        <v/>
      </c>
      <c r="AR9" s="51">
        <f>HYD!AX11</f>
        <v/>
      </c>
      <c r="AS9" s="51">
        <f>HYD!AY11</f>
        <v/>
      </c>
      <c r="AT9" s="53" t="n"/>
      <c r="AU9" s="53" t="n"/>
      <c r="AV9" s="53" t="n"/>
      <c r="AW9" s="53" t="n"/>
    </row>
    <row r="10" s="41">
      <c r="A10" s="52" t="n"/>
      <c r="B10" s="52" t="n"/>
      <c r="C10" s="48" t="n"/>
      <c r="D10" s="106" t="n"/>
      <c r="E10" s="106" t="n"/>
      <c r="F10" s="106" t="n"/>
      <c r="G10" s="106" t="n"/>
      <c r="H10" s="106" t="n"/>
      <c r="I10" s="106" t="n"/>
      <c r="J10" s="106" t="n"/>
      <c r="K10" s="106" t="n"/>
      <c r="L10" s="107" t="n"/>
      <c r="M10" s="107" t="n"/>
      <c r="N10" s="107" t="n"/>
      <c r="O10" s="107" t="n"/>
      <c r="P10" s="107" t="n"/>
      <c r="Q10" s="107" t="n"/>
      <c r="R10" s="107" t="n"/>
      <c r="S10" s="107" t="n"/>
      <c r="T10" s="107" t="n"/>
      <c r="U10" s="107" t="n"/>
      <c r="V10" s="107" t="n"/>
      <c r="W10" s="107" t="n"/>
      <c r="X10" s="107" t="n"/>
      <c r="Y10" s="51" t="n"/>
      <c r="Z10" s="51" t="n"/>
      <c r="AA10" s="51" t="n"/>
      <c r="AB10" s="51" t="n"/>
      <c r="AC10" s="51" t="n"/>
      <c r="AD10" s="51" t="n"/>
      <c r="AE10" s="51" t="n"/>
      <c r="AF10" s="51" t="n"/>
      <c r="AG10" s="51" t="n"/>
      <c r="AH10" s="51" t="n"/>
      <c r="AI10" s="51" t="n"/>
      <c r="AJ10" s="51" t="n"/>
      <c r="AK10" s="51" t="n"/>
      <c r="AL10" s="51" t="n"/>
      <c r="AM10" s="51" t="n"/>
      <c r="AN10" s="51" t="n"/>
      <c r="AO10" s="51" t="n"/>
      <c r="AP10" s="51" t="n"/>
      <c r="AQ10" s="51" t="n"/>
      <c r="AR10" s="51" t="n"/>
      <c r="AS10" s="51" t="n"/>
      <c r="AT10" s="53" t="n"/>
      <c r="AU10" s="53" t="n"/>
      <c r="AV10" s="53" t="n"/>
      <c r="AW10" s="53" t="n"/>
    </row>
    <row r="11" s="41">
      <c r="A11" s="52" t="n"/>
      <c r="B11" s="52" t="n"/>
      <c r="C11" s="48" t="n"/>
      <c r="D11" s="106" t="n"/>
      <c r="E11" s="106" t="n"/>
      <c r="F11" s="106" t="n"/>
      <c r="G11" s="106" t="n"/>
      <c r="H11" s="106" t="n"/>
      <c r="I11" s="106" t="n"/>
      <c r="J11" s="106" t="n"/>
      <c r="K11" s="106" t="n"/>
      <c r="L11" s="107" t="n"/>
      <c r="M11" s="107" t="n"/>
      <c r="N11" s="107" t="n"/>
      <c r="O11" s="107" t="n"/>
      <c r="P11" s="107" t="n"/>
      <c r="Q11" s="107" t="n"/>
      <c r="R11" s="107" t="n"/>
      <c r="S11" s="107" t="n"/>
      <c r="T11" s="107" t="n"/>
      <c r="U11" s="107" t="n"/>
      <c r="V11" s="107" t="n"/>
      <c r="W11" s="107" t="n"/>
      <c r="X11" s="107" t="n"/>
      <c r="Y11" s="51" t="n"/>
      <c r="Z11" s="51" t="n"/>
      <c r="AA11" s="51" t="n"/>
      <c r="AB11" s="51" t="n"/>
      <c r="AC11" s="51" t="n"/>
      <c r="AD11" s="51" t="n"/>
      <c r="AE11" s="51" t="n"/>
      <c r="AF11" s="51" t="n"/>
      <c r="AG11" s="51" t="n"/>
      <c r="AH11" s="51" t="n"/>
      <c r="AI11" s="51" t="n"/>
      <c r="AJ11" s="51" t="n"/>
      <c r="AK11" s="51" t="n"/>
      <c r="AL11" s="51" t="n"/>
      <c r="AM11" s="51" t="n"/>
      <c r="AN11" s="51" t="n"/>
      <c r="AO11" s="51" t="n"/>
      <c r="AP11" s="51" t="n"/>
      <c r="AQ11" s="51" t="n"/>
      <c r="AR11" s="51" t="n"/>
      <c r="AS11" s="51" t="n"/>
      <c r="AT11" s="53" t="n"/>
      <c r="AU11" s="53" t="n"/>
      <c r="AV11" s="53" t="n"/>
      <c r="AW11" s="53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2026-09-19T05:51:53Z</dcterms:modified>
  <cp:lastModifiedBy>baps</cp:lastModifiedBy>
</cp:coreProperties>
</file>