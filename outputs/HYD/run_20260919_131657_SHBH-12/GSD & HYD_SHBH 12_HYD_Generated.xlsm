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92.92</v>
                </pt>
                <pt idx="1">
                  <v>88.86</v>
                </pt>
                <pt idx="2">
                  <v>84.63</v>
                </pt>
                <pt idx="3">
                  <v>76.18000000000001</v>
                </pt>
                <pt idx="4">
                  <v>74.93000000000001</v>
                </pt>
                <pt idx="5">
                  <v>71.27</v>
                </pt>
                <pt idx="6">
                  <v>62.25000000000001</v>
                </pt>
                <pt idx="7">
                  <v>56.64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100</v>
                </pt>
                <pt idx="1">
                  <v>99.94499999999999</v>
                </pt>
                <pt idx="2">
                  <v>99.83</v>
                </pt>
                <pt idx="3">
                  <v>99.04000000000001</v>
                </pt>
                <pt idx="4">
                  <v>98.79000000000001</v>
                </pt>
                <pt idx="5">
                  <v>97.83499999999999</v>
                </pt>
                <pt idx="6">
                  <v>91.33</v>
                </pt>
                <pt idx="7">
                  <v>77.75999999999999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99.58</v>
                </pt>
                <pt idx="2">
                  <v>97.13</v>
                </pt>
                <pt idx="3">
                  <v>73.50999999999999</v>
                </pt>
                <pt idx="4">
                  <v>70.86</v>
                </pt>
                <pt idx="5">
                  <v>65.43000000000001</v>
                </pt>
                <pt idx="6">
                  <v>44.22</v>
                </pt>
                <pt idx="7">
                  <v>32.27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86.19</v>
                </pt>
                <pt idx="1">
                  <v>84.81999999999999</v>
                </pt>
                <pt idx="2">
                  <v>83.68000000000001</v>
                </pt>
                <pt idx="3">
                  <v>77.48999999999999</v>
                </pt>
                <pt idx="4">
                  <v>76.34</v>
                </pt>
                <pt idx="5">
                  <v>72.98</v>
                </pt>
                <pt idx="6">
                  <v>61.85000000000001</v>
                </pt>
                <pt idx="7">
                  <v>56.845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99.14</v>
                </pt>
                <pt idx="2">
                  <v>95.04000000000001</v>
                </pt>
                <pt idx="3">
                  <v>57.47</v>
                </pt>
                <pt idx="4">
                  <v>53.83</v>
                </pt>
                <pt idx="5">
                  <v>48.27</v>
                </pt>
                <pt idx="6">
                  <v>34.36999999999999</v>
                </pt>
                <pt idx="7">
                  <v>25.41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99.37</v>
                </pt>
                <pt idx="1">
                  <v>97.435</v>
                </pt>
                <pt idx="2">
                  <v>95.54000000000001</v>
                </pt>
                <pt idx="3">
                  <v>85.8</v>
                </pt>
                <pt idx="4">
                  <v>83.965</v>
                </pt>
                <pt idx="5">
                  <v>79.14</v>
                </pt>
                <pt idx="6">
                  <v>66.765</v>
                </pt>
                <pt idx="7">
                  <v>53.02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98.16</v>
                </pt>
                <pt idx="1">
                  <v>97.25</v>
                </pt>
                <pt idx="2">
                  <v>94.44</v>
                </pt>
                <pt idx="3">
                  <v>77.94</v>
                </pt>
                <pt idx="4">
                  <v>69.72999999999999</v>
                </pt>
                <pt idx="5">
                  <v>41.69</v>
                </pt>
                <pt idx="6">
                  <v>20.19</v>
                </pt>
                <pt idx="7">
                  <v>16.52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92.92</v>
                </pt>
                <pt idx="1">
                  <v>88.86</v>
                </pt>
                <pt idx="2">
                  <v>84.63</v>
                </pt>
                <pt idx="3">
                  <v>76.18000000000001</v>
                </pt>
                <pt idx="4">
                  <v>74.93000000000001</v>
                </pt>
                <pt idx="5">
                  <v>71.27</v>
                </pt>
                <pt idx="6">
                  <v>62.25000000000001</v>
                </pt>
                <pt idx="7">
                  <v>56.64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100</v>
                </pt>
                <pt idx="1">
                  <v>99.94499999999999</v>
                </pt>
                <pt idx="2">
                  <v>99.83</v>
                </pt>
                <pt idx="3">
                  <v>99.04000000000001</v>
                </pt>
                <pt idx="4">
                  <v>98.79000000000001</v>
                </pt>
                <pt idx="5">
                  <v>97.83499999999999</v>
                </pt>
                <pt idx="6">
                  <v>91.33</v>
                </pt>
                <pt idx="7">
                  <v>77.75999999999999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99.58</v>
                </pt>
                <pt idx="2">
                  <v>97.13</v>
                </pt>
                <pt idx="3">
                  <v>73.50999999999999</v>
                </pt>
                <pt idx="4">
                  <v>70.86</v>
                </pt>
                <pt idx="5">
                  <v>65.43000000000001</v>
                </pt>
                <pt idx="6">
                  <v>44.22</v>
                </pt>
                <pt idx="7">
                  <v>32.27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86.19</v>
                </pt>
                <pt idx="1">
                  <v>84.81999999999999</v>
                </pt>
                <pt idx="2">
                  <v>83.68000000000001</v>
                </pt>
                <pt idx="3">
                  <v>77.48999999999999</v>
                </pt>
                <pt idx="4">
                  <v>76.34</v>
                </pt>
                <pt idx="5">
                  <v>72.98</v>
                </pt>
                <pt idx="6">
                  <v>61.85000000000001</v>
                </pt>
                <pt idx="7">
                  <v>56.845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99.14</v>
                </pt>
                <pt idx="2">
                  <v>95.04000000000001</v>
                </pt>
                <pt idx="3">
                  <v>57.47</v>
                </pt>
                <pt idx="4">
                  <v>53.83</v>
                </pt>
                <pt idx="5">
                  <v>48.27</v>
                </pt>
                <pt idx="6">
                  <v>34.36999999999999</v>
                </pt>
                <pt idx="7">
                  <v>25.41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99.37</v>
                </pt>
                <pt idx="1">
                  <v>97.435</v>
                </pt>
                <pt idx="2">
                  <v>95.54000000000001</v>
                </pt>
                <pt idx="3">
                  <v>85.8</v>
                </pt>
                <pt idx="4">
                  <v>83.965</v>
                </pt>
                <pt idx="5">
                  <v>79.14</v>
                </pt>
                <pt idx="6">
                  <v>66.765</v>
                </pt>
                <pt idx="7">
                  <v>53.02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98.16</v>
                </pt>
                <pt idx="1">
                  <v>97.25</v>
                </pt>
                <pt idx="2">
                  <v>94.44</v>
                </pt>
                <pt idx="3">
                  <v>77.94</v>
                </pt>
                <pt idx="4">
                  <v>69.72999999999999</v>
                </pt>
                <pt idx="5">
                  <v>41.69</v>
                </pt>
                <pt idx="6">
                  <v>20.19</v>
                </pt>
                <pt idx="7">
                  <v>16.52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30" zoomScaleNormal="85" zoomScaleSheetLayoutView="130" zoomScalePageLayoutView="85" workbookViewId="0">
      <selection activeCell="K3" sqref="K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SHBH-12</t>
        </is>
      </c>
      <c r="C5" s="71" t="n"/>
      <c r="D5" s="72" t="n"/>
      <c r="E5" s="47" t="inlineStr">
        <is>
          <t>SPT</t>
        </is>
      </c>
      <c r="F5" s="43" t="n">
        <v>0.5</v>
      </c>
      <c r="G5" s="47" t="inlineStr">
        <is>
          <t>A075</t>
        </is>
      </c>
      <c r="H5" s="72" t="n">
        <v>100</v>
      </c>
      <c r="I5" s="43">
        <f>H5-SUM(J5:Q5)</f>
        <v/>
      </c>
      <c r="J5" s="43" t="n">
        <v>7.08</v>
      </c>
      <c r="K5" s="43" t="n">
        <v>4.06</v>
      </c>
      <c r="L5" s="43" t="n">
        <v>4.23</v>
      </c>
      <c r="M5" s="43" t="n">
        <v>8.449999999999999</v>
      </c>
      <c r="N5" s="43" t="n">
        <v>1.25</v>
      </c>
      <c r="O5" s="43" t="n">
        <v>3.66</v>
      </c>
      <c r="P5" s="43" t="n">
        <v>9.02</v>
      </c>
      <c r="Q5" s="43" t="n">
        <v>5.61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A148</t>
        </is>
      </c>
      <c r="H6" s="72" t="n">
        <v>200</v>
      </c>
      <c r="I6" s="43">
        <f>H6-SUM(J6:Q6)</f>
        <v/>
      </c>
      <c r="J6" s="43" t="n">
        <v>0</v>
      </c>
      <c r="K6" s="43" t="n">
        <v>0.11</v>
      </c>
      <c r="L6" s="43" t="n">
        <v>0.23</v>
      </c>
      <c r="M6" s="43" t="n">
        <v>1.58</v>
      </c>
      <c r="N6" s="43" t="n">
        <v>0.5</v>
      </c>
      <c r="O6" s="43" t="n">
        <v>1.91</v>
      </c>
      <c r="P6" s="43" t="n">
        <v>13.01</v>
      </c>
      <c r="Q6" s="43" t="n">
        <v>27.14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56" t="n">
        <v>3.5</v>
      </c>
      <c r="G7" s="47" t="inlineStr">
        <is>
          <t>A127</t>
        </is>
      </c>
      <c r="H7" s="72" t="n">
        <v>100</v>
      </c>
      <c r="I7" s="43">
        <f>H7-SUM(J7:Q7)</f>
        <v/>
      </c>
      <c r="J7" s="43" t="n">
        <v>0</v>
      </c>
      <c r="K7" s="43" t="n">
        <v>0.42</v>
      </c>
      <c r="L7" s="43" t="n">
        <v>2.45</v>
      </c>
      <c r="M7" s="43" t="n">
        <v>23.62</v>
      </c>
      <c r="N7" s="43" t="n">
        <v>2.65</v>
      </c>
      <c r="O7" s="43" t="n">
        <v>5.43</v>
      </c>
      <c r="P7" s="43" t="n">
        <v>21.21</v>
      </c>
      <c r="Q7" s="43" t="n">
        <v>11.95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A130</t>
        </is>
      </c>
      <c r="H8" s="72" t="n">
        <v>200</v>
      </c>
      <c r="I8" s="43">
        <f>H8-SUM(J8:Q8)</f>
        <v/>
      </c>
      <c r="J8" s="43" t="n">
        <v>27.62</v>
      </c>
      <c r="K8" s="43" t="n">
        <v>2.74</v>
      </c>
      <c r="L8" s="43" t="n">
        <v>2.28</v>
      </c>
      <c r="M8" s="43" t="n">
        <v>12.38</v>
      </c>
      <c r="N8" s="56" t="n">
        <v>2.3</v>
      </c>
      <c r="O8" s="43" t="n">
        <v>6.72</v>
      </c>
      <c r="P8" s="43" t="n">
        <v>22.26</v>
      </c>
      <c r="Q8" s="43" t="n">
        <v>10.01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A037</t>
        </is>
      </c>
      <c r="H9" s="72" t="n">
        <v>100</v>
      </c>
      <c r="I9" s="43">
        <f>H9-SUM(J9:Q9)</f>
        <v/>
      </c>
      <c r="J9" s="43" t="n">
        <v>0</v>
      </c>
      <c r="K9" s="43" t="n">
        <v>0.86</v>
      </c>
      <c r="L9" s="43" t="n">
        <v>4.1</v>
      </c>
      <c r="M9" s="43" t="n">
        <v>37.57</v>
      </c>
      <c r="N9" s="43" t="n">
        <v>3.64</v>
      </c>
      <c r="O9" s="43" t="n">
        <v>5.56</v>
      </c>
      <c r="P9" s="43" t="n">
        <v>13.9</v>
      </c>
      <c r="Q9" s="43" t="n">
        <v>8.960000000000001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inlineStr">
        <is>
          <t>A055</t>
        </is>
      </c>
      <c r="H10" s="72" t="n">
        <v>200</v>
      </c>
      <c r="I10" s="43">
        <f>H10-SUM(J10:Q10)</f>
        <v/>
      </c>
      <c r="J10" s="43" t="n">
        <v>1.26</v>
      </c>
      <c r="K10" s="43" t="n">
        <v>3.87</v>
      </c>
      <c r="L10" s="43" t="n">
        <v>3.79</v>
      </c>
      <c r="M10" s="43" t="n">
        <v>19.48</v>
      </c>
      <c r="N10" s="43" t="n">
        <v>3.67</v>
      </c>
      <c r="O10" s="43" t="n">
        <v>9.65</v>
      </c>
      <c r="P10" s="43" t="n">
        <v>24.75</v>
      </c>
      <c r="Q10" s="43" t="n">
        <v>27.49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96" t="n"/>
      <c r="C11" s="96" t="n"/>
      <c r="D11" s="96" t="n"/>
      <c r="E11" s="47" t="inlineStr">
        <is>
          <t>SPT</t>
        </is>
      </c>
      <c r="F11" s="43" t="n">
        <v>10</v>
      </c>
      <c r="G11" s="47" t="inlineStr">
        <is>
          <t>A150</t>
        </is>
      </c>
      <c r="H11" s="72" t="n">
        <v>100</v>
      </c>
      <c r="I11" s="43">
        <f>H11-SUM(J11:Q11)</f>
        <v/>
      </c>
      <c r="J11" s="43" t="n">
        <v>1.84</v>
      </c>
      <c r="K11" s="43" t="n">
        <v>0.91</v>
      </c>
      <c r="L11" s="43" t="n">
        <v>2.81</v>
      </c>
      <c r="M11" s="43" t="n">
        <v>16.5</v>
      </c>
      <c r="N11" s="43" t="n">
        <v>8.210000000000001</v>
      </c>
      <c r="O11" s="43" t="n">
        <v>28.04</v>
      </c>
      <c r="P11" s="43" t="n">
        <v>21.5</v>
      </c>
      <c r="Q11" s="43" t="n">
        <v>3.67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D5:D11"/>
    <mergeCell ref="A1:AC1"/>
    <mergeCell ref="S2:Z2"/>
    <mergeCell ref="AB2:AB3"/>
    <mergeCell ref="E2:E3"/>
    <mergeCell ref="J2:R2"/>
    <mergeCell ref="I2:I3"/>
    <mergeCell ref="AA2:AA3"/>
    <mergeCell ref="B2:B4"/>
    <mergeCell ref="AC2:AC3"/>
    <mergeCell ref="D2:D4"/>
    <mergeCell ref="C5:C11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C13" sqref="C13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2.68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5" t="n">
        <v>1.018</v>
      </c>
      <c r="N5" s="105" t="n">
        <v>1.017</v>
      </c>
      <c r="O5" s="105" t="n">
        <v>1.016</v>
      </c>
      <c r="P5" s="105" t="n">
        <v>1.016</v>
      </c>
      <c r="Q5" s="105" t="n">
        <v>1.015</v>
      </c>
      <c r="R5" s="105" t="n">
        <v>1.014</v>
      </c>
      <c r="S5" s="105" t="n">
        <v>1.014</v>
      </c>
      <c r="T5" s="105" t="n">
        <v>1.013</v>
      </c>
      <c r="U5" s="105" t="n">
        <v>1.012</v>
      </c>
      <c r="V5" s="105" t="n">
        <v>1.011</v>
      </c>
      <c r="W5" s="105" t="n">
        <v>1.01</v>
      </c>
      <c r="X5" s="105" t="n">
        <v>1.01</v>
      </c>
      <c r="Y5" s="105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2.71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1.024</v>
      </c>
      <c r="N6" s="105" t="n">
        <v>1.023</v>
      </c>
      <c r="O6" s="105" t="n">
        <v>1.022</v>
      </c>
      <c r="P6" s="105" t="n">
        <v>1.022</v>
      </c>
      <c r="Q6" s="105" t="n">
        <v>1.021</v>
      </c>
      <c r="R6" s="105" t="n">
        <v>1.02</v>
      </c>
      <c r="S6" s="105" t="n">
        <v>1.019</v>
      </c>
      <c r="T6" s="105" t="n">
        <v>1.018</v>
      </c>
      <c r="U6" s="105" t="n">
        <v>1.017</v>
      </c>
      <c r="V6" s="105" t="n">
        <v>1.015</v>
      </c>
      <c r="W6" s="105" t="n">
        <v>1.014</v>
      </c>
      <c r="X6" s="105" t="n">
        <v>1.014</v>
      </c>
      <c r="Y6" s="105" t="n">
        <v>1.014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2.67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1.01</v>
      </c>
      <c r="N7" s="105" t="n">
        <v>1.01</v>
      </c>
      <c r="O7" s="105" t="n">
        <v>1.01</v>
      </c>
      <c r="P7" s="105" t="n">
        <v>1.01</v>
      </c>
      <c r="Q7" s="105" t="n">
        <v>1.01</v>
      </c>
      <c r="R7" s="105" t="n">
        <v>1.009</v>
      </c>
      <c r="S7" s="105" t="n">
        <v>1.009</v>
      </c>
      <c r="T7" s="105" t="n">
        <v>1.009</v>
      </c>
      <c r="U7" s="105" t="n">
        <v>1.009</v>
      </c>
      <c r="V7" s="105" t="n">
        <v>1.009</v>
      </c>
      <c r="W7" s="105" t="n">
        <v>1.008</v>
      </c>
      <c r="X7" s="105" t="n">
        <v>1.008</v>
      </c>
      <c r="Y7" s="105" t="n">
        <v>1.008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2.69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1.018</v>
      </c>
      <c r="N8" s="105" t="n">
        <v>1.017</v>
      </c>
      <c r="O8" s="105" t="n">
        <v>1.017</v>
      </c>
      <c r="P8" s="105" t="n">
        <v>1.016</v>
      </c>
      <c r="Q8" s="105" t="n">
        <v>1.015</v>
      </c>
      <c r="R8" s="105" t="n">
        <v>1.014</v>
      </c>
      <c r="S8" s="105" t="n">
        <v>1.014</v>
      </c>
      <c r="T8" s="105" t="n">
        <v>1.013</v>
      </c>
      <c r="U8" s="105" t="n">
        <v>1.012</v>
      </c>
      <c r="V8" s="105" t="n">
        <v>1.011</v>
      </c>
      <c r="W8" s="105" t="n">
        <v>1.01</v>
      </c>
      <c r="X8" s="105" t="n">
        <v>1.01</v>
      </c>
      <c r="Y8" s="105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>
        <f>(0.000000002615*E9^4) - (0.00000030607*E9^3) + (0.000016427499*E9^2) - (0.000618546309*E9) + 0.017919182437</f>
        <v/>
      </c>
      <c r="G9" s="105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5" t="n"/>
      <c r="N9" s="105" t="n"/>
      <c r="O9" s="105" t="n"/>
      <c r="P9" s="105" t="n"/>
      <c r="Q9" s="105" t="n"/>
      <c r="R9" s="105" t="n"/>
      <c r="S9" s="105" t="n"/>
      <c r="T9" s="105" t="n"/>
      <c r="U9" s="105" t="n"/>
      <c r="V9" s="105" t="n"/>
      <c r="W9" s="105" t="n"/>
      <c r="X9" s="105" t="n"/>
      <c r="Y9" s="105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2.68</v>
      </c>
      <c r="H10" s="35" t="n">
        <v>0.0005</v>
      </c>
      <c r="I10" s="35" t="n">
        <v>1</v>
      </c>
      <c r="J10" s="35" t="n">
        <v>2</v>
      </c>
      <c r="K10" s="36" t="n">
        <v>0</v>
      </c>
      <c r="L10" s="35" t="n">
        <v>0.3</v>
      </c>
      <c r="M10" s="105" t="n">
        <v>1.017</v>
      </c>
      <c r="N10" s="105" t="n">
        <v>1.016</v>
      </c>
      <c r="O10" s="105" t="n">
        <v>1.016</v>
      </c>
      <c r="P10" s="105" t="n">
        <v>1.015</v>
      </c>
      <c r="Q10" s="105" t="n">
        <v>1.014</v>
      </c>
      <c r="R10" s="105" t="n">
        <v>1.014</v>
      </c>
      <c r="S10" s="105" t="n">
        <v>1.013</v>
      </c>
      <c r="T10" s="105" t="n">
        <v>1.012</v>
      </c>
      <c r="U10" s="105" t="n">
        <v>1.012</v>
      </c>
      <c r="V10" s="105" t="n">
        <v>1.011</v>
      </c>
      <c r="W10" s="105" t="n">
        <v>1.01</v>
      </c>
      <c r="X10" s="105" t="n">
        <v>1.01</v>
      </c>
      <c r="Y10" s="105" t="n">
        <v>1.01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>
        <f>(0.000000002615*E11^4) - (0.00000030607*E11^3) + (0.000016427499*E11^2) - (0.000618546309*E11) + 0.017919182437</f>
        <v/>
      </c>
      <c r="G11" s="105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5" t="n"/>
      <c r="N11" s="105" t="n"/>
      <c r="O11" s="105" t="n"/>
      <c r="P11" s="105" t="n"/>
      <c r="Q11" s="105" t="n"/>
      <c r="R11" s="105" t="n"/>
      <c r="S11" s="105" t="n"/>
      <c r="T11" s="105" t="n"/>
      <c r="U11" s="105" t="n"/>
      <c r="V11" s="105" t="n"/>
      <c r="W11" s="105" t="n"/>
      <c r="X11" s="105" t="n"/>
      <c r="Y11" s="105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L11" sqref="L11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/>
      <c r="B10" s="53" t="n"/>
      <c r="C10" s="49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2" t="n"/>
      <c r="Z10" s="52" t="n"/>
      <c r="AA10" s="52" t="n"/>
      <c r="AB10" s="52" t="n"/>
      <c r="AC10" s="52" t="n"/>
      <c r="AD10" s="52" t="n"/>
      <c r="AE10" s="52" t="n"/>
      <c r="AF10" s="52" t="n"/>
      <c r="AG10" s="52" t="n"/>
      <c r="AH10" s="52" t="n"/>
      <c r="AI10" s="52" t="n"/>
      <c r="AJ10" s="52" t="n"/>
      <c r="AK10" s="52" t="n"/>
      <c r="AL10" s="52" t="n"/>
      <c r="AM10" s="52" t="n"/>
      <c r="AN10" s="52" t="n"/>
      <c r="AO10" s="52" t="n"/>
      <c r="AP10" s="52" t="n"/>
      <c r="AQ10" s="52" t="n"/>
      <c r="AR10" s="52" t="n"/>
      <c r="AS10" s="52" t="n"/>
      <c r="AT10" s="54" t="n"/>
      <c r="AU10" s="54" t="n"/>
      <c r="AV10" s="54" t="n"/>
      <c r="AW10" s="54" t="n"/>
    </row>
    <row r="11" s="41">
      <c r="A11" s="53" t="n"/>
      <c r="B11" s="53" t="n"/>
      <c r="C11" s="49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2" t="n"/>
      <c r="Z11" s="52" t="n"/>
      <c r="AA11" s="52" t="n"/>
      <c r="AB11" s="52" t="n"/>
      <c r="AC11" s="52" t="n"/>
      <c r="AD11" s="52" t="n"/>
      <c r="AE11" s="52" t="n"/>
      <c r="AF11" s="52" t="n"/>
      <c r="AG11" s="52" t="n"/>
      <c r="AH11" s="52" t="n"/>
      <c r="AI11" s="52" t="n"/>
      <c r="AJ11" s="52" t="n"/>
      <c r="AK11" s="52" t="n"/>
      <c r="AL11" s="52" t="n"/>
      <c r="AM11" s="52" t="n"/>
      <c r="AN11" s="52" t="n"/>
      <c r="AO11" s="52" t="n"/>
      <c r="AP11" s="52" t="n"/>
      <c r="AQ11" s="52" t="n"/>
      <c r="AR11" s="52" t="n"/>
      <c r="AS11" s="52" t="n"/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2026-09-19T07:47:01Z</dcterms:modified>
  <cp:lastModifiedBy>baps</cp:lastModifiedBy>
</cp:coreProperties>
</file>