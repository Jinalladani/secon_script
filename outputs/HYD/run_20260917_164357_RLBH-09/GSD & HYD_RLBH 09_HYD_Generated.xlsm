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576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99.81999999999999</v>
                </pt>
                <pt idx="1">
                  <v>99.70999999999999</v>
                </pt>
                <pt idx="2">
                  <v>99.67</v>
                </pt>
                <pt idx="3">
                  <v>98.63</v>
                </pt>
                <pt idx="4">
                  <v>86.31</v>
                </pt>
                <pt idx="5">
                  <v>72.22999999999999</v>
                </pt>
                <pt idx="6">
                  <v>43.13</v>
                </pt>
                <pt idx="7">
                  <v>31.41999999999999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98.42</v>
                </pt>
                <pt idx="1">
                  <v>97.7</v>
                </pt>
                <pt idx="2">
                  <v>97.59999999999999</v>
                </pt>
                <pt idx="3">
                  <v>96.63500000000001</v>
                </pt>
                <pt idx="4">
                  <v>82.065</v>
                </pt>
                <pt idx="5">
                  <v>73.325</v>
                </pt>
                <pt idx="6">
                  <v>49.14</v>
                </pt>
                <pt idx="7">
                  <v>41.72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93.14</v>
                </pt>
                <pt idx="1">
                  <v>90.11</v>
                </pt>
                <pt idx="2">
                  <v>89.5</v>
                </pt>
                <pt idx="3">
                  <v>86.73999999999999</v>
                </pt>
                <pt idx="4">
                  <v>75.17</v>
                </pt>
                <pt idx="5">
                  <v>68.61</v>
                </pt>
                <pt idx="6">
                  <v>39.12</v>
                </pt>
                <pt idx="7">
                  <v>29.23000000000001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100</v>
                </pt>
                <pt idx="1">
                  <v>98.985</v>
                </pt>
                <pt idx="2">
                  <v>98.83</v>
                </pt>
                <pt idx="3">
                  <v>97.87</v>
                </pt>
                <pt idx="4">
                  <v>87.43000000000001</v>
                </pt>
                <pt idx="5">
                  <v>73.71000000000001</v>
                </pt>
                <pt idx="6">
                  <v>42.625</v>
                </pt>
                <pt idx="7">
                  <v>30.62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87.78999999999999</v>
                </pt>
                <pt idx="1">
                  <v>85.59999999999999</v>
                </pt>
                <pt idx="2">
                  <v>85.11</v>
                </pt>
                <pt idx="3">
                  <v>84.23999999999999</v>
                </pt>
                <pt idx="4">
                  <v>75.28999999999999</v>
                </pt>
                <pt idx="5">
                  <v>66.11</v>
                </pt>
                <pt idx="6">
                  <v>44.89</v>
                </pt>
                <pt idx="7">
                  <v>33.98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98.36</v>
                </pt>
                <pt idx="1">
                  <v>96.34999999999999</v>
                </pt>
                <pt idx="2">
                  <v>95.80500000000001</v>
                </pt>
                <pt idx="3">
                  <v>93.285</v>
                </pt>
                <pt idx="4">
                  <v>81.49000000000001</v>
                </pt>
                <pt idx="5">
                  <v>74.675</v>
                </pt>
                <pt idx="6">
                  <v>51.715</v>
                </pt>
                <pt idx="7">
                  <v>46.765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99.81</v>
                </pt>
                <pt idx="1">
                  <v>98.63</v>
                </pt>
                <pt idx="2">
                  <v>98.25</v>
                </pt>
                <pt idx="3">
                  <v>96.95999999999999</v>
                </pt>
                <pt idx="4">
                  <v>84.145</v>
                </pt>
                <pt idx="5">
                  <v>69.455</v>
                </pt>
                <pt idx="6">
                  <v>36.785</v>
                </pt>
                <pt idx="7">
                  <v>27.845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100</v>
                </pt>
                <pt idx="1">
                  <v>97.8</v>
                </pt>
                <pt idx="2">
                  <v>97.38</v>
                </pt>
                <pt idx="3">
                  <v>96.31</v>
                </pt>
                <pt idx="4">
                  <v>90.06</v>
                </pt>
                <pt idx="5">
                  <v>79.16</v>
                </pt>
                <pt idx="6">
                  <v>52.34999999999999</v>
                </pt>
                <pt idx="7">
                  <v>38.19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99.34999999999999</v>
                </pt>
                <pt idx="1">
                  <v>97.93000000000001</v>
                </pt>
                <pt idx="2">
                  <v>97.7</v>
                </pt>
                <pt idx="3">
                  <v>96.65000000000001</v>
                </pt>
                <pt idx="4">
                  <v>90.53999999999999</v>
                </pt>
                <pt idx="5">
                  <v>81.84</v>
                </pt>
                <pt idx="6">
                  <v>46.51000000000001</v>
                </pt>
                <pt idx="7">
                  <v>34.89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99.81999999999999</v>
                </pt>
                <pt idx="1">
                  <v>99.70999999999999</v>
                </pt>
                <pt idx="2">
                  <v>99.67</v>
                </pt>
                <pt idx="3">
                  <v>98.63</v>
                </pt>
                <pt idx="4">
                  <v>86.31</v>
                </pt>
                <pt idx="5">
                  <v>72.22999999999999</v>
                </pt>
                <pt idx="6">
                  <v>43.13</v>
                </pt>
                <pt idx="7">
                  <v>31.41999999999999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98.42</v>
                </pt>
                <pt idx="1">
                  <v>97.7</v>
                </pt>
                <pt idx="2">
                  <v>97.59999999999999</v>
                </pt>
                <pt idx="3">
                  <v>96.63500000000001</v>
                </pt>
                <pt idx="4">
                  <v>82.065</v>
                </pt>
                <pt idx="5">
                  <v>73.325</v>
                </pt>
                <pt idx="6">
                  <v>49.14</v>
                </pt>
                <pt idx="7">
                  <v>41.72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93.14</v>
                </pt>
                <pt idx="1">
                  <v>90.11</v>
                </pt>
                <pt idx="2">
                  <v>89.5</v>
                </pt>
                <pt idx="3">
                  <v>86.73999999999999</v>
                </pt>
                <pt idx="4">
                  <v>75.17</v>
                </pt>
                <pt idx="5">
                  <v>68.61</v>
                </pt>
                <pt idx="6">
                  <v>39.12</v>
                </pt>
                <pt idx="7">
                  <v>29.23000000000001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100</v>
                </pt>
                <pt idx="1">
                  <v>98.985</v>
                </pt>
                <pt idx="2">
                  <v>98.83</v>
                </pt>
                <pt idx="3">
                  <v>97.87</v>
                </pt>
                <pt idx="4">
                  <v>87.43000000000001</v>
                </pt>
                <pt idx="5">
                  <v>73.71000000000001</v>
                </pt>
                <pt idx="6">
                  <v>42.625</v>
                </pt>
                <pt idx="7">
                  <v>30.62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87.78999999999999</v>
                </pt>
                <pt idx="1">
                  <v>85.59999999999999</v>
                </pt>
                <pt idx="2">
                  <v>85.11</v>
                </pt>
                <pt idx="3">
                  <v>84.23999999999999</v>
                </pt>
                <pt idx="4">
                  <v>75.28999999999999</v>
                </pt>
                <pt idx="5">
                  <v>66.11</v>
                </pt>
                <pt idx="6">
                  <v>44.89</v>
                </pt>
                <pt idx="7">
                  <v>33.98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98.36</v>
                </pt>
                <pt idx="1">
                  <v>96.34999999999999</v>
                </pt>
                <pt idx="2">
                  <v>95.80500000000001</v>
                </pt>
                <pt idx="3">
                  <v>93.285</v>
                </pt>
                <pt idx="4">
                  <v>81.49000000000001</v>
                </pt>
                <pt idx="5">
                  <v>74.675</v>
                </pt>
                <pt idx="6">
                  <v>51.715</v>
                </pt>
                <pt idx="7">
                  <v>46.765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99.81</v>
                </pt>
                <pt idx="1">
                  <v>98.63</v>
                </pt>
                <pt idx="2">
                  <v>98.25</v>
                </pt>
                <pt idx="3">
                  <v>96.95999999999999</v>
                </pt>
                <pt idx="4">
                  <v>84.145</v>
                </pt>
                <pt idx="5">
                  <v>69.455</v>
                </pt>
                <pt idx="6">
                  <v>36.785</v>
                </pt>
                <pt idx="7">
                  <v>27.845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100</v>
                </pt>
                <pt idx="1">
                  <v>97.8</v>
                </pt>
                <pt idx="2">
                  <v>97.38</v>
                </pt>
                <pt idx="3">
                  <v>96.31</v>
                </pt>
                <pt idx="4">
                  <v>90.06</v>
                </pt>
                <pt idx="5">
                  <v>79.16</v>
                </pt>
                <pt idx="6">
                  <v>52.34999999999999</v>
                </pt>
                <pt idx="7">
                  <v>38.19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99.34999999999999</v>
                </pt>
                <pt idx="1">
                  <v>97.93000000000001</v>
                </pt>
                <pt idx="2">
                  <v>97.7</v>
                </pt>
                <pt idx="3">
                  <v>96.65000000000001</v>
                </pt>
                <pt idx="4">
                  <v>90.53999999999999</v>
                </pt>
                <pt idx="5">
                  <v>81.84</v>
                </pt>
                <pt idx="6">
                  <v>46.51000000000001</v>
                </pt>
                <pt idx="7">
                  <v>34.89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topLeftCell="N1" zoomScale="130" zoomScaleNormal="85" zoomScaleSheetLayoutView="130" zoomScalePageLayoutView="85" workbookViewId="0">
      <selection activeCell="R7" sqref="R7"/>
    </sheetView>
  </sheetViews>
  <sheetFormatPr baseColWidth="8" defaultColWidth="9" defaultRowHeight="14.4"/>
  <cols>
    <col width="6.5546875" customWidth="1" style="1" min="1" max="1"/>
    <col width="4.88671875" customWidth="1" style="1" min="2" max="2"/>
    <col width="5.5546875" customWidth="1" style="1" min="3" max="4"/>
    <col width="7.6640625" customWidth="1" style="1" min="5" max="5"/>
    <col width="7.6640625" customWidth="1" style="12" min="6" max="6"/>
    <col width="9.6640625" customWidth="1" style="1" min="7" max="7"/>
    <col width="11.33203125" customWidth="1" style="1" min="8" max="8"/>
    <col width="13" customWidth="1" style="1" min="9" max="9"/>
    <col width="7.6640625" customWidth="1" style="1" min="10" max="18"/>
    <col width="9" customWidth="1" style="1" min="19" max="16384"/>
  </cols>
  <sheetData>
    <row r="1" ht="25.2" customHeight="1" s="41">
      <c r="A1" s="59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6" t="inlineStr">
        <is>
          <t>Sample Type</t>
        </is>
      </c>
      <c r="F2" s="66" t="inlineStr">
        <is>
          <t>Depth</t>
        </is>
      </c>
      <c r="G2" s="66" t="inlineStr">
        <is>
          <t>Container No.</t>
        </is>
      </c>
      <c r="H2" s="66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56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56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9" t="inlineStr">
        <is>
          <t xml:space="preserve">Gravel </t>
        </is>
      </c>
      <c r="AB2" s="69" t="inlineStr">
        <is>
          <t>Sand</t>
        </is>
      </c>
      <c r="AC2" s="69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8" t="n">
        <v>4.75</v>
      </c>
      <c r="K3" s="3" t="n">
        <v>2</v>
      </c>
      <c r="L3" s="3" t="n">
        <v>1.18</v>
      </c>
      <c r="M3" s="97" t="n">
        <v>0.6</v>
      </c>
      <c r="N3" s="68" t="n">
        <v>0.425</v>
      </c>
      <c r="O3" s="97" t="n">
        <v>0.3</v>
      </c>
      <c r="P3" s="97" t="n">
        <v>0.15</v>
      </c>
      <c r="Q3" s="68" t="n">
        <v>0.075</v>
      </c>
      <c r="R3" s="68" t="inlineStr">
        <is>
          <t>Pan</t>
        </is>
      </c>
      <c r="S3" s="66" t="n">
        <v>4.75</v>
      </c>
      <c r="T3" s="6" t="n">
        <v>2</v>
      </c>
      <c r="U3" s="6" t="n">
        <v>1.18</v>
      </c>
      <c r="V3" s="98" t="n">
        <v>0.6</v>
      </c>
      <c r="W3" s="66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8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56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70" t="inlineStr">
        <is>
          <t>%</t>
        </is>
      </c>
      <c r="AB4" s="92" t="n"/>
      <c r="AC4" s="93" t="n"/>
    </row>
    <row r="5" ht="30" customHeight="1" s="41">
      <c r="A5" s="70" t="n">
        <v>1</v>
      </c>
      <c r="B5" s="57" t="inlineStr">
        <is>
          <t>RLBH-09</t>
        </is>
      </c>
      <c r="C5" s="57" t="n"/>
      <c r="D5" s="58" t="n"/>
      <c r="E5" s="48" t="inlineStr">
        <is>
          <t>SPT</t>
        </is>
      </c>
      <c r="F5" s="44" t="n">
        <v>0.5</v>
      </c>
      <c r="G5" s="48" t="inlineStr">
        <is>
          <t>A113</t>
        </is>
      </c>
      <c r="H5" s="58" t="n">
        <v>100</v>
      </c>
      <c r="I5" s="44">
        <f>H5-SUM(J5:Q5)</f>
        <v/>
      </c>
      <c r="J5" s="44" t="n">
        <v>0.18</v>
      </c>
      <c r="K5" s="44" t="n">
        <v>0.11</v>
      </c>
      <c r="L5" s="44" t="n">
        <v>0.04</v>
      </c>
      <c r="M5" s="44" t="n">
        <v>1.04</v>
      </c>
      <c r="N5" s="44" t="n">
        <v>12.32</v>
      </c>
      <c r="O5" s="44" t="n">
        <v>14.08</v>
      </c>
      <c r="P5" s="44" t="n">
        <v>29.1</v>
      </c>
      <c r="Q5" s="44" t="n">
        <v>11.71</v>
      </c>
      <c r="R5" s="45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0" t="n">
        <v>2</v>
      </c>
      <c r="B6" s="99" t="n"/>
      <c r="C6" s="99" t="n"/>
      <c r="D6" s="99" t="n"/>
      <c r="E6" s="48" t="inlineStr">
        <is>
          <t>UDS</t>
        </is>
      </c>
      <c r="F6" s="44" t="n">
        <v>1.5</v>
      </c>
      <c r="G6" s="48" t="inlineStr">
        <is>
          <t>A147</t>
        </is>
      </c>
      <c r="H6" s="58" t="n">
        <v>200</v>
      </c>
      <c r="I6" s="44">
        <f>H6-SUM(J6:Q6)</f>
        <v/>
      </c>
      <c r="J6" s="44" t="n">
        <v>3.16</v>
      </c>
      <c r="K6" s="44" t="n">
        <v>1.44</v>
      </c>
      <c r="L6" s="44" t="n">
        <v>0.2</v>
      </c>
      <c r="M6" s="44" t="n">
        <v>1.93</v>
      </c>
      <c r="N6" s="44" t="n">
        <v>29.14</v>
      </c>
      <c r="O6" s="44" t="n">
        <v>17.48</v>
      </c>
      <c r="P6" s="44" t="n">
        <v>48.37</v>
      </c>
      <c r="Q6" s="44" t="n">
        <v>14.84</v>
      </c>
      <c r="R6" s="45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0" t="n">
        <v>3</v>
      </c>
      <c r="B7" s="99" t="n"/>
      <c r="C7" s="99" t="n"/>
      <c r="D7" s="99" t="n"/>
      <c r="E7" s="48" t="inlineStr">
        <is>
          <t>SPT</t>
        </is>
      </c>
      <c r="F7" s="44" t="n">
        <v>3.5</v>
      </c>
      <c r="G7" s="48" t="inlineStr">
        <is>
          <t>A099</t>
        </is>
      </c>
      <c r="H7" s="58" t="n">
        <v>100</v>
      </c>
      <c r="I7" s="44">
        <f>H7-SUM(J7:Q7)</f>
        <v/>
      </c>
      <c r="J7" s="44" t="n">
        <v>6.86</v>
      </c>
      <c r="K7" s="44" t="n">
        <v>3.03</v>
      </c>
      <c r="L7" s="44" t="n">
        <v>0.61</v>
      </c>
      <c r="M7" s="44" t="n">
        <v>2.76</v>
      </c>
      <c r="N7" s="44" t="n">
        <v>11.57</v>
      </c>
      <c r="O7" s="44" t="n">
        <v>6.56</v>
      </c>
      <c r="P7" s="44" t="n">
        <v>29.49</v>
      </c>
      <c r="Q7" s="44" t="n">
        <v>9.890000000000001</v>
      </c>
      <c r="R7" s="45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0" t="n">
        <v>4</v>
      </c>
      <c r="B8" s="99" t="n"/>
      <c r="C8" s="99" t="n"/>
      <c r="D8" s="99" t="n"/>
      <c r="E8" s="48" t="inlineStr">
        <is>
          <t>UDS</t>
        </is>
      </c>
      <c r="F8" s="44" t="n">
        <v>4.5</v>
      </c>
      <c r="G8" s="48" t="inlineStr">
        <is>
          <t>A144</t>
        </is>
      </c>
      <c r="H8" s="58" t="n">
        <v>200</v>
      </c>
      <c r="I8" s="44">
        <f>H8-SUM(J8:Q8)</f>
        <v/>
      </c>
      <c r="J8" s="44" t="n">
        <v>0</v>
      </c>
      <c r="K8" s="44" t="n">
        <v>2.03</v>
      </c>
      <c r="L8" s="44" t="n">
        <v>0.31</v>
      </c>
      <c r="M8" s="44" t="n">
        <v>1.92</v>
      </c>
      <c r="N8" s="44" t="n">
        <v>20.88</v>
      </c>
      <c r="O8" s="44" t="n">
        <v>27.44</v>
      </c>
      <c r="P8" s="44" t="n">
        <v>62.17</v>
      </c>
      <c r="Q8" s="44" t="n">
        <v>24.01</v>
      </c>
      <c r="R8" s="45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0" t="n">
        <v>5</v>
      </c>
      <c r="B9" s="99" t="n"/>
      <c r="C9" s="99" t="n"/>
      <c r="D9" s="99" t="n"/>
      <c r="E9" s="48" t="inlineStr">
        <is>
          <t>SPT</t>
        </is>
      </c>
      <c r="F9" s="44" t="n">
        <v>6.5</v>
      </c>
      <c r="G9" s="48" t="inlineStr">
        <is>
          <t>A103</t>
        </is>
      </c>
      <c r="H9" s="58" t="n">
        <v>100</v>
      </c>
      <c r="I9" s="44">
        <f>H9-SUM(J9:Q9)</f>
        <v/>
      </c>
      <c r="J9" s="44" t="n">
        <v>12.21</v>
      </c>
      <c r="K9" s="44" t="n">
        <v>2.19</v>
      </c>
      <c r="L9" s="44" t="n">
        <v>0.49</v>
      </c>
      <c r="M9" s="44" t="n">
        <v>0.87</v>
      </c>
      <c r="N9" s="44" t="n">
        <v>8.949999999999999</v>
      </c>
      <c r="O9" s="44" t="n">
        <v>9.18</v>
      </c>
      <c r="P9" s="44" t="n">
        <v>21.22</v>
      </c>
      <c r="Q9" s="44" t="n">
        <v>10.91</v>
      </c>
      <c r="R9" s="45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3" t="n"/>
      <c r="B10" s="99" t="n"/>
      <c r="C10" s="99" t="n"/>
      <c r="D10" s="99" t="n"/>
      <c r="E10" s="48" t="inlineStr">
        <is>
          <t>UDS</t>
        </is>
      </c>
      <c r="F10" s="44" t="n">
        <v>7.5</v>
      </c>
      <c r="G10" s="48" t="inlineStr">
        <is>
          <t>A153</t>
        </is>
      </c>
      <c r="H10" s="58" t="n">
        <v>200</v>
      </c>
      <c r="I10" s="44">
        <f>H10-SUM(J10:Q10)</f>
        <v/>
      </c>
      <c r="J10" s="44" t="n">
        <v>3.28</v>
      </c>
      <c r="K10" s="44" t="n">
        <v>4.02</v>
      </c>
      <c r="L10" s="44" t="n">
        <v>1.09</v>
      </c>
      <c r="M10" s="44" t="n">
        <v>5.04</v>
      </c>
      <c r="N10" s="44" t="n">
        <v>23.59</v>
      </c>
      <c r="O10" s="44" t="n">
        <v>13.63</v>
      </c>
      <c r="P10" s="44" t="n">
        <v>45.92</v>
      </c>
      <c r="Q10" s="44" t="n">
        <v>9.9</v>
      </c>
      <c r="R10" s="45" t="n"/>
      <c r="S10" s="46">
        <f>((H10-(SUM(J10)))/H10)*100</f>
        <v/>
      </c>
      <c r="T10" s="46">
        <f>((H10-(SUM(J10:K10)))/H10)*100</f>
        <v/>
      </c>
      <c r="U10" s="46">
        <f>((H10-(SUM(J10:L10)))/H10)*100</f>
        <v/>
      </c>
      <c r="V10" s="46">
        <f>((H10-(SUM(J10:M10)))/H10)*100</f>
        <v/>
      </c>
      <c r="W10" s="46">
        <f>((H10-(SUM(J10:N10)))/H10)*100</f>
        <v/>
      </c>
      <c r="X10" s="46">
        <f>((H10-(SUM(J10:O10)))/H10)*100</f>
        <v/>
      </c>
      <c r="Y10" s="46">
        <f>((H10-(SUM(J10:P10)))/H10)*100</f>
        <v/>
      </c>
      <c r="Z10" s="46">
        <f>((H10-(SUM(J10:Q10)))/H10)*100</f>
        <v/>
      </c>
      <c r="AA10" s="46">
        <f>100-S10</f>
        <v/>
      </c>
      <c r="AB10" s="46">
        <f>S10-Z10</f>
        <v/>
      </c>
      <c r="AC10" s="46">
        <f>Z10</f>
        <v/>
      </c>
    </row>
    <row r="11" ht="30" customHeight="1" s="41">
      <c r="A11" s="70" t="n">
        <v>7</v>
      </c>
      <c r="B11" s="99" t="n"/>
      <c r="C11" s="99" t="n"/>
      <c r="D11" s="99" t="n"/>
      <c r="E11" s="48" t="inlineStr">
        <is>
          <t>UDS</t>
        </is>
      </c>
      <c r="F11" s="44" t="n">
        <v>10.5</v>
      </c>
      <c r="G11" s="48" t="inlineStr">
        <is>
          <t>A132</t>
        </is>
      </c>
      <c r="H11" s="58" t="n">
        <v>200</v>
      </c>
      <c r="I11" s="44">
        <f>H11-SUM(J11:Q11)</f>
        <v/>
      </c>
      <c r="J11" s="44" t="n">
        <v>0.38</v>
      </c>
      <c r="K11" s="44" t="n">
        <v>2.36</v>
      </c>
      <c r="L11" s="44" t="n">
        <v>0.76</v>
      </c>
      <c r="M11" s="44" t="n">
        <v>2.58</v>
      </c>
      <c r="N11" s="44" t="n">
        <v>25.63</v>
      </c>
      <c r="O11" s="44" t="n">
        <v>29.38</v>
      </c>
      <c r="P11" s="44" t="n">
        <v>65.34</v>
      </c>
      <c r="Q11" s="44" t="n">
        <v>17.88</v>
      </c>
      <c r="R11" s="45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70" t="n">
        <v>8</v>
      </c>
      <c r="B12" s="99" t="n"/>
      <c r="C12" s="99" t="n"/>
      <c r="D12" s="99" t="n"/>
      <c r="E12" s="48" t="inlineStr">
        <is>
          <t>SPT</t>
        </is>
      </c>
      <c r="F12" s="44" t="n">
        <v>13.5</v>
      </c>
      <c r="G12" s="48" t="inlineStr">
        <is>
          <t>A116</t>
        </is>
      </c>
      <c r="H12" s="58" t="n">
        <v>100</v>
      </c>
      <c r="I12" s="44">
        <f>H12-SUM(J12:Q12)</f>
        <v/>
      </c>
      <c r="J12" s="44" t="n">
        <v>0</v>
      </c>
      <c r="K12" s="44" t="n">
        <v>2.2</v>
      </c>
      <c r="L12" s="44" t="n">
        <v>0.42</v>
      </c>
      <c r="M12" s="44" t="n">
        <v>1.07</v>
      </c>
      <c r="N12" s="44" t="n">
        <v>6.25</v>
      </c>
      <c r="O12" s="44" t="n">
        <v>10.9</v>
      </c>
      <c r="P12" s="44" t="n">
        <v>26.81</v>
      </c>
      <c r="Q12" s="44" t="n">
        <v>14.16</v>
      </c>
      <c r="R12" s="45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70" t="n">
        <v>9</v>
      </c>
      <c r="B13" s="95" t="n"/>
      <c r="C13" s="95" t="n"/>
      <c r="D13" s="95" t="n"/>
      <c r="E13" s="48" t="inlineStr">
        <is>
          <t>SPT</t>
        </is>
      </c>
      <c r="F13" s="44" t="n">
        <v>15</v>
      </c>
      <c r="G13" s="48" t="inlineStr">
        <is>
          <t>A095</t>
        </is>
      </c>
      <c r="H13" s="58" t="n">
        <v>100</v>
      </c>
      <c r="I13" s="44">
        <f>H13-SUM(J13:Q13)</f>
        <v/>
      </c>
      <c r="J13" s="44" t="n">
        <v>0.65</v>
      </c>
      <c r="K13" s="44" t="n">
        <v>1.42</v>
      </c>
      <c r="L13" s="44" t="n">
        <v>0.23</v>
      </c>
      <c r="M13" s="44" t="n">
        <v>1.05</v>
      </c>
      <c r="N13" s="44" t="n">
        <v>6.11</v>
      </c>
      <c r="O13" s="44" t="n">
        <v>8.699999999999999</v>
      </c>
      <c r="P13" s="44" t="n">
        <v>35.33</v>
      </c>
      <c r="Q13" s="44" t="n">
        <v>11.62</v>
      </c>
      <c r="R13" s="45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AA2:AA3"/>
    <mergeCell ref="B2:B4"/>
    <mergeCell ref="AC2:AC3"/>
    <mergeCell ref="D2:D4"/>
    <mergeCell ref="C5:C13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topLeftCell="AI1" zoomScale="145" zoomScaleNormal="145" zoomScaleSheetLayoutView="145" workbookViewId="0">
      <selection activeCell="D21" sqref="D21"/>
    </sheetView>
  </sheetViews>
  <sheetFormatPr baseColWidth="8" defaultRowHeight="14.4"/>
  <cols>
    <col width="9.6640625" customWidth="1" style="41" min="5" max="12"/>
    <col width="9.6640625" bestFit="1" customWidth="1" style="41" min="13" max="36"/>
    <col width="9.6640625" bestFit="1" customWidth="1" style="41" min="39" max="49"/>
    <col width="10.554687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76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8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8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79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2" t="n">
        <v>1</v>
      </c>
      <c r="O2" s="72" t="n">
        <v>2</v>
      </c>
      <c r="P2" s="72" t="n">
        <v>4</v>
      </c>
      <c r="Q2" s="72" t="n">
        <v>8</v>
      </c>
      <c r="R2" s="72" t="n">
        <v>15</v>
      </c>
      <c r="S2" s="72" t="n">
        <v>30</v>
      </c>
      <c r="T2" s="72" t="n">
        <v>60</v>
      </c>
      <c r="U2" s="72" t="n">
        <v>120</v>
      </c>
      <c r="V2" s="72" t="n">
        <v>240</v>
      </c>
      <c r="W2" s="72" t="n">
        <v>480</v>
      </c>
      <c r="X2" s="72" t="n">
        <v>960</v>
      </c>
      <c r="Y2" s="72" t="n">
        <v>1440</v>
      </c>
      <c r="Z2" s="102" t="n">
        <v>0.5</v>
      </c>
      <c r="AA2" s="72" t="n">
        <v>1</v>
      </c>
      <c r="AB2" s="72" t="n">
        <v>2</v>
      </c>
      <c r="AC2" s="72" t="n">
        <v>4</v>
      </c>
      <c r="AD2" s="72" t="n">
        <v>8</v>
      </c>
      <c r="AE2" s="72" t="n">
        <v>15</v>
      </c>
      <c r="AF2" s="72" t="n">
        <v>30</v>
      </c>
      <c r="AG2" s="72" t="n">
        <v>60</v>
      </c>
      <c r="AH2" s="72" t="n">
        <v>120</v>
      </c>
      <c r="AI2" s="72" t="n">
        <v>240</v>
      </c>
      <c r="AJ2" s="72" t="n">
        <v>480</v>
      </c>
      <c r="AK2" s="72" t="n">
        <v>960</v>
      </c>
      <c r="AL2" s="72" t="n">
        <v>1440</v>
      </c>
      <c r="AM2" s="102" t="n">
        <v>0.5</v>
      </c>
      <c r="AN2" s="72" t="n">
        <v>1</v>
      </c>
      <c r="AO2" s="72" t="n">
        <v>2</v>
      </c>
      <c r="AP2" s="72" t="n">
        <v>4</v>
      </c>
      <c r="AQ2" s="72" t="n">
        <v>8</v>
      </c>
      <c r="AR2" s="72" t="n">
        <v>15</v>
      </c>
      <c r="AS2" s="72" t="n">
        <v>30</v>
      </c>
      <c r="AT2" s="72" t="n">
        <v>60</v>
      </c>
      <c r="AU2" s="72" t="n">
        <v>120</v>
      </c>
      <c r="AV2" s="72" t="n">
        <v>240</v>
      </c>
      <c r="AW2" s="72" t="n">
        <v>480</v>
      </c>
      <c r="AX2" s="72" t="n">
        <v>960</v>
      </c>
      <c r="AY2" s="72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82" t="inlineStr">
        <is>
          <t>-</t>
        </is>
      </c>
      <c r="E4" s="82" t="inlineStr">
        <is>
          <t>(°C)</t>
        </is>
      </c>
      <c r="F4" s="82" t="inlineStr">
        <is>
          <t>Poise</t>
        </is>
      </c>
      <c r="G4" s="82" t="inlineStr">
        <is>
          <t>-</t>
        </is>
      </c>
      <c r="H4" s="82" t="inlineStr">
        <is>
          <t>-</t>
        </is>
      </c>
      <c r="I4" s="76" t="inlineStr">
        <is>
          <t>-</t>
        </is>
      </c>
      <c r="J4" s="73" t="n"/>
      <c r="K4" s="73" t="inlineStr">
        <is>
          <t>-</t>
        </is>
      </c>
      <c r="L4" s="73" t="inlineStr">
        <is>
          <t>-</t>
        </is>
      </c>
      <c r="M4" s="76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76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76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 t="n">
        <v>0.008559421270000001</v>
      </c>
      <c r="G5" s="104" t="n">
        <v>2.66</v>
      </c>
      <c r="H5" s="35" t="n">
        <v>0.0005</v>
      </c>
      <c r="I5" s="35" t="n">
        <v>1</v>
      </c>
      <c r="J5" s="35" t="n">
        <v>1</v>
      </c>
      <c r="K5" s="36" t="n">
        <v>0</v>
      </c>
      <c r="L5" s="35" t="n">
        <v>0.3</v>
      </c>
      <c r="M5" s="104" t="n">
        <v>1.01</v>
      </c>
      <c r="N5" s="104" t="n">
        <v>1.01</v>
      </c>
      <c r="O5" s="104" t="n">
        <v>1.009</v>
      </c>
      <c r="P5" s="104" t="n">
        <v>1.009</v>
      </c>
      <c r="Q5" s="104" t="n">
        <v>1.008</v>
      </c>
      <c r="R5" s="104" t="n">
        <v>1.007</v>
      </c>
      <c r="S5" s="104" t="n">
        <v>1.007</v>
      </c>
      <c r="T5" s="104" t="n">
        <v>1.006</v>
      </c>
      <c r="U5" s="104" t="n">
        <v>1.006</v>
      </c>
      <c r="V5" s="104" t="n">
        <v>1.005</v>
      </c>
      <c r="W5" s="104" t="n">
        <v>1.004</v>
      </c>
      <c r="X5" s="104" t="n">
        <v>1.004</v>
      </c>
      <c r="Y5" s="104" t="n">
        <v>1.004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 t="n">
        <v>0.008559421270000001</v>
      </c>
      <c r="G6" s="104" t="n">
        <v>2.7</v>
      </c>
      <c r="H6" s="35" t="n">
        <v>0.0005</v>
      </c>
      <c r="I6" s="35" t="n">
        <v>1</v>
      </c>
      <c r="J6" s="35" t="n">
        <v>1</v>
      </c>
      <c r="K6" s="36" t="n">
        <v>0</v>
      </c>
      <c r="L6" s="35" t="n">
        <v>0.3</v>
      </c>
      <c r="M6" s="104" t="n">
        <v>1.013</v>
      </c>
      <c r="N6" s="104" t="n">
        <v>1.013</v>
      </c>
      <c r="O6" s="104" t="n">
        <v>1.013</v>
      </c>
      <c r="P6" s="104" t="n">
        <v>1.013</v>
      </c>
      <c r="Q6" s="104" t="n">
        <v>1.012</v>
      </c>
      <c r="R6" s="104" t="n">
        <v>1.012</v>
      </c>
      <c r="S6" s="104" t="n">
        <v>1.011</v>
      </c>
      <c r="T6" s="104" t="n">
        <v>1.011</v>
      </c>
      <c r="U6" s="104" t="n">
        <v>1.01</v>
      </c>
      <c r="V6" s="104" t="n">
        <v>1.01</v>
      </c>
      <c r="W6" s="104" t="n">
        <v>1.009</v>
      </c>
      <c r="X6" s="104" t="n">
        <v>1.009</v>
      </c>
      <c r="Y6" s="104" t="n">
        <v>1.009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 t="n">
        <v>0.008559421270000001</v>
      </c>
      <c r="G7" s="104" t="n">
        <v>2.68</v>
      </c>
      <c r="H7" s="35" t="n">
        <v>0.0005</v>
      </c>
      <c r="I7" s="35" t="n">
        <v>1</v>
      </c>
      <c r="J7" s="35" t="n">
        <v>1</v>
      </c>
      <c r="K7" s="36" t="n">
        <v>0</v>
      </c>
      <c r="L7" s="35" t="n">
        <v>0.3</v>
      </c>
      <c r="M7" s="104" t="n">
        <v>1.009</v>
      </c>
      <c r="N7" s="104" t="n">
        <v>1.009</v>
      </c>
      <c r="O7" s="104" t="n">
        <v>1.009</v>
      </c>
      <c r="P7" s="104" t="n">
        <v>1.008</v>
      </c>
      <c r="Q7" s="104" t="n">
        <v>1.008</v>
      </c>
      <c r="R7" s="104" t="n">
        <v>1.007</v>
      </c>
      <c r="S7" s="104" t="n">
        <v>1.007</v>
      </c>
      <c r="T7" s="104" t="n">
        <v>1.006</v>
      </c>
      <c r="U7" s="104" t="n">
        <v>1.006</v>
      </c>
      <c r="V7" s="104" t="n">
        <v>1.005</v>
      </c>
      <c r="W7" s="104" t="n">
        <v>1.004</v>
      </c>
      <c r="X7" s="104" t="n">
        <v>1.004</v>
      </c>
      <c r="Y7" s="104" t="n">
        <v>1.004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 t="n">
        <v>0.008559421270000001</v>
      </c>
      <c r="G8" s="104" t="n">
        <v>2.64</v>
      </c>
      <c r="H8" s="35" t="n">
        <v>0.0005</v>
      </c>
      <c r="I8" s="35" t="n">
        <v>1</v>
      </c>
      <c r="J8" s="35" t="n">
        <v>2</v>
      </c>
      <c r="K8" s="36" t="n">
        <v>0</v>
      </c>
      <c r="L8" s="35" t="n">
        <v>0.3</v>
      </c>
      <c r="M8" s="104" t="n">
        <v>1.01</v>
      </c>
      <c r="N8" s="104" t="n">
        <v>1.009</v>
      </c>
      <c r="O8" s="104" t="n">
        <v>1.009</v>
      </c>
      <c r="P8" s="104" t="n">
        <v>1.008</v>
      </c>
      <c r="Q8" s="104" t="n">
        <v>1.008</v>
      </c>
      <c r="R8" s="104" t="n">
        <v>1.007</v>
      </c>
      <c r="S8" s="104" t="n">
        <v>1.007</v>
      </c>
      <c r="T8" s="104" t="n">
        <v>1.006</v>
      </c>
      <c r="U8" s="104" t="n">
        <v>1.006</v>
      </c>
      <c r="V8" s="104" t="n">
        <v>1.005</v>
      </c>
      <c r="W8" s="104" t="n">
        <v>1.004</v>
      </c>
      <c r="X8" s="104" t="n">
        <v>1.004</v>
      </c>
      <c r="Y8" s="104" t="n">
        <v>1.004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 t="n">
        <v>0.008559421270000001</v>
      </c>
      <c r="G9" s="104" t="n">
        <v>2.67</v>
      </c>
      <c r="H9" s="35" t="n">
        <v>0.0005</v>
      </c>
      <c r="I9" s="35" t="n">
        <v>2</v>
      </c>
      <c r="J9" s="35" t="n">
        <v>2</v>
      </c>
      <c r="K9" s="36" t="n">
        <v>0</v>
      </c>
      <c r="L9" s="35" t="n">
        <v>0.3</v>
      </c>
      <c r="M9" s="104" t="n">
        <v>1.011</v>
      </c>
      <c r="N9" s="104" t="n">
        <v>1.01</v>
      </c>
      <c r="O9" s="104" t="n">
        <v>1.01</v>
      </c>
      <c r="P9" s="104" t="n">
        <v>1.009</v>
      </c>
      <c r="Q9" s="104" t="n">
        <v>1.009</v>
      </c>
      <c r="R9" s="104" t="n">
        <v>1.008</v>
      </c>
      <c r="S9" s="104" t="n">
        <v>1.008</v>
      </c>
      <c r="T9" s="104" t="n">
        <v>1.007</v>
      </c>
      <c r="U9" s="104" t="n">
        <v>1.006</v>
      </c>
      <c r="V9" s="104" t="n">
        <v>1.006</v>
      </c>
      <c r="W9" s="104" t="n">
        <v>1.005</v>
      </c>
      <c r="X9" s="104" t="n">
        <v>1.005</v>
      </c>
      <c r="Y9" s="104" t="n">
        <v>1.005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 t="n">
        <v>0.008559421270000001</v>
      </c>
      <c r="G10" s="104" t="n">
        <v>2.65</v>
      </c>
      <c r="H10" s="35" t="n">
        <v>0.0005</v>
      </c>
      <c r="I10" s="35" t="n">
        <v>2</v>
      </c>
      <c r="J10" s="35" t="n">
        <v>2</v>
      </c>
      <c r="K10" s="36" t="n">
        <v>0</v>
      </c>
      <c r="L10" s="35" t="n">
        <v>0.3</v>
      </c>
      <c r="M10" s="104" t="n">
        <v>1.015</v>
      </c>
      <c r="N10" s="104" t="n">
        <v>1.015</v>
      </c>
      <c r="O10" s="104" t="n">
        <v>1.014</v>
      </c>
      <c r="P10" s="104" t="n">
        <v>1.014</v>
      </c>
      <c r="Q10" s="104" t="n">
        <v>1.014</v>
      </c>
      <c r="R10" s="104" t="n">
        <v>1.013</v>
      </c>
      <c r="S10" s="104" t="n">
        <v>1.013</v>
      </c>
      <c r="T10" s="104" t="n">
        <v>1.012</v>
      </c>
      <c r="U10" s="104" t="n">
        <v>1.011</v>
      </c>
      <c r="V10" s="104" t="n">
        <v>1.01</v>
      </c>
      <c r="W10" s="104" t="n">
        <v>1.01</v>
      </c>
      <c r="X10" s="104" t="n">
        <v>1.009</v>
      </c>
      <c r="Y10" s="104" t="n">
        <v>1.009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 t="n">
        <v>0.008559421270000001</v>
      </c>
      <c r="G11" s="104" t="n">
        <v>2.69</v>
      </c>
      <c r="H11" s="35" t="n">
        <v>0.0005</v>
      </c>
      <c r="I11" s="35" t="n">
        <v>2</v>
      </c>
      <c r="J11" s="35" t="n">
        <v>1</v>
      </c>
      <c r="K11" s="36" t="n">
        <v>0</v>
      </c>
      <c r="L11" s="35" t="n">
        <v>0.3</v>
      </c>
      <c r="M11" s="104" t="n">
        <v>1.009</v>
      </c>
      <c r="N11" s="104" t="n">
        <v>1.009</v>
      </c>
      <c r="O11" s="104" t="n">
        <v>1.008</v>
      </c>
      <c r="P11" s="104" t="n">
        <v>1.008</v>
      </c>
      <c r="Q11" s="104" t="n">
        <v>1.007</v>
      </c>
      <c r="R11" s="104" t="n">
        <v>1.006</v>
      </c>
      <c r="S11" s="104" t="n">
        <v>1.006</v>
      </c>
      <c r="T11" s="104" t="n">
        <v>1.005</v>
      </c>
      <c r="U11" s="104" t="n">
        <v>1.005</v>
      </c>
      <c r="V11" s="104" t="n">
        <v>1.004</v>
      </c>
      <c r="W11" s="104" t="n">
        <v>1.003</v>
      </c>
      <c r="X11" s="104" t="n">
        <v>1.003</v>
      </c>
      <c r="Y11" s="104" t="n">
        <v>1.003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3" t="n">
        <v>0.008559421270000001</v>
      </c>
      <c r="G12" s="104" t="n">
        <v>2.66</v>
      </c>
      <c r="H12" s="35" t="n">
        <v>0.0005</v>
      </c>
      <c r="I12" s="35" t="n">
        <v>1</v>
      </c>
      <c r="J12" s="35" t="n">
        <v>1</v>
      </c>
      <c r="K12" s="36" t="n">
        <v>0</v>
      </c>
      <c r="L12" s="35" t="n">
        <v>0.3</v>
      </c>
      <c r="M12" s="104" t="n">
        <v>1.012</v>
      </c>
      <c r="N12" s="104" t="n">
        <v>1.011</v>
      </c>
      <c r="O12" s="104" t="n">
        <v>1.011</v>
      </c>
      <c r="P12" s="104" t="n">
        <v>1.01</v>
      </c>
      <c r="Q12" s="104" t="n">
        <v>1.01</v>
      </c>
      <c r="R12" s="104" t="n">
        <v>1.009</v>
      </c>
      <c r="S12" s="104" t="n">
        <v>1.008</v>
      </c>
      <c r="T12" s="104" t="n">
        <v>1.007</v>
      </c>
      <c r="U12" s="104" t="n">
        <v>1.007</v>
      </c>
      <c r="V12" s="104" t="n">
        <v>1.006</v>
      </c>
      <c r="W12" s="104" t="n">
        <v>1.005</v>
      </c>
      <c r="X12" s="104" t="n">
        <v>1.005</v>
      </c>
      <c r="Y12" s="104" t="n">
        <v>1.004</v>
      </c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3" t="n">
        <v>0.008559421270000001</v>
      </c>
      <c r="G13" s="104" t="n">
        <v>2.68</v>
      </c>
      <c r="H13" s="35" t="n">
        <v>0.0005</v>
      </c>
      <c r="I13" s="35" t="n">
        <v>1</v>
      </c>
      <c r="J13" s="35" t="n">
        <v>1</v>
      </c>
      <c r="K13" s="36" t="n">
        <v>0</v>
      </c>
      <c r="L13" s="35" t="n">
        <v>0.3</v>
      </c>
      <c r="M13" s="104" t="n">
        <v>1.011</v>
      </c>
      <c r="N13" s="104" t="n">
        <v>1.01</v>
      </c>
      <c r="O13" s="104" t="n">
        <v>1.01</v>
      </c>
      <c r="P13" s="104" t="n">
        <v>1.009</v>
      </c>
      <c r="Q13" s="104" t="n">
        <v>1.008</v>
      </c>
      <c r="R13" s="104" t="n">
        <v>1.008</v>
      </c>
      <c r="S13" s="104" t="n">
        <v>1.007</v>
      </c>
      <c r="T13" s="104" t="n">
        <v>1.006</v>
      </c>
      <c r="U13" s="104" t="n">
        <v>1.005</v>
      </c>
      <c r="V13" s="104" t="n">
        <v>1.005</v>
      </c>
      <c r="W13" s="104" t="n">
        <v>1.004</v>
      </c>
      <c r="X13" s="104" t="n">
        <v>1.003</v>
      </c>
      <c r="Y13" s="104" t="n">
        <v>1.003</v>
      </c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4.4"/>
  <sheetData>
    <row r="1" ht="28.8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4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4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4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4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4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4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4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4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4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4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4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4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4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4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4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4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4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4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4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4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4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4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4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4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4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4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4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4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4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4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4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4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4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4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4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4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4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4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4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4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AY4" zoomScale="130" zoomScaleNormal="130" workbookViewId="0">
      <selection activeCell="AH20" sqref="AH20"/>
    </sheetView>
  </sheetViews>
  <sheetFormatPr baseColWidth="8" defaultRowHeight="14.4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4">
      <c r="A3" s="54" t="n">
        <v>1</v>
      </c>
      <c r="B3" s="54">
        <f>GSD!B5</f>
        <v/>
      </c>
      <c r="C3" s="50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3">
        <f>GSD!S5</f>
        <v/>
      </c>
      <c r="Z3" s="53">
        <f>GSD!T5</f>
        <v/>
      </c>
      <c r="AA3" s="53">
        <f>GSD!U5</f>
        <v/>
      </c>
      <c r="AB3" s="53">
        <f>GSD!V5</f>
        <v/>
      </c>
      <c r="AC3" s="53">
        <f>GSD!W5</f>
        <v/>
      </c>
      <c r="AD3" s="53">
        <f>GSD!X5</f>
        <v/>
      </c>
      <c r="AE3" s="53">
        <f>GSD!Y5</f>
        <v/>
      </c>
      <c r="AF3" s="53">
        <f>GSD!Z5</f>
        <v/>
      </c>
      <c r="AG3" s="53">
        <f>HYD!AM5</f>
        <v/>
      </c>
      <c r="AH3" s="53">
        <f>HYD!AN5</f>
        <v/>
      </c>
      <c r="AI3" s="53">
        <f>HYD!AO5</f>
        <v/>
      </c>
      <c r="AJ3" s="53">
        <f>HYD!AP5</f>
        <v/>
      </c>
      <c r="AK3" s="53">
        <f>HYD!AQ5</f>
        <v/>
      </c>
      <c r="AL3" s="53">
        <f>HYD!AR5</f>
        <v/>
      </c>
      <c r="AM3" s="53">
        <f>HYD!AS5</f>
        <v/>
      </c>
      <c r="AN3" s="53">
        <f>HYD!AT5</f>
        <v/>
      </c>
      <c r="AO3" s="53">
        <f>HYD!AU5</f>
        <v/>
      </c>
      <c r="AP3" s="53">
        <f>HYD!AV5</f>
        <v/>
      </c>
      <c r="AQ3" s="53">
        <f>HYD!AW5</f>
        <v/>
      </c>
      <c r="AR3" s="53">
        <f>HYD!AX5</f>
        <v/>
      </c>
      <c r="AS3" s="53">
        <f>HYD!AY5</f>
        <v/>
      </c>
      <c r="AT3" s="53" t="n"/>
      <c r="AU3" s="53" t="n"/>
      <c r="AV3" s="53" t="n"/>
      <c r="AW3" s="53" t="n"/>
    </row>
    <row r="4" s="41">
      <c r="A4" s="54" t="n">
        <v>2</v>
      </c>
      <c r="B4" s="54">
        <f>B3</f>
        <v/>
      </c>
      <c r="C4" s="50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3">
        <f>GSD!S6</f>
        <v/>
      </c>
      <c r="Z4" s="53">
        <f>GSD!T6</f>
        <v/>
      </c>
      <c r="AA4" s="53">
        <f>GSD!U6</f>
        <v/>
      </c>
      <c r="AB4" s="53">
        <f>GSD!V6</f>
        <v/>
      </c>
      <c r="AC4" s="53">
        <f>GSD!W6</f>
        <v/>
      </c>
      <c r="AD4" s="53">
        <f>GSD!X6</f>
        <v/>
      </c>
      <c r="AE4" s="53">
        <f>GSD!Y6</f>
        <v/>
      </c>
      <c r="AF4" s="53">
        <f>GSD!Z6</f>
        <v/>
      </c>
      <c r="AG4" s="53">
        <f>HYD!AM6</f>
        <v/>
      </c>
      <c r="AH4" s="53">
        <f>HYD!AN6</f>
        <v/>
      </c>
      <c r="AI4" s="53">
        <f>HYD!AO6</f>
        <v/>
      </c>
      <c r="AJ4" s="53">
        <f>HYD!AP6</f>
        <v/>
      </c>
      <c r="AK4" s="53">
        <f>HYD!AQ6</f>
        <v/>
      </c>
      <c r="AL4" s="53">
        <f>HYD!AR6</f>
        <v/>
      </c>
      <c r="AM4" s="53">
        <f>HYD!AS6</f>
        <v/>
      </c>
      <c r="AN4" s="53">
        <f>HYD!AT6</f>
        <v/>
      </c>
      <c r="AO4" s="53">
        <f>HYD!AU6</f>
        <v/>
      </c>
      <c r="AP4" s="53">
        <f>HYD!AV6</f>
        <v/>
      </c>
      <c r="AQ4" s="53">
        <f>HYD!AW6</f>
        <v/>
      </c>
      <c r="AR4" s="53">
        <f>HYD!AX6</f>
        <v/>
      </c>
      <c r="AS4" s="53">
        <f>HYD!AY6</f>
        <v/>
      </c>
      <c r="AT4" s="53" t="n"/>
      <c r="AU4" s="53" t="n"/>
      <c r="AV4" s="53" t="n"/>
      <c r="AW4" s="53" t="n"/>
    </row>
    <row r="5" s="41">
      <c r="A5" s="54" t="n">
        <v>3</v>
      </c>
      <c r="B5" s="54">
        <f>B4</f>
        <v/>
      </c>
      <c r="C5" s="50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3">
        <f>GSD!S7</f>
        <v/>
      </c>
      <c r="Z5" s="53">
        <f>GSD!T7</f>
        <v/>
      </c>
      <c r="AA5" s="53">
        <f>GSD!U7</f>
        <v/>
      </c>
      <c r="AB5" s="53">
        <f>GSD!V7</f>
        <v/>
      </c>
      <c r="AC5" s="53">
        <f>GSD!W7</f>
        <v/>
      </c>
      <c r="AD5" s="53">
        <f>GSD!X7</f>
        <v/>
      </c>
      <c r="AE5" s="53">
        <f>GSD!Y7</f>
        <v/>
      </c>
      <c r="AF5" s="53">
        <f>GSD!Z7</f>
        <v/>
      </c>
      <c r="AG5" s="53">
        <f>HYD!AM7</f>
        <v/>
      </c>
      <c r="AH5" s="53">
        <f>HYD!AN7</f>
        <v/>
      </c>
      <c r="AI5" s="53">
        <f>HYD!AO7</f>
        <v/>
      </c>
      <c r="AJ5" s="53">
        <f>HYD!AP7</f>
        <v/>
      </c>
      <c r="AK5" s="53">
        <f>HYD!AQ7</f>
        <v/>
      </c>
      <c r="AL5" s="53">
        <f>HYD!AR7</f>
        <v/>
      </c>
      <c r="AM5" s="53">
        <f>HYD!AS7</f>
        <v/>
      </c>
      <c r="AN5" s="53">
        <f>HYD!AT7</f>
        <v/>
      </c>
      <c r="AO5" s="53">
        <f>HYD!AU7</f>
        <v/>
      </c>
      <c r="AP5" s="53">
        <f>HYD!AV7</f>
        <v/>
      </c>
      <c r="AQ5" s="53">
        <f>HYD!AW7</f>
        <v/>
      </c>
      <c r="AR5" s="53">
        <f>HYD!AX7</f>
        <v/>
      </c>
      <c r="AS5" s="53">
        <f>HYD!AY7</f>
        <v/>
      </c>
      <c r="AT5" s="53" t="n"/>
      <c r="AU5" s="53" t="n"/>
      <c r="AV5" s="53" t="n"/>
      <c r="AW5" s="53" t="n"/>
    </row>
    <row r="6" s="41">
      <c r="A6" s="54" t="n">
        <v>4</v>
      </c>
      <c r="B6" s="54">
        <f>B5</f>
        <v/>
      </c>
      <c r="C6" s="50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3">
        <f>GSD!S8</f>
        <v/>
      </c>
      <c r="Z6" s="53">
        <f>GSD!T8</f>
        <v/>
      </c>
      <c r="AA6" s="53">
        <f>GSD!U8</f>
        <v/>
      </c>
      <c r="AB6" s="53">
        <f>GSD!V8</f>
        <v/>
      </c>
      <c r="AC6" s="53">
        <f>GSD!W8</f>
        <v/>
      </c>
      <c r="AD6" s="53">
        <f>GSD!X8</f>
        <v/>
      </c>
      <c r="AE6" s="53">
        <f>GSD!Y8</f>
        <v/>
      </c>
      <c r="AF6" s="53">
        <f>GSD!Z8</f>
        <v/>
      </c>
      <c r="AG6" s="53">
        <f>HYD!AM8</f>
        <v/>
      </c>
      <c r="AH6" s="53">
        <f>HYD!AN8</f>
        <v/>
      </c>
      <c r="AI6" s="53">
        <f>HYD!AO8</f>
        <v/>
      </c>
      <c r="AJ6" s="53">
        <f>HYD!AP8</f>
        <v/>
      </c>
      <c r="AK6" s="53">
        <f>HYD!AQ8</f>
        <v/>
      </c>
      <c r="AL6" s="53">
        <f>HYD!AR8</f>
        <v/>
      </c>
      <c r="AM6" s="53">
        <f>HYD!AS8</f>
        <v/>
      </c>
      <c r="AN6" s="53">
        <f>HYD!AT8</f>
        <v/>
      </c>
      <c r="AO6" s="53">
        <f>HYD!AU8</f>
        <v/>
      </c>
      <c r="AP6" s="53">
        <f>HYD!AV8</f>
        <v/>
      </c>
      <c r="AQ6" s="53">
        <f>HYD!AW8</f>
        <v/>
      </c>
      <c r="AR6" s="53">
        <f>HYD!AX8</f>
        <v/>
      </c>
      <c r="AS6" s="53">
        <f>HYD!AY8</f>
        <v/>
      </c>
      <c r="AT6" s="53" t="n"/>
      <c r="AU6" s="53" t="n"/>
      <c r="AV6" s="53" t="n"/>
      <c r="AW6" s="53" t="n"/>
    </row>
    <row r="7" s="41">
      <c r="A7" s="54" t="n">
        <v>5</v>
      </c>
      <c r="B7" s="54">
        <f>B6</f>
        <v/>
      </c>
      <c r="C7" s="50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3">
        <f>GSD!S9</f>
        <v/>
      </c>
      <c r="Z7" s="53">
        <f>GSD!T9</f>
        <v/>
      </c>
      <c r="AA7" s="53">
        <f>GSD!U9</f>
        <v/>
      </c>
      <c r="AB7" s="53">
        <f>GSD!V9</f>
        <v/>
      </c>
      <c r="AC7" s="53">
        <f>GSD!W9</f>
        <v/>
      </c>
      <c r="AD7" s="53">
        <f>GSD!X9</f>
        <v/>
      </c>
      <c r="AE7" s="53">
        <f>GSD!Y9</f>
        <v/>
      </c>
      <c r="AF7" s="53">
        <f>GSD!Z9</f>
        <v/>
      </c>
      <c r="AG7" s="53">
        <f>HYD!AM9</f>
        <v/>
      </c>
      <c r="AH7" s="53">
        <f>HYD!AN9</f>
        <v/>
      </c>
      <c r="AI7" s="53">
        <f>HYD!AO9</f>
        <v/>
      </c>
      <c r="AJ7" s="53">
        <f>HYD!AP9</f>
        <v/>
      </c>
      <c r="AK7" s="53">
        <f>HYD!AQ9</f>
        <v/>
      </c>
      <c r="AL7" s="53">
        <f>HYD!AR9</f>
        <v/>
      </c>
      <c r="AM7" s="53">
        <f>HYD!AS9</f>
        <v/>
      </c>
      <c r="AN7" s="53">
        <f>HYD!AT9</f>
        <v/>
      </c>
      <c r="AO7" s="53">
        <f>HYD!AU9</f>
        <v/>
      </c>
      <c r="AP7" s="53">
        <f>HYD!AV9</f>
        <v/>
      </c>
      <c r="AQ7" s="53">
        <f>HYD!AW9</f>
        <v/>
      </c>
      <c r="AR7" s="53">
        <f>HYD!AX9</f>
        <v/>
      </c>
      <c r="AS7" s="53">
        <f>HYD!AY9</f>
        <v/>
      </c>
      <c r="AT7" s="53" t="n"/>
      <c r="AU7" s="53" t="n"/>
      <c r="AV7" s="53" t="n"/>
      <c r="AW7" s="53" t="n"/>
    </row>
    <row r="8" s="41">
      <c r="A8" s="54" t="n">
        <v>6</v>
      </c>
      <c r="B8" s="54">
        <f>B7</f>
        <v/>
      </c>
      <c r="C8" s="50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3">
        <f>GSD!S10</f>
        <v/>
      </c>
      <c r="Z8" s="53">
        <f>GSD!T10</f>
        <v/>
      </c>
      <c r="AA8" s="53">
        <f>GSD!U10</f>
        <v/>
      </c>
      <c r="AB8" s="53">
        <f>GSD!V10</f>
        <v/>
      </c>
      <c r="AC8" s="53">
        <f>GSD!W10</f>
        <v/>
      </c>
      <c r="AD8" s="53">
        <f>GSD!X10</f>
        <v/>
      </c>
      <c r="AE8" s="53">
        <f>GSD!Y10</f>
        <v/>
      </c>
      <c r="AF8" s="53">
        <f>GSD!Z10</f>
        <v/>
      </c>
      <c r="AG8" s="53">
        <f>HYD!AM10</f>
        <v/>
      </c>
      <c r="AH8" s="53">
        <f>HYD!AN10</f>
        <v/>
      </c>
      <c r="AI8" s="53">
        <f>HYD!AO10</f>
        <v/>
      </c>
      <c r="AJ8" s="53">
        <f>HYD!AP10</f>
        <v/>
      </c>
      <c r="AK8" s="53">
        <f>HYD!AQ10</f>
        <v/>
      </c>
      <c r="AL8" s="53">
        <f>HYD!AR10</f>
        <v/>
      </c>
      <c r="AM8" s="53">
        <f>HYD!AS10</f>
        <v/>
      </c>
      <c r="AN8" s="53">
        <f>HYD!AT10</f>
        <v/>
      </c>
      <c r="AO8" s="53">
        <f>HYD!AU10</f>
        <v/>
      </c>
      <c r="AP8" s="53">
        <f>HYD!AV10</f>
        <v/>
      </c>
      <c r="AQ8" s="53">
        <f>HYD!AW10</f>
        <v/>
      </c>
      <c r="AR8" s="53">
        <f>HYD!AX10</f>
        <v/>
      </c>
      <c r="AS8" s="53">
        <f>HYD!AY10</f>
        <v/>
      </c>
      <c r="AT8" s="53" t="n"/>
      <c r="AU8" s="53" t="n"/>
      <c r="AV8" s="53" t="n"/>
      <c r="AW8" s="53" t="n"/>
    </row>
    <row r="9" s="41">
      <c r="A9" s="54" t="n">
        <v>7</v>
      </c>
      <c r="B9" s="54">
        <f>B8</f>
        <v/>
      </c>
      <c r="C9" s="50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3">
        <f>GSD!S11</f>
        <v/>
      </c>
      <c r="Z9" s="53">
        <f>GSD!T11</f>
        <v/>
      </c>
      <c r="AA9" s="53">
        <f>GSD!U11</f>
        <v/>
      </c>
      <c r="AB9" s="53">
        <f>GSD!V11</f>
        <v/>
      </c>
      <c r="AC9" s="53">
        <f>GSD!W11</f>
        <v/>
      </c>
      <c r="AD9" s="53">
        <f>GSD!X11</f>
        <v/>
      </c>
      <c r="AE9" s="53">
        <f>GSD!Y11</f>
        <v/>
      </c>
      <c r="AF9" s="53">
        <f>GSD!Z11</f>
        <v/>
      </c>
      <c r="AG9" s="53">
        <f>HYD!AM11</f>
        <v/>
      </c>
      <c r="AH9" s="53">
        <f>HYD!AN11</f>
        <v/>
      </c>
      <c r="AI9" s="53">
        <f>HYD!AO11</f>
        <v/>
      </c>
      <c r="AJ9" s="53">
        <f>HYD!AP11</f>
        <v/>
      </c>
      <c r="AK9" s="53">
        <f>HYD!AQ11</f>
        <v/>
      </c>
      <c r="AL9" s="53">
        <f>HYD!AR11</f>
        <v/>
      </c>
      <c r="AM9" s="53">
        <f>HYD!AS11</f>
        <v/>
      </c>
      <c r="AN9" s="53">
        <f>HYD!AT11</f>
        <v/>
      </c>
      <c r="AO9" s="53">
        <f>HYD!AU11</f>
        <v/>
      </c>
      <c r="AP9" s="53">
        <f>HYD!AV11</f>
        <v/>
      </c>
      <c r="AQ9" s="53">
        <f>HYD!AW11</f>
        <v/>
      </c>
      <c r="AR9" s="53">
        <f>HYD!AX11</f>
        <v/>
      </c>
      <c r="AS9" s="53">
        <f>HYD!AY11</f>
        <v/>
      </c>
      <c r="AT9" s="55" t="n"/>
      <c r="AU9" s="55" t="n"/>
      <c r="AV9" s="55" t="n"/>
      <c r="AW9" s="55" t="n"/>
    </row>
    <row r="10" s="41">
      <c r="A10" s="54" t="n">
        <v>8</v>
      </c>
      <c r="B10" s="54">
        <f>B9</f>
        <v/>
      </c>
      <c r="C10" s="50">
        <f>GSD!F12</f>
        <v/>
      </c>
      <c r="D10" s="105" t="n">
        <v>4.75</v>
      </c>
      <c r="E10" s="105" t="n">
        <v>2</v>
      </c>
      <c r="F10" s="105" t="n">
        <v>1.18</v>
      </c>
      <c r="G10" s="105" t="n">
        <v>0.6</v>
      </c>
      <c r="H10" s="105" t="n">
        <v>0.425</v>
      </c>
      <c r="I10" s="105" t="n">
        <v>0.3</v>
      </c>
      <c r="J10" s="105" t="n">
        <v>0.15</v>
      </c>
      <c r="K10" s="105" t="n">
        <v>0.075</v>
      </c>
      <c r="L10" s="106">
        <f>HYD!Z12</f>
        <v/>
      </c>
      <c r="M10" s="106">
        <f>HYD!AA12</f>
        <v/>
      </c>
      <c r="N10" s="106">
        <f>HYD!AB12</f>
        <v/>
      </c>
      <c r="O10" s="106">
        <f>HYD!AC12</f>
        <v/>
      </c>
      <c r="P10" s="106">
        <f>HYD!AD12</f>
        <v/>
      </c>
      <c r="Q10" s="106">
        <f>HYD!AE12</f>
        <v/>
      </c>
      <c r="R10" s="106">
        <f>HYD!AF12</f>
        <v/>
      </c>
      <c r="S10" s="106">
        <f>HYD!AG12</f>
        <v/>
      </c>
      <c r="T10" s="106">
        <f>HYD!AH12</f>
        <v/>
      </c>
      <c r="U10" s="106">
        <f>HYD!AI12</f>
        <v/>
      </c>
      <c r="V10" s="106">
        <f>HYD!AJ12</f>
        <v/>
      </c>
      <c r="W10" s="106">
        <f>HYD!AK12</f>
        <v/>
      </c>
      <c r="X10" s="106">
        <f>HYD!AL12</f>
        <v/>
      </c>
      <c r="Y10" s="53">
        <f>GSD!S12</f>
        <v/>
      </c>
      <c r="Z10" s="53">
        <f>GSD!T12</f>
        <v/>
      </c>
      <c r="AA10" s="53">
        <f>GSD!U12</f>
        <v/>
      </c>
      <c r="AB10" s="53">
        <f>GSD!V12</f>
        <v/>
      </c>
      <c r="AC10" s="53">
        <f>GSD!W12</f>
        <v/>
      </c>
      <c r="AD10" s="53">
        <f>GSD!X12</f>
        <v/>
      </c>
      <c r="AE10" s="53">
        <f>GSD!Y12</f>
        <v/>
      </c>
      <c r="AF10" s="53">
        <f>GSD!Z12</f>
        <v/>
      </c>
      <c r="AG10" s="53">
        <f>HYD!AM12</f>
        <v/>
      </c>
      <c r="AH10" s="53">
        <f>HYD!AN12</f>
        <v/>
      </c>
      <c r="AI10" s="53">
        <f>HYD!AO12</f>
        <v/>
      </c>
      <c r="AJ10" s="53">
        <f>HYD!AP12</f>
        <v/>
      </c>
      <c r="AK10" s="53">
        <f>HYD!AQ12</f>
        <v/>
      </c>
      <c r="AL10" s="53">
        <f>HYD!AR12</f>
        <v/>
      </c>
      <c r="AM10" s="53">
        <f>HYD!AS12</f>
        <v/>
      </c>
      <c r="AN10" s="53">
        <f>HYD!AT12</f>
        <v/>
      </c>
      <c r="AO10" s="53">
        <f>HYD!AU12</f>
        <v/>
      </c>
      <c r="AP10" s="53">
        <f>HYD!AV12</f>
        <v/>
      </c>
      <c r="AQ10" s="53">
        <f>HYD!AW12</f>
        <v/>
      </c>
      <c r="AR10" s="53">
        <f>HYD!AX12</f>
        <v/>
      </c>
      <c r="AS10" s="53">
        <f>HYD!AY12</f>
        <v/>
      </c>
      <c r="AT10" s="55" t="n"/>
      <c r="AU10" s="55" t="n"/>
      <c r="AV10" s="55" t="n"/>
      <c r="AW10" s="55" t="n"/>
    </row>
    <row r="11" s="41">
      <c r="A11" s="54" t="n">
        <v>9</v>
      </c>
      <c r="B11" s="54">
        <f>B10</f>
        <v/>
      </c>
      <c r="C11" s="50">
        <f>GSD!F13</f>
        <v/>
      </c>
      <c r="D11" s="105" t="n">
        <v>4.75</v>
      </c>
      <c r="E11" s="105" t="n">
        <v>2</v>
      </c>
      <c r="F11" s="105" t="n">
        <v>1.18</v>
      </c>
      <c r="G11" s="105" t="n">
        <v>0.6</v>
      </c>
      <c r="H11" s="105" t="n">
        <v>0.425</v>
      </c>
      <c r="I11" s="105" t="n">
        <v>0.3</v>
      </c>
      <c r="J11" s="105" t="n">
        <v>0.15</v>
      </c>
      <c r="K11" s="105" t="n">
        <v>0.075</v>
      </c>
      <c r="L11" s="106">
        <f>HYD!Z13</f>
        <v/>
      </c>
      <c r="M11" s="106">
        <f>HYD!AA13</f>
        <v/>
      </c>
      <c r="N11" s="106">
        <f>HYD!AB13</f>
        <v/>
      </c>
      <c r="O11" s="106">
        <f>HYD!AC13</f>
        <v/>
      </c>
      <c r="P11" s="106">
        <f>HYD!AD13</f>
        <v/>
      </c>
      <c r="Q11" s="106">
        <f>HYD!AE13</f>
        <v/>
      </c>
      <c r="R11" s="106">
        <f>HYD!AF13</f>
        <v/>
      </c>
      <c r="S11" s="106">
        <f>HYD!AG13</f>
        <v/>
      </c>
      <c r="T11" s="106">
        <f>HYD!AH13</f>
        <v/>
      </c>
      <c r="U11" s="106">
        <f>HYD!AI13</f>
        <v/>
      </c>
      <c r="V11" s="106">
        <f>HYD!AJ13</f>
        <v/>
      </c>
      <c r="W11" s="106">
        <f>HYD!AK13</f>
        <v/>
      </c>
      <c r="X11" s="106">
        <f>HYD!AL13</f>
        <v/>
      </c>
      <c r="Y11" s="53">
        <f>GSD!S13</f>
        <v/>
      </c>
      <c r="Z11" s="53">
        <f>GSD!T13</f>
        <v/>
      </c>
      <c r="AA11" s="53">
        <f>GSD!U13</f>
        <v/>
      </c>
      <c r="AB11" s="53">
        <f>GSD!V13</f>
        <v/>
      </c>
      <c r="AC11" s="53">
        <f>GSD!W13</f>
        <v/>
      </c>
      <c r="AD11" s="53">
        <f>GSD!X13</f>
        <v/>
      </c>
      <c r="AE11" s="53">
        <f>GSD!Y13</f>
        <v/>
      </c>
      <c r="AF11" s="53">
        <f>GSD!Z13</f>
        <v/>
      </c>
      <c r="AG11" s="53">
        <f>HYD!AM13</f>
        <v/>
      </c>
      <c r="AH11" s="53">
        <f>HYD!AN13</f>
        <v/>
      </c>
      <c r="AI11" s="53">
        <f>HYD!AO13</f>
        <v/>
      </c>
      <c r="AJ11" s="53">
        <f>HYD!AP13</f>
        <v/>
      </c>
      <c r="AK11" s="53">
        <f>HYD!AQ13</f>
        <v/>
      </c>
      <c r="AL11" s="53">
        <f>HYD!AR13</f>
        <v/>
      </c>
      <c r="AM11" s="53">
        <f>HYD!AS13</f>
        <v/>
      </c>
      <c r="AN11" s="53">
        <f>HYD!AT13</f>
        <v/>
      </c>
      <c r="AO11" s="53">
        <f>HYD!AU13</f>
        <v/>
      </c>
      <c r="AP11" s="53">
        <f>HYD!AV13</f>
        <v/>
      </c>
      <c r="AQ11" s="53">
        <f>HYD!AW13</f>
        <v/>
      </c>
      <c r="AR11" s="53">
        <f>HYD!AX13</f>
        <v/>
      </c>
      <c r="AS11" s="53">
        <f>HYD!AY13</f>
        <v/>
      </c>
      <c r="AT11" s="55" t="n"/>
      <c r="AU11" s="55" t="n"/>
      <c r="AV11" s="55" t="n"/>
      <c r="AW11" s="55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2026-09-17T11:13:59Z</dcterms:modified>
  <cp:lastModifiedBy>baps</cp:lastModifiedBy>
</cp:coreProperties>
</file>