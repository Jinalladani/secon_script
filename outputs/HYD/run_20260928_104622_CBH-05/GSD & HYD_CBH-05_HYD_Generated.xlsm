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8920" yWindow="630" windowWidth="29040" windowHeight="157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'GSD'!$A$1:$Y$13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"/>
    <numFmt numFmtId="166" formatCode="0.000000"/>
    <numFmt numFmtId="167" formatCode="0.0000"/>
    <numFmt numFmtId="168" formatCode="0.0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94">
    <xf numFmtId="0" fontId="0" fillId="0" borderId="0" pivotButton="0" quotePrefix="0" xfId="0"/>
    <xf numFmtId="2" fontId="0" fillId="0" borderId="0" applyAlignment="1" pivotButton="0" quotePrefix="0" xfId="0">
      <alignment horizontal="center" vertical="center"/>
    </xf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2" fontId="0" fillId="2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 textRotation="90" wrapText="1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6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GSD!$Q$5:$V$5</f>
              <numCache>
                <formatCode>0.00</formatCode>
                <ptCount val="6"/>
                <pt idx="0">
                  <v>100</v>
                </pt>
                <pt idx="1">
                  <v>99.88</v>
                </pt>
                <pt idx="2">
                  <v>62.40000000000001</v>
                </pt>
                <pt idx="3">
                  <v>40.77000000000001</v>
                </pt>
                <pt idx="4">
                  <v>34.17000000000002</v>
                </pt>
                <pt idx="5">
                  <v>16.68000000000002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GSD!$Q$6:$V$6</f>
              <numCache>
                <formatCode>0.00</formatCode>
                <ptCount val="6"/>
                <pt idx="0">
                  <v>99.185</v>
                </pt>
                <pt idx="1">
                  <v>96.45</v>
                </pt>
                <pt idx="2">
                  <v>53.495</v>
                </pt>
                <pt idx="3">
                  <v>34.28</v>
                </pt>
                <pt idx="4">
                  <v>31.27500000000001</v>
                </pt>
                <pt idx="5">
                  <v>26.22500000000001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GSD!$Q$7:$V$7</f>
              <numCache>
                <formatCode>0.00</formatCode>
                <ptCount val="6"/>
                <pt idx="0">
                  <v>100</v>
                </pt>
                <pt idx="1">
                  <v>99.52</v>
                </pt>
                <pt idx="2">
                  <v>61.36000000000001</v>
                </pt>
                <pt idx="3">
                  <v>40.99000000000001</v>
                </pt>
                <pt idx="4">
                  <v>36.62000000000001</v>
                </pt>
                <pt idx="5">
                  <v>20.59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GSD!$Q$8:$V$8</f>
              <numCache>
                <formatCode>0.00</formatCode>
                <ptCount val="6"/>
                <pt idx="0">
                  <v>94.58</v>
                </pt>
                <pt idx="1">
                  <v>91.33</v>
                </pt>
                <pt idx="2">
                  <v>77.49000000000001</v>
                </pt>
                <pt idx="3">
                  <v>53.87</v>
                </pt>
                <pt idx="4">
                  <v>51.32000000000001</v>
                </pt>
                <pt idx="5">
                  <v>46.98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9.50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GSD!$Q$9:$V$9</f>
              <numCache>
                <formatCode>0.00</formatCode>
                <ptCount val="6"/>
                <pt idx="0">
                  <v>99.83</v>
                </pt>
                <pt idx="1">
                  <v>98.62</v>
                </pt>
                <pt idx="2">
                  <v>94.04000000000001</v>
                </pt>
                <pt idx="3">
                  <v>69.98999999999999</v>
                </pt>
                <pt idx="4">
                  <v>65.88</v>
                </pt>
                <pt idx="5">
                  <v>49.02999999999999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GSD!$Q$10:$V$10</f>
              <numCache>
                <formatCode>0.00</formatCode>
                <ptCount val="6"/>
                <pt idx="0">
                  <v>99.81</v>
                </pt>
                <pt idx="1">
                  <v>99.45</v>
                </pt>
                <pt idx="2">
                  <v>98.29000000000001</v>
                </pt>
                <pt idx="3">
                  <v>71.73999999999999</v>
                </pt>
                <pt idx="4">
                  <v>58.56</v>
                </pt>
                <pt idx="5">
                  <v>33.03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GSD!$Q$11:$V$11</f>
              <numCache>
                <formatCode>0.00</formatCode>
                <ptCount val="6"/>
                <pt idx="0">
                  <v>100</v>
                </pt>
                <pt idx="1">
                  <v>99.81999999999999</v>
                </pt>
                <pt idx="2">
                  <v>94.73999999999999</v>
                </pt>
                <pt idx="3">
                  <v>70.58</v>
                </pt>
                <pt idx="4">
                  <v>62.09</v>
                </pt>
                <pt idx="5">
                  <v>38.95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14.00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GSD!$Q$12:$V$12</f>
              <numCache>
                <formatCode>0.00</formatCode>
                <ptCount val="6"/>
                <pt idx="0">
                  <v>99.43000000000001</v>
                </pt>
                <pt idx="1">
                  <v>99.06</v>
                </pt>
                <pt idx="2">
                  <v>93.78</v>
                </pt>
                <pt idx="3">
                  <v>65.3</v>
                </pt>
                <pt idx="4">
                  <v>60.22</v>
                </pt>
                <pt idx="5">
                  <v>42.78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GSD!$Q$13:$V$13</f>
              <numCache>
                <formatCode>0.00</formatCode>
                <ptCount val="6"/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IN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65960434490084"/>
          <h val="0.603866277683614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8054208108062362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PLOT!$D$3:$I$3</f>
              <numCache>
                <formatCode>0.000</formatCode>
                <ptCount val="6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</numCache>
            </numRef>
          </xVal>
          <yVal>
            <numRef>
              <f>PLOT!$W$3:$AB$3</f>
              <numCache>
                <formatCode>0.00</formatCode>
                <ptCount val="6"/>
                <pt idx="0">
                  <v>100</v>
                </pt>
                <pt idx="1">
                  <v>99.88</v>
                </pt>
                <pt idx="2">
                  <v>62.40000000000001</v>
                </pt>
                <pt idx="3">
                  <v>40.77000000000001</v>
                </pt>
                <pt idx="4">
                  <v>34.17000000000002</v>
                </pt>
                <pt idx="5">
                  <v>16.68000000000002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PLOT!$D$4:$V$4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PLOT!$W$4:$AO$4</f>
              <numCache>
                <formatCode>0.00</formatCode>
                <ptCount val="19"/>
                <pt idx="0">
                  <v>99.185</v>
                </pt>
                <pt idx="1">
                  <v>96.45</v>
                </pt>
                <pt idx="2">
                  <v>53.495</v>
                </pt>
                <pt idx="3">
                  <v>34.28</v>
                </pt>
                <pt idx="4">
                  <v>31.27500000000001</v>
                </pt>
                <pt idx="5">
                  <v>26.22500000000001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PLOT!$D$5:$V$5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PLOT!$W$5:$AO$5</f>
              <numCache>
                <formatCode>0.00</formatCode>
                <ptCount val="19"/>
                <pt idx="0">
                  <v>100</v>
                </pt>
                <pt idx="1">
                  <v>99.52</v>
                </pt>
                <pt idx="2">
                  <v>61.36000000000001</v>
                </pt>
                <pt idx="3">
                  <v>40.99000000000001</v>
                </pt>
                <pt idx="4">
                  <v>36.62000000000001</v>
                </pt>
                <pt idx="5">
                  <v>20.59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PLOT!$D$6:$V$6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PLOT!$W$6:$AO$6</f>
              <numCache>
                <formatCode>0.00</formatCode>
                <ptCount val="19"/>
                <pt idx="0">
                  <v>94.58</v>
                </pt>
                <pt idx="1">
                  <v>91.33</v>
                </pt>
                <pt idx="2">
                  <v>77.49000000000001</v>
                </pt>
                <pt idx="3">
                  <v>53.87</v>
                </pt>
                <pt idx="4">
                  <v>51.32000000000001</v>
                </pt>
                <pt idx="5">
                  <v>46.98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9.50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PLOT!$D$7:$V$7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PLOT!$W$7:$AO$7</f>
              <numCache>
                <formatCode>0.00</formatCode>
                <ptCount val="19"/>
                <pt idx="0">
                  <v>99.83</v>
                </pt>
                <pt idx="1">
                  <v>98.62</v>
                </pt>
                <pt idx="2">
                  <v>94.04000000000001</v>
                </pt>
                <pt idx="3">
                  <v>69.98999999999999</v>
                </pt>
                <pt idx="4">
                  <v>65.88</v>
                </pt>
                <pt idx="5">
                  <v>49.02999999999999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PLOT!$D$8:$V$8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PLOT!$W$8:$AO$8</f>
              <numCache>
                <formatCode>0.00</formatCode>
                <ptCount val="19"/>
                <pt idx="0">
                  <v>99.81</v>
                </pt>
                <pt idx="1">
                  <v>99.45</v>
                </pt>
                <pt idx="2">
                  <v>98.29000000000001</v>
                </pt>
                <pt idx="3">
                  <v>71.73999999999999</v>
                </pt>
                <pt idx="4">
                  <v>58.56</v>
                </pt>
                <pt idx="5">
                  <v>33.03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PLOT!$D$9:$V$9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PLOT!$W$9:$AO$9</f>
              <numCache>
                <formatCode>0.00</formatCode>
                <ptCount val="19"/>
                <pt idx="0">
                  <v>100</v>
                </pt>
                <pt idx="1">
                  <v>99.81999999999999</v>
                </pt>
                <pt idx="2">
                  <v>94.73999999999999</v>
                </pt>
                <pt idx="3">
                  <v>70.58</v>
                </pt>
                <pt idx="4">
                  <v>62.09</v>
                </pt>
                <pt idx="5">
                  <v>38.95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14.00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PLOT!$D$10:$V$10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PLOT!$W$10:$AO$10</f>
              <numCache>
                <formatCode>0.00</formatCode>
                <ptCount val="19"/>
                <pt idx="0">
                  <v>99.43000000000001</v>
                </pt>
                <pt idx="1">
                  <v>99.06</v>
                </pt>
                <pt idx="2">
                  <v>93.78</v>
                </pt>
                <pt idx="3">
                  <v>65.3</v>
                </pt>
                <pt idx="4">
                  <v>60.22</v>
                </pt>
                <pt idx="5">
                  <v>42.78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0.00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PLOT!$D$11:$V$11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PLOT!$W$11:$AO$11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PLOT!$C$12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PLOT!$D$12:$V$12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PLOT!$W$12:$AO$12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PLOT!$C$13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PLOT!$D$13:$V$13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PLOT!$W$13:$AO$13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PLOT!$C$14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PLOT!$D$14:$V$14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PLOT!$W$14:$AO$14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IN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1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09595480338155933"/>
          <y val="0.08478538040950845"/>
          <w val="0.210562553251287"/>
          <h val="0.33097986862992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25</col>
      <colOff>424253</colOff>
      <row>3</row>
      <rowOff>224960</rowOff>
    </from>
    <to>
      <col>40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45</col>
      <colOff>174253</colOff>
      <row>0</row>
      <rowOff>173129</rowOff>
    </from>
    <to>
      <col>56</col>
      <colOff>342900</colOff>
      <row>32</row>
      <rowOff>149087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Y13"/>
  <sheetViews>
    <sheetView tabSelected="1" workbookViewId="0">
      <selection activeCell="O12" sqref="O12"/>
    </sheetView>
  </sheetViews>
  <sheetFormatPr baseColWidth="8" defaultColWidth="9" defaultRowHeight="14.4"/>
  <cols>
    <col width="6.5546875" customWidth="1" style="2" min="1" max="1"/>
    <col width="4.88671875" customWidth="1" style="2" min="2" max="2"/>
    <col width="5.5546875" customWidth="1" style="2" min="3" max="4"/>
    <col width="7.6640625" customWidth="1" style="2" min="5" max="5"/>
    <col width="7.6640625" customWidth="1" style="12" min="6" max="6"/>
    <col width="9.6640625" customWidth="1" style="2" min="7" max="7"/>
    <col width="11.33203125" customWidth="1" style="2" min="8" max="8"/>
    <col width="13" customWidth="1" style="2" min="9" max="9"/>
    <col width="7.6640625" customWidth="1" style="2" min="10" max="16"/>
    <col width="9" customWidth="1" style="2" min="17" max="16384"/>
  </cols>
  <sheetData>
    <row r="1" ht="25.2" customHeight="1">
      <c r="A1" s="44" t="inlineStr">
        <is>
          <t>Grain Size Analysis (Sieve Analysis)</t>
        </is>
      </c>
      <c r="B1" s="73" t="n"/>
      <c r="C1" s="73" t="n"/>
      <c r="D1" s="73" t="n"/>
      <c r="E1" s="73" t="n"/>
      <c r="F1" s="73" t="n"/>
      <c r="G1" s="73" t="n"/>
      <c r="H1" s="73" t="n"/>
      <c r="I1" s="73" t="n"/>
      <c r="J1" s="73" t="n"/>
      <c r="K1" s="73" t="n"/>
      <c r="L1" s="73" t="n"/>
      <c r="M1" s="73" t="n"/>
      <c r="N1" s="73" t="n"/>
      <c r="O1" s="73" t="n"/>
      <c r="P1" s="73" t="n"/>
      <c r="Q1" s="73" t="n"/>
      <c r="R1" s="73" t="n"/>
      <c r="S1" s="73" t="n"/>
      <c r="T1" s="73" t="n"/>
      <c r="U1" s="73" t="n"/>
      <c r="V1" s="73" t="n"/>
      <c r="W1" s="73" t="n"/>
      <c r="X1" s="73" t="n"/>
      <c r="Y1" s="73" t="n"/>
    </row>
    <row r="2" ht="24.6" customHeight="1">
      <c r="A2" s="74" t="inlineStr">
        <is>
          <t>Sr No.</t>
        </is>
      </c>
      <c r="B2" s="75" t="inlineStr">
        <is>
          <t>BH ID</t>
        </is>
      </c>
      <c r="C2" s="75" t="inlineStr">
        <is>
          <t>Chainage</t>
        </is>
      </c>
      <c r="D2" s="75" t="inlineStr">
        <is>
          <t>Sample ID</t>
        </is>
      </c>
      <c r="E2" s="51" t="inlineStr">
        <is>
          <t>Sample Type</t>
        </is>
      </c>
      <c r="F2" s="51" t="inlineStr">
        <is>
          <t>Depth</t>
        </is>
      </c>
      <c r="G2" s="51" t="inlineStr">
        <is>
          <t>Container No.</t>
        </is>
      </c>
      <c r="H2" s="51" t="inlineStr">
        <is>
          <t>Weight of Sample taken for Sieve Analysis</t>
        </is>
      </c>
      <c r="I2" s="76" t="inlineStr">
        <is>
          <t>Weight of Sample Remain after washing through 75µ sieve</t>
        </is>
      </c>
      <c r="J2" s="40" t="inlineStr">
        <is>
          <t>Weight Retained on IS Sieve</t>
        </is>
      </c>
      <c r="K2" s="77" t="n"/>
      <c r="L2" s="77" t="n"/>
      <c r="M2" s="77" t="n"/>
      <c r="N2" s="77" t="n"/>
      <c r="O2" s="77" t="n"/>
      <c r="P2" s="78" t="n"/>
      <c r="Q2" s="40" t="inlineStr">
        <is>
          <t>% Passing</t>
        </is>
      </c>
      <c r="R2" s="77" t="n"/>
      <c r="S2" s="77" t="n"/>
      <c r="T2" s="77" t="n"/>
      <c r="U2" s="77" t="n"/>
      <c r="V2" s="78" t="n"/>
      <c r="W2" s="54" t="inlineStr">
        <is>
          <t xml:space="preserve">Gravel </t>
        </is>
      </c>
      <c r="X2" s="54" t="inlineStr">
        <is>
          <t>Sand</t>
        </is>
      </c>
      <c r="Y2" s="54" t="inlineStr">
        <is>
          <t>Fines</t>
        </is>
      </c>
    </row>
    <row r="3" ht="40.5" customHeight="1">
      <c r="A3" s="79" t="n"/>
      <c r="B3" s="79" t="n"/>
      <c r="C3" s="79" t="n"/>
      <c r="D3" s="79" t="n"/>
      <c r="E3" s="80" t="n"/>
      <c r="F3" s="80" t="n"/>
      <c r="G3" s="80" t="n"/>
      <c r="H3" s="80" t="n"/>
      <c r="I3" s="81" t="n"/>
      <c r="J3" s="53" t="n">
        <v>4.75</v>
      </c>
      <c r="K3" s="4" t="n">
        <v>2</v>
      </c>
      <c r="L3" s="82" t="n">
        <v>0.425</v>
      </c>
      <c r="M3" s="82" t="n">
        <v>0.212</v>
      </c>
      <c r="N3" s="82" t="n">
        <v>0.15</v>
      </c>
      <c r="O3" s="82" t="n">
        <v>0.075</v>
      </c>
      <c r="P3" s="53" t="inlineStr">
        <is>
          <t>Pan</t>
        </is>
      </c>
      <c r="Q3" s="51" t="n">
        <v>4.75</v>
      </c>
      <c r="R3" s="7" t="n">
        <v>2</v>
      </c>
      <c r="S3" s="83" t="n">
        <v>0.425</v>
      </c>
      <c r="T3" s="83" t="n">
        <v>0.212</v>
      </c>
      <c r="U3" s="83" t="n">
        <v>0.15</v>
      </c>
      <c r="V3" s="83" t="n">
        <v>0.075</v>
      </c>
      <c r="W3" s="80" t="n"/>
      <c r="X3" s="80" t="n"/>
      <c r="Y3" s="80" t="n"/>
    </row>
    <row r="4" ht="21.6" customHeight="1">
      <c r="A4" s="81" t="n"/>
      <c r="B4" s="81" t="n"/>
      <c r="C4" s="81" t="n"/>
      <c r="D4" s="81" t="n"/>
      <c r="E4" s="53" t="inlineStr">
        <is>
          <t>-</t>
        </is>
      </c>
      <c r="F4" s="40" t="inlineStr">
        <is>
          <t>(m)</t>
        </is>
      </c>
      <c r="G4" s="40" t="inlineStr">
        <is>
          <t>-</t>
        </is>
      </c>
      <c r="H4" s="40" t="inlineStr">
        <is>
          <t>(gm)</t>
        </is>
      </c>
      <c r="I4" s="40" t="inlineStr">
        <is>
          <t>(gm)</t>
        </is>
      </c>
      <c r="J4" s="40" t="inlineStr">
        <is>
          <t>(gm)</t>
        </is>
      </c>
      <c r="K4" s="77" t="n"/>
      <c r="L4" s="77" t="n"/>
      <c r="M4" s="77" t="n"/>
      <c r="N4" s="77" t="n"/>
      <c r="O4" s="77" t="n"/>
      <c r="P4" s="78" t="n"/>
      <c r="Q4" s="40" t="inlineStr">
        <is>
          <t>(gm)</t>
        </is>
      </c>
      <c r="R4" s="77" t="n"/>
      <c r="S4" s="77" t="n"/>
      <c r="T4" s="77" t="n"/>
      <c r="U4" s="77" t="n"/>
      <c r="V4" s="78" t="n"/>
      <c r="W4" s="55" t="inlineStr">
        <is>
          <t>%</t>
        </is>
      </c>
      <c r="X4" s="77" t="n"/>
      <c r="Y4" s="78" t="n"/>
    </row>
    <row r="5" ht="30" customHeight="1">
      <c r="A5" s="55" t="n">
        <v>1</v>
      </c>
      <c r="B5" s="41" t="inlineStr">
        <is>
          <t>CBH-05</t>
        </is>
      </c>
      <c r="C5" s="42" t="n"/>
      <c r="D5" s="43" t="n"/>
      <c r="E5" s="43" t="inlineStr">
        <is>
          <t>SPT</t>
        </is>
      </c>
      <c r="F5" s="25" t="n">
        <v>0.5</v>
      </c>
      <c r="G5" s="43" t="n"/>
      <c r="H5" s="43" t="n">
        <v>100</v>
      </c>
      <c r="I5" s="25">
        <f>SUM(J5:O5)</f>
        <v/>
      </c>
      <c r="J5" s="25" t="n">
        <v>0</v>
      </c>
      <c r="K5" s="25" t="n">
        <v>0.12</v>
      </c>
      <c r="L5" s="25" t="n">
        <v>37.48</v>
      </c>
      <c r="M5" s="25" t="n">
        <v>21.63</v>
      </c>
      <c r="N5" s="25" t="n">
        <v>6.6</v>
      </c>
      <c r="O5" s="25" t="n">
        <v>17.49</v>
      </c>
      <c r="P5" s="25" t="n"/>
      <c r="Q5" s="11">
        <f>((H5-(SUM(J5)))/H5)*100</f>
        <v/>
      </c>
      <c r="R5" s="11">
        <f>((H5-(SUM(J5:K5)))/H5)*100</f>
        <v/>
      </c>
      <c r="S5" s="11">
        <f>((H5-(SUM(J5:L5)))/H5)*100</f>
        <v/>
      </c>
      <c r="T5" s="11">
        <f>((H5-(SUM(J5:M5)))/H5)*100</f>
        <v/>
      </c>
      <c r="U5" s="11">
        <f>((H5-(SUM(J5:N5)))/H5)*100</f>
        <v/>
      </c>
      <c r="V5" s="11">
        <f>((H5-(SUM(J5:O5)))/H5)*100</f>
        <v/>
      </c>
      <c r="W5" s="11">
        <f>100-Q5</f>
        <v/>
      </c>
      <c r="X5" s="11">
        <f>Q5-V5</f>
        <v/>
      </c>
      <c r="Y5" s="11">
        <f>V5</f>
        <v/>
      </c>
    </row>
    <row r="6" ht="30" customHeight="1">
      <c r="A6" s="55" t="n">
        <v>2</v>
      </c>
      <c r="B6" s="84" t="n"/>
      <c r="C6" s="84" t="n"/>
      <c r="D6" s="84" t="n"/>
      <c r="E6" s="43" t="inlineStr">
        <is>
          <t>UDS</t>
        </is>
      </c>
      <c r="F6" s="25" t="n">
        <v>1.5</v>
      </c>
      <c r="G6" s="43" t="n"/>
      <c r="H6" s="43" t="n">
        <v>200</v>
      </c>
      <c r="I6" s="25">
        <f>SUM(J6:O6)</f>
        <v/>
      </c>
      <c r="J6" s="25" t="n">
        <v>1.63</v>
      </c>
      <c r="K6" s="25" t="n">
        <v>5.47</v>
      </c>
      <c r="L6" s="25" t="n">
        <v>85.91</v>
      </c>
      <c r="M6" s="25" t="n">
        <v>38.43</v>
      </c>
      <c r="N6" s="25" t="n">
        <v>6.01</v>
      </c>
      <c r="O6" s="25" t="n">
        <v>10.1</v>
      </c>
      <c r="P6" s="25" t="n"/>
      <c r="Q6" s="11">
        <f>((H6-(SUM(J6)))/H6)*100</f>
        <v/>
      </c>
      <c r="R6" s="11">
        <f>((H6-(SUM(J6:K6)))/H6)*100</f>
        <v/>
      </c>
      <c r="S6" s="11">
        <f>((H6-(SUM(J6:L6)))/H6)*100</f>
        <v/>
      </c>
      <c r="T6" s="11">
        <f>((H6-(SUM(J6:M6)))/H6)*100</f>
        <v/>
      </c>
      <c r="U6" s="11">
        <f>((H6-(SUM(J6:N6)))/H6)*100</f>
        <v/>
      </c>
      <c r="V6" s="11">
        <f>((H6-(SUM(J6:O6)))/H6)*100</f>
        <v/>
      </c>
      <c r="W6" s="11">
        <f>100-Q6</f>
        <v/>
      </c>
      <c r="X6" s="11">
        <f>Q6-V6</f>
        <v/>
      </c>
      <c r="Y6" s="11">
        <f>V6</f>
        <v/>
      </c>
    </row>
    <row r="7" ht="30" customHeight="1">
      <c r="A7" s="55" t="n">
        <v>3</v>
      </c>
      <c r="B7" s="84" t="n"/>
      <c r="C7" s="84" t="n"/>
      <c r="D7" s="84" t="n"/>
      <c r="E7" s="43" t="inlineStr">
        <is>
          <t>SPT</t>
        </is>
      </c>
      <c r="F7" s="25" t="n">
        <v>3.5</v>
      </c>
      <c r="G7" s="43" t="n"/>
      <c r="H7" s="43" t="n">
        <v>100</v>
      </c>
      <c r="I7" s="25">
        <f>SUM(J7:O7)</f>
        <v/>
      </c>
      <c r="J7" s="25" t="n">
        <v>0</v>
      </c>
      <c r="K7" s="25" t="n">
        <v>0.48</v>
      </c>
      <c r="L7" s="25" t="n">
        <v>38.16</v>
      </c>
      <c r="M7" s="25" t="n">
        <v>20.37</v>
      </c>
      <c r="N7" s="25" t="n">
        <v>4.37</v>
      </c>
      <c r="O7" s="25" t="n">
        <v>16.03</v>
      </c>
      <c r="P7" s="25" t="n"/>
      <c r="Q7" s="11">
        <f>((H7-(SUM(J7)))/H7)*100</f>
        <v/>
      </c>
      <c r="R7" s="11">
        <f>((H7-(SUM(J7:K7)))/H7)*100</f>
        <v/>
      </c>
      <c r="S7" s="11">
        <f>((H7-(SUM(J7:L7)))/H7)*100</f>
        <v/>
      </c>
      <c r="T7" s="11">
        <f>((H7-(SUM(J7:M7)))/H7)*100</f>
        <v/>
      </c>
      <c r="U7" s="11">
        <f>((H7-(SUM(J7:N7)))/H7)*100</f>
        <v/>
      </c>
      <c r="V7" s="11">
        <f>((H7-(SUM(J7:O7)))/H7)*100</f>
        <v/>
      </c>
      <c r="W7" s="11">
        <f>100-Q7</f>
        <v/>
      </c>
      <c r="X7" s="11">
        <f>Q7-V7</f>
        <v/>
      </c>
      <c r="Y7" s="11">
        <f>V7</f>
        <v/>
      </c>
    </row>
    <row r="8" ht="30" customHeight="1">
      <c r="A8" s="55" t="n">
        <v>4</v>
      </c>
      <c r="B8" s="84" t="n"/>
      <c r="C8" s="84" t="n"/>
      <c r="D8" s="84" t="n"/>
      <c r="E8" s="43" t="inlineStr">
        <is>
          <t>SPT</t>
        </is>
      </c>
      <c r="F8" s="25" t="n">
        <v>7.5</v>
      </c>
      <c r="G8" s="43" t="n"/>
      <c r="H8" s="43" t="n">
        <v>100</v>
      </c>
      <c r="I8" s="25">
        <f>SUM(J8:O8)</f>
        <v/>
      </c>
      <c r="J8" s="25" t="n">
        <v>5.42</v>
      </c>
      <c r="K8" s="25" t="n">
        <v>3.25</v>
      </c>
      <c r="L8" s="25" t="n">
        <v>13.84</v>
      </c>
      <c r="M8" s="25" t="n">
        <v>23.62</v>
      </c>
      <c r="N8" s="25" t="n">
        <v>2.55</v>
      </c>
      <c r="O8" s="25" t="n">
        <v>4.34</v>
      </c>
      <c r="P8" s="25" t="n"/>
      <c r="Q8" s="11">
        <f>((H8-(SUM(J8)))/H8)*100</f>
        <v/>
      </c>
      <c r="R8" s="11">
        <f>((H8-(SUM(J8:K8)))/H8)*100</f>
        <v/>
      </c>
      <c r="S8" s="11">
        <f>((H8-(SUM(J8:L8)))/H8)*100</f>
        <v/>
      </c>
      <c r="T8" s="11">
        <f>((H8-(SUM(J8:M8)))/H8)*100</f>
        <v/>
      </c>
      <c r="U8" s="11">
        <f>((H8-(SUM(J8:N8)))/H8)*100</f>
        <v/>
      </c>
      <c r="V8" s="11">
        <f>((H8-(SUM(J8:O8)))/H8)*100</f>
        <v/>
      </c>
      <c r="W8" s="11">
        <f>100-Q8</f>
        <v/>
      </c>
      <c r="X8" s="11">
        <f>Q8-V8</f>
        <v/>
      </c>
      <c r="Y8" s="11">
        <f>V8</f>
        <v/>
      </c>
    </row>
    <row r="9" ht="30" customHeight="1">
      <c r="A9" s="55" t="n">
        <v>5</v>
      </c>
      <c r="B9" s="84" t="n"/>
      <c r="C9" s="84" t="n"/>
      <c r="D9" s="84" t="n"/>
      <c r="E9" s="43" t="inlineStr">
        <is>
          <t>SPT</t>
        </is>
      </c>
      <c r="F9" s="25" t="n">
        <v>9.5</v>
      </c>
      <c r="G9" s="43" t="n"/>
      <c r="H9" s="43" t="n">
        <v>100</v>
      </c>
      <c r="I9" s="25">
        <f>SUM(J9:O9)</f>
        <v/>
      </c>
      <c r="J9" s="25" t="n">
        <v>0.17</v>
      </c>
      <c r="K9" s="25" t="n">
        <v>1.21</v>
      </c>
      <c r="L9" s="25" t="n">
        <v>4.58</v>
      </c>
      <c r="M9" s="25" t="n">
        <v>24.05</v>
      </c>
      <c r="N9" s="25" t="n">
        <v>4.11</v>
      </c>
      <c r="O9" s="25" t="n">
        <v>16.85</v>
      </c>
      <c r="P9" s="25" t="n"/>
      <c r="Q9" s="11">
        <f>((H9-(SUM(J9)))/H9)*100</f>
        <v/>
      </c>
      <c r="R9" s="11">
        <f>((H9-(SUM(J9:K9)))/H9)*100</f>
        <v/>
      </c>
      <c r="S9" s="11">
        <f>((H9-(SUM(J9:L9)))/H9)*100</f>
        <v/>
      </c>
      <c r="T9" s="11">
        <f>((H9-(SUM(J9:M9)))/H9)*100</f>
        <v/>
      </c>
      <c r="U9" s="11">
        <f>((H9-(SUM(J9:N9)))/H9)*100</f>
        <v/>
      </c>
      <c r="V9" s="11">
        <f>((H9-(SUM(J9:O9)))/H9)*100</f>
        <v/>
      </c>
      <c r="W9" s="11">
        <f>100-Q9</f>
        <v/>
      </c>
      <c r="X9" s="11">
        <f>Q9-V9</f>
        <v/>
      </c>
      <c r="Y9" s="11">
        <f>V9</f>
        <v/>
      </c>
    </row>
    <row r="10" ht="30" customHeight="1">
      <c r="A10" s="55" t="n">
        <v>6</v>
      </c>
      <c r="B10" s="84" t="n"/>
      <c r="C10" s="84" t="n"/>
      <c r="D10" s="84" t="n"/>
      <c r="E10" s="43" t="inlineStr">
        <is>
          <t>SPT</t>
        </is>
      </c>
      <c r="F10" s="25" t="n">
        <v>12.5</v>
      </c>
      <c r="G10" s="43" t="n"/>
      <c r="H10" s="43" t="n">
        <v>100</v>
      </c>
      <c r="I10" s="25">
        <f>SUM(J10:O10)</f>
        <v/>
      </c>
      <c r="J10" s="25" t="n">
        <v>0.19</v>
      </c>
      <c r="K10" s="25" t="n">
        <v>0.36</v>
      </c>
      <c r="L10" s="25" t="n">
        <v>1.16</v>
      </c>
      <c r="M10" s="25" t="n">
        <v>26.55</v>
      </c>
      <c r="N10" s="25" t="n">
        <v>13.18</v>
      </c>
      <c r="O10" s="25" t="n">
        <v>25.53</v>
      </c>
      <c r="P10" s="25" t="n"/>
      <c r="Q10" s="11">
        <f>((H10-(SUM(J10)))/H10)*100</f>
        <v/>
      </c>
      <c r="R10" s="11">
        <f>((H10-(SUM(J10:K10)))/H10)*100</f>
        <v/>
      </c>
      <c r="S10" s="11">
        <f>((H10-(SUM(J10:L10)))/H10)*100</f>
        <v/>
      </c>
      <c r="T10" s="11">
        <f>((H10-(SUM(J10:M10)))/H10)*100</f>
        <v/>
      </c>
      <c r="U10" s="11">
        <f>((H10-(SUM(J10:N10)))/H10)*100</f>
        <v/>
      </c>
      <c r="V10" s="11">
        <f>((H10-(SUM(J10:O10)))/H10)*100</f>
        <v/>
      </c>
      <c r="W10" s="11">
        <f>100-Q10</f>
        <v/>
      </c>
      <c r="X10" s="11">
        <f>Q10-V10</f>
        <v/>
      </c>
      <c r="Y10" s="11">
        <f>V10</f>
        <v/>
      </c>
    </row>
    <row r="11" ht="30" customHeight="1">
      <c r="A11" s="55" t="n">
        <v>7</v>
      </c>
      <c r="B11" s="84" t="n"/>
      <c r="C11" s="84" t="n"/>
      <c r="D11" s="84" t="n"/>
      <c r="E11" s="43" t="inlineStr">
        <is>
          <t>SPT</t>
        </is>
      </c>
      <c r="F11" s="25" t="n">
        <v>13.5</v>
      </c>
      <c r="G11" s="43" t="n"/>
      <c r="H11" s="43" t="n">
        <v>100</v>
      </c>
      <c r="I11" s="25">
        <f>SUM(J11:O11)</f>
        <v/>
      </c>
      <c r="J11" s="25" t="n">
        <v>0</v>
      </c>
      <c r="K11" s="25" t="n">
        <v>0.18</v>
      </c>
      <c r="L11" s="25" t="n">
        <v>5.08</v>
      </c>
      <c r="M11" s="25" t="n">
        <v>24.16</v>
      </c>
      <c r="N11" s="25" t="n">
        <v>8.49</v>
      </c>
      <c r="O11" s="25" t="n">
        <v>23.14</v>
      </c>
      <c r="P11" s="25" t="n"/>
      <c r="Q11" s="11">
        <f>((H11-(SUM(J11)))/H11)*100</f>
        <v/>
      </c>
      <c r="R11" s="11">
        <f>((H11-(SUM(J11:K11)))/H11)*100</f>
        <v/>
      </c>
      <c r="S11" s="11">
        <f>((H11-(SUM(J11:L11)))/H11)*100</f>
        <v/>
      </c>
      <c r="T11" s="11">
        <f>((H11-(SUM(J11:M11)))/H11)*100</f>
        <v/>
      </c>
      <c r="U11" s="11">
        <f>((H11-(SUM(J11:N11)))/H11)*100</f>
        <v/>
      </c>
      <c r="V11" s="11">
        <f>((H11-(SUM(J11:O11)))/H11)*100</f>
        <v/>
      </c>
      <c r="W11" s="11">
        <f>100-Q11</f>
        <v/>
      </c>
      <c r="X11" s="11">
        <f>Q11-V11</f>
        <v/>
      </c>
      <c r="Y11" s="11">
        <f>V11</f>
        <v/>
      </c>
    </row>
    <row r="12" ht="30" customHeight="1">
      <c r="A12" s="55" t="n">
        <v>8</v>
      </c>
      <c r="B12" s="84" t="n"/>
      <c r="C12" s="84" t="n"/>
      <c r="D12" s="84" t="n"/>
      <c r="E12" s="43" t="inlineStr">
        <is>
          <t>SPT</t>
        </is>
      </c>
      <c r="F12" s="25" t="n">
        <v>14</v>
      </c>
      <c r="G12" s="43" t="n"/>
      <c r="H12" s="43" t="n">
        <v>100</v>
      </c>
      <c r="I12" s="25">
        <f>SUM(J12:O12)</f>
        <v/>
      </c>
      <c r="J12" s="25" t="n">
        <v>0.57</v>
      </c>
      <c r="K12" s="25" t="n">
        <v>0.37</v>
      </c>
      <c r="L12" s="25" t="n">
        <v>5.28</v>
      </c>
      <c r="M12" s="25" t="n">
        <v>28.48</v>
      </c>
      <c r="N12" s="25" t="n">
        <v>5.08</v>
      </c>
      <c r="O12" s="25" t="n">
        <v>17.44</v>
      </c>
      <c r="P12" s="25" t="n"/>
      <c r="Q12" s="11">
        <f>((H12-(SUM(J12)))/H12)*100</f>
        <v/>
      </c>
      <c r="R12" s="11">
        <f>((H12-(SUM(J12:K12)))/H12)*100</f>
        <v/>
      </c>
      <c r="S12" s="11">
        <f>((H12-(SUM(J12:L12)))/H12)*100</f>
        <v/>
      </c>
      <c r="T12" s="11">
        <f>((H12-(SUM(J12:M12)))/H12)*100</f>
        <v/>
      </c>
      <c r="U12" s="11">
        <f>((H12-(SUM(J12:N12)))/H12)*100</f>
        <v/>
      </c>
      <c r="V12" s="11">
        <f>((H12-(SUM(J12:O12)))/H12)*100</f>
        <v/>
      </c>
      <c r="W12" s="11">
        <f>100-Q12</f>
        <v/>
      </c>
      <c r="X12" s="11">
        <f>Q12-V12</f>
        <v/>
      </c>
      <c r="Y12" s="11">
        <f>V12</f>
        <v/>
      </c>
    </row>
    <row r="13" ht="30" customHeight="1">
      <c r="A13" s="55" t="n">
        <v>9</v>
      </c>
      <c r="B13" s="80" t="n"/>
      <c r="C13" s="80" t="n"/>
      <c r="D13" s="80" t="n"/>
      <c r="E13" s="43" t="n"/>
      <c r="F13" s="43" t="n"/>
      <c r="G13" s="43" t="n"/>
      <c r="H13" s="43" t="n"/>
      <c r="I13" s="25" t="n"/>
      <c r="J13" s="25" t="n"/>
      <c r="K13" s="25" t="n"/>
      <c r="L13" s="25" t="n"/>
      <c r="M13" s="25" t="n"/>
      <c r="N13" s="25" t="n"/>
      <c r="O13" s="25" t="n"/>
      <c r="P13" s="25" t="n"/>
      <c r="Q13" s="11" t="n"/>
      <c r="R13" s="11" t="n"/>
      <c r="S13" s="11" t="n"/>
      <c r="T13" s="11" t="n"/>
      <c r="U13" s="11" t="n"/>
      <c r="V13" s="11" t="n"/>
      <c r="W13" s="11" t="n"/>
      <c r="X13" s="11" t="n"/>
      <c r="Y13" s="11" t="n"/>
    </row>
  </sheetData>
  <mergeCells count="21">
    <mergeCell ref="A2:A4"/>
    <mergeCell ref="C2:C4"/>
    <mergeCell ref="Q4:V4"/>
    <mergeCell ref="F2:F3"/>
    <mergeCell ref="J2:P2"/>
    <mergeCell ref="H2:H3"/>
    <mergeCell ref="Y2:Y3"/>
    <mergeCell ref="E2:E3"/>
    <mergeCell ref="D5:D13"/>
    <mergeCell ref="W2:W3"/>
    <mergeCell ref="B5:B13"/>
    <mergeCell ref="Q2:V2"/>
    <mergeCell ref="A1:Y1"/>
    <mergeCell ref="W4:Y4"/>
    <mergeCell ref="B2:B4"/>
    <mergeCell ref="D2:D4"/>
    <mergeCell ref="C5:C13"/>
    <mergeCell ref="J4:P4"/>
    <mergeCell ref="X2:X3"/>
    <mergeCell ref="I2:I3"/>
    <mergeCell ref="G2:G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25"/>
  <sheetViews>
    <sheetView zoomScaleNormal="100" workbookViewId="0">
      <selection activeCell="F32" sqref="F32"/>
    </sheetView>
  </sheetViews>
  <sheetFormatPr baseColWidth="8" defaultRowHeight="14.4"/>
  <cols>
    <col width="9.6640625" customWidth="1" min="5" max="12"/>
    <col width="9.6640625" bestFit="1" customWidth="1" min="13" max="36"/>
    <col width="9.6640625" bestFit="1" customWidth="1" min="39" max="49"/>
    <col width="10.5546875" bestFit="1" customWidth="1" min="50" max="50"/>
  </cols>
  <sheetData>
    <row r="1">
      <c r="A1" s="85" t="inlineStr">
        <is>
          <t>Sr No.</t>
        </is>
      </c>
      <c r="B1" s="86" t="inlineStr">
        <is>
          <t>BH ID</t>
        </is>
      </c>
      <c r="C1" s="86" t="inlineStr">
        <is>
          <t>Depth</t>
        </is>
      </c>
      <c r="D1" s="85" t="inlineStr">
        <is>
          <t>Sample Type</t>
        </is>
      </c>
      <c r="E1" s="85" t="inlineStr">
        <is>
          <t xml:space="preserve">Temperature </t>
        </is>
      </c>
      <c r="F1" s="85" t="inlineStr">
        <is>
          <t xml:space="preserve">Coefficent of Viscosity </t>
        </is>
      </c>
      <c r="G1" s="85" t="inlineStr">
        <is>
          <t>SPGR</t>
        </is>
      </c>
      <c r="H1" s="85" t="inlineStr">
        <is>
          <t xml:space="preserve"> Meniscus Correction (Cm)</t>
        </is>
      </c>
      <c r="I1" s="61" t="inlineStr">
        <is>
          <t>Hydrometer No.</t>
        </is>
      </c>
      <c r="J1" s="85" t="inlineStr">
        <is>
          <t>Cylinder Type</t>
        </is>
      </c>
      <c r="K1" s="85" t="inlineStr">
        <is>
          <t>Mt (temperature correction)</t>
        </is>
      </c>
      <c r="L1" s="85" t="inlineStr">
        <is>
          <t>X (dispersion correction)</t>
        </is>
      </c>
      <c r="M1" s="63" t="inlineStr">
        <is>
          <t xml:space="preserve"> Hydrometer Reading at Elapsed Time (min)</t>
        </is>
      </c>
      <c r="N1" s="77" t="n"/>
      <c r="O1" s="77" t="n"/>
      <c r="P1" s="77" t="n"/>
      <c r="Q1" s="77" t="n"/>
      <c r="R1" s="77" t="n"/>
      <c r="S1" s="77" t="n"/>
      <c r="T1" s="77" t="n"/>
      <c r="U1" s="77" t="n"/>
      <c r="V1" s="77" t="n"/>
      <c r="W1" s="77" t="n"/>
      <c r="X1" s="77" t="n"/>
      <c r="Y1" s="78" t="n"/>
      <c r="Z1" s="63" t="inlineStr">
        <is>
          <t>Diameter of the particle at Elapsed Time</t>
        </is>
      </c>
      <c r="AA1" s="77" t="n"/>
      <c r="AB1" s="77" t="n"/>
      <c r="AC1" s="77" t="n"/>
      <c r="AD1" s="77" t="n"/>
      <c r="AE1" s="77" t="n"/>
      <c r="AF1" s="77" t="n"/>
      <c r="AG1" s="77" t="n"/>
      <c r="AH1" s="77" t="n"/>
      <c r="AI1" s="77" t="n"/>
      <c r="AJ1" s="77" t="n"/>
      <c r="AK1" s="77" t="n"/>
      <c r="AL1" s="78" t="n"/>
      <c r="AM1" s="64" t="inlineStr">
        <is>
          <t>Percentge finer than Diameter of the particle at Elapsed Time</t>
        </is>
      </c>
      <c r="AN1" s="77" t="n"/>
      <c r="AO1" s="77" t="n"/>
      <c r="AP1" s="77" t="n"/>
      <c r="AQ1" s="77" t="n"/>
      <c r="AR1" s="77" t="n"/>
      <c r="AS1" s="77" t="n"/>
      <c r="AT1" s="77" t="n"/>
      <c r="AU1" s="77" t="n"/>
      <c r="AV1" s="77" t="n"/>
      <c r="AW1" s="77" t="n"/>
      <c r="AX1" s="77" t="n"/>
      <c r="AY1" s="78" t="n"/>
      <c r="AZ1" s="21" t="n"/>
      <c r="BA1" s="21" t="n"/>
    </row>
    <row r="2">
      <c r="A2" s="79" t="n"/>
      <c r="B2" s="79" t="n"/>
      <c r="C2" s="79" t="n"/>
      <c r="D2" s="79" t="n"/>
      <c r="E2" s="79" t="n"/>
      <c r="F2" s="79" t="n"/>
      <c r="G2" s="79" t="n"/>
      <c r="H2" s="79" t="n"/>
      <c r="I2" s="84" t="n"/>
      <c r="J2" s="79" t="n"/>
      <c r="K2" s="79" t="n"/>
      <c r="L2" s="79" t="n"/>
      <c r="M2" s="87" t="n">
        <v>0.5</v>
      </c>
      <c r="N2" s="57" t="n">
        <v>1</v>
      </c>
      <c r="O2" s="57" t="n">
        <v>2</v>
      </c>
      <c r="P2" s="57" t="n">
        <v>4</v>
      </c>
      <c r="Q2" s="57" t="n">
        <v>8</v>
      </c>
      <c r="R2" s="57" t="n">
        <v>15</v>
      </c>
      <c r="S2" s="57" t="n">
        <v>30</v>
      </c>
      <c r="T2" s="57" t="n">
        <v>60</v>
      </c>
      <c r="U2" s="57" t="n">
        <v>120</v>
      </c>
      <c r="V2" s="57" t="n">
        <v>240</v>
      </c>
      <c r="W2" s="57" t="n">
        <v>480</v>
      </c>
      <c r="X2" s="57" t="n">
        <v>960</v>
      </c>
      <c r="Y2" s="57" t="n">
        <v>1440</v>
      </c>
      <c r="Z2" s="87" t="n">
        <v>0.5</v>
      </c>
      <c r="AA2" s="57" t="n">
        <v>1</v>
      </c>
      <c r="AB2" s="57" t="n">
        <v>2</v>
      </c>
      <c r="AC2" s="57" t="n">
        <v>4</v>
      </c>
      <c r="AD2" s="57" t="n">
        <v>8</v>
      </c>
      <c r="AE2" s="57" t="n">
        <v>15</v>
      </c>
      <c r="AF2" s="57" t="n">
        <v>30</v>
      </c>
      <c r="AG2" s="57" t="n">
        <v>60</v>
      </c>
      <c r="AH2" s="57" t="n">
        <v>120</v>
      </c>
      <c r="AI2" s="57" t="n">
        <v>240</v>
      </c>
      <c r="AJ2" s="57" t="n">
        <v>480</v>
      </c>
      <c r="AK2" s="57" t="n">
        <v>960</v>
      </c>
      <c r="AL2" s="57" t="n">
        <v>1440</v>
      </c>
      <c r="AM2" s="87" t="n">
        <v>0.5</v>
      </c>
      <c r="AN2" s="57" t="n">
        <v>1</v>
      </c>
      <c r="AO2" s="57" t="n">
        <v>2</v>
      </c>
      <c r="AP2" s="57" t="n">
        <v>4</v>
      </c>
      <c r="AQ2" s="57" t="n">
        <v>8</v>
      </c>
      <c r="AR2" s="57" t="n">
        <v>15</v>
      </c>
      <c r="AS2" s="57" t="n">
        <v>30</v>
      </c>
      <c r="AT2" s="57" t="n">
        <v>60</v>
      </c>
      <c r="AU2" s="57" t="n">
        <v>120</v>
      </c>
      <c r="AV2" s="57" t="n">
        <v>240</v>
      </c>
      <c r="AW2" s="57" t="n">
        <v>480</v>
      </c>
      <c r="AX2" s="57" t="n">
        <v>960</v>
      </c>
      <c r="AY2" s="57" t="n">
        <v>1440</v>
      </c>
      <c r="AZ2" s="21" t="n"/>
      <c r="BA2" s="21" t="n"/>
    </row>
    <row r="3">
      <c r="A3" s="79" t="n"/>
      <c r="B3" s="79" t="n"/>
      <c r="C3" s="79" t="n"/>
      <c r="D3" s="81" t="n"/>
      <c r="E3" s="81" t="n"/>
      <c r="F3" s="81" t="n"/>
      <c r="G3" s="81" t="n"/>
      <c r="H3" s="81" t="n"/>
      <c r="I3" s="80" t="n"/>
      <c r="J3" s="81" t="n"/>
      <c r="K3" s="81" t="n"/>
      <c r="L3" s="81" t="n"/>
      <c r="M3" s="80" t="n"/>
      <c r="N3" s="80" t="n"/>
      <c r="O3" s="80" t="n"/>
      <c r="P3" s="80" t="n"/>
      <c r="Q3" s="80" t="n"/>
      <c r="R3" s="80" t="n"/>
      <c r="S3" s="80" t="n"/>
      <c r="T3" s="80" t="n"/>
      <c r="U3" s="80" t="n"/>
      <c r="V3" s="80" t="n"/>
      <c r="W3" s="80" t="n"/>
      <c r="X3" s="80" t="n"/>
      <c r="Y3" s="80" t="n"/>
      <c r="Z3" s="80" t="n"/>
      <c r="AA3" s="80" t="n"/>
      <c r="AB3" s="80" t="n"/>
      <c r="AC3" s="80" t="n"/>
      <c r="AD3" s="80" t="n"/>
      <c r="AE3" s="80" t="n"/>
      <c r="AF3" s="80" t="n"/>
      <c r="AG3" s="80" t="n"/>
      <c r="AH3" s="80" t="n"/>
      <c r="AI3" s="80" t="n"/>
      <c r="AJ3" s="80" t="n"/>
      <c r="AK3" s="80" t="n"/>
      <c r="AL3" s="80" t="n"/>
      <c r="AM3" s="80" t="n"/>
      <c r="AN3" s="80" t="n"/>
      <c r="AO3" s="80" t="n"/>
      <c r="AP3" s="80" t="n"/>
      <c r="AQ3" s="80" t="n"/>
      <c r="AR3" s="80" t="n"/>
      <c r="AS3" s="80" t="n"/>
      <c r="AT3" s="80" t="n"/>
      <c r="AU3" s="80" t="n"/>
      <c r="AV3" s="80" t="n"/>
      <c r="AW3" s="80" t="n"/>
      <c r="AX3" s="80" t="n"/>
      <c r="AY3" s="80" t="n"/>
      <c r="AZ3" s="21" t="n"/>
      <c r="BA3" s="21" t="n"/>
    </row>
    <row r="4">
      <c r="A4" s="81" t="n"/>
      <c r="B4" s="81" t="n"/>
      <c r="C4" s="81" t="n"/>
      <c r="D4" s="67" t="inlineStr">
        <is>
          <t>-</t>
        </is>
      </c>
      <c r="E4" s="67" t="inlineStr">
        <is>
          <t>(°C)</t>
        </is>
      </c>
      <c r="F4" s="67" t="inlineStr">
        <is>
          <t>Poise</t>
        </is>
      </c>
      <c r="G4" s="67" t="inlineStr">
        <is>
          <t>-</t>
        </is>
      </c>
      <c r="H4" s="67" t="inlineStr">
        <is>
          <t>-</t>
        </is>
      </c>
      <c r="I4" s="61" t="inlineStr">
        <is>
          <t>-</t>
        </is>
      </c>
      <c r="J4" s="58" t="n"/>
      <c r="K4" s="58" t="inlineStr">
        <is>
          <t>-</t>
        </is>
      </c>
      <c r="L4" s="58" t="inlineStr">
        <is>
          <t>-</t>
        </is>
      </c>
      <c r="M4" s="61" t="n"/>
      <c r="N4" s="77" t="n"/>
      <c r="O4" s="77" t="n"/>
      <c r="P4" s="77" t="n"/>
      <c r="Q4" s="77" t="n"/>
      <c r="R4" s="77" t="n"/>
      <c r="S4" s="77" t="n"/>
      <c r="T4" s="77" t="n"/>
      <c r="U4" s="77" t="n"/>
      <c r="V4" s="77" t="n"/>
      <c r="W4" s="77" t="n"/>
      <c r="X4" s="77" t="n"/>
      <c r="Y4" s="78" t="n"/>
      <c r="Z4" s="61" t="inlineStr">
        <is>
          <t>(mm)</t>
        </is>
      </c>
      <c r="AA4" s="77" t="n"/>
      <c r="AB4" s="77" t="n"/>
      <c r="AC4" s="77" t="n"/>
      <c r="AD4" s="77" t="n"/>
      <c r="AE4" s="77" t="n"/>
      <c r="AF4" s="77" t="n"/>
      <c r="AG4" s="77" t="n"/>
      <c r="AH4" s="77" t="n"/>
      <c r="AI4" s="77" t="n"/>
      <c r="AJ4" s="77" t="n"/>
      <c r="AK4" s="77" t="n"/>
      <c r="AL4" s="78" t="n"/>
      <c r="AM4" s="61" t="inlineStr">
        <is>
          <t>(%)</t>
        </is>
      </c>
      <c r="AN4" s="77" t="n"/>
      <c r="AO4" s="77" t="n"/>
      <c r="AP4" s="77" t="n"/>
      <c r="AQ4" s="77" t="n"/>
      <c r="AR4" s="77" t="n"/>
      <c r="AS4" s="77" t="n"/>
      <c r="AT4" s="77" t="n"/>
      <c r="AU4" s="77" t="n"/>
      <c r="AV4" s="77" t="n"/>
      <c r="AW4" s="77" t="n"/>
      <c r="AX4" s="77" t="n"/>
      <c r="AY4" s="78" t="n"/>
      <c r="AZ4" s="20" t="n"/>
      <c r="BA4" s="20" t="n"/>
    </row>
    <row r="5">
      <c r="A5" s="31" t="n">
        <v>1</v>
      </c>
      <c r="B5" s="31">
        <f>GSD!B5</f>
        <v/>
      </c>
      <c r="C5" s="32">
        <f>GSD!F5</f>
        <v/>
      </c>
      <c r="D5" s="31">
        <f>GSD!E5</f>
        <v/>
      </c>
      <c r="E5" s="32" t="n">
        <v>27</v>
      </c>
      <c r="F5" s="88">
        <f>(0.000000002615*E5^4) - (0.00000030607*E5^3) + (0.000016427499*E5^2) - (0.000618546309*E5) + 0.017919182437</f>
        <v/>
      </c>
      <c r="G5" s="89" t="n"/>
      <c r="H5" s="31" t="n">
        <v>0.0005</v>
      </c>
      <c r="I5" s="31" t="n"/>
      <c r="J5" s="31" t="n"/>
      <c r="K5" s="32">
        <f>(E5-27)*0.25</f>
        <v/>
      </c>
      <c r="L5" s="31" t="n">
        <v>0.3</v>
      </c>
      <c r="M5" s="89" t="n"/>
      <c r="N5" s="89" t="n"/>
      <c r="O5" s="89" t="n"/>
      <c r="P5" s="89" t="n"/>
      <c r="Q5" s="89" t="n"/>
      <c r="R5" s="89" t="n"/>
      <c r="S5" s="89" t="n"/>
      <c r="T5" s="89" t="n"/>
      <c r="U5" s="89" t="n"/>
      <c r="V5" s="89" t="n"/>
      <c r="W5" s="89" t="n"/>
      <c r="X5" s="89" t="n"/>
      <c r="Y5" s="89" t="n"/>
      <c r="Z5" s="90" t="n"/>
      <c r="AA5" s="90" t="n"/>
      <c r="AB5" s="90" t="n"/>
      <c r="AC5" s="90" t="n"/>
      <c r="AD5" s="90" t="n"/>
      <c r="AE5" s="90" t="n"/>
      <c r="AF5" s="90" t="n"/>
      <c r="AG5" s="90" t="n"/>
      <c r="AH5" s="90" t="n"/>
      <c r="AI5" s="90" t="n"/>
      <c r="AJ5" s="90" t="n"/>
      <c r="AK5" s="90" t="n"/>
      <c r="AL5" s="90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36" t="n"/>
      <c r="BA5" s="36" t="n"/>
    </row>
    <row r="6">
      <c r="A6" s="31" t="n">
        <v>2</v>
      </c>
      <c r="B6" s="31">
        <f>B5</f>
        <v/>
      </c>
      <c r="C6" s="32">
        <f>GSD!F6</f>
        <v/>
      </c>
      <c r="D6" s="31">
        <f>GSD!E6</f>
        <v/>
      </c>
      <c r="E6" s="32" t="n">
        <v>27</v>
      </c>
      <c r="F6" s="88" t="n">
        <v>0.008559421270000001</v>
      </c>
      <c r="G6" s="89" t="n">
        <v>2.67</v>
      </c>
      <c r="H6" s="31" t="n">
        <v>0.0005</v>
      </c>
      <c r="I6" s="31" t="n">
        <v>1</v>
      </c>
      <c r="J6" s="31" t="n">
        <v>1</v>
      </c>
      <c r="K6" s="32" t="n">
        <v>0</v>
      </c>
      <c r="L6" s="31" t="n">
        <v>0.3</v>
      </c>
      <c r="M6" s="89" t="n">
        <v>1.008</v>
      </c>
      <c r="N6" s="89" t="n">
        <v>1.008</v>
      </c>
      <c r="O6" s="89" t="n">
        <v>1.007</v>
      </c>
      <c r="P6" s="89" t="n">
        <v>1.006</v>
      </c>
      <c r="Q6" s="89" t="n">
        <v>1.006</v>
      </c>
      <c r="R6" s="89" t="n">
        <v>1.005</v>
      </c>
      <c r="S6" s="89" t="n">
        <v>1.004</v>
      </c>
      <c r="T6" s="89" t="n">
        <v>1.003</v>
      </c>
      <c r="U6" s="89" t="n">
        <v>1.002</v>
      </c>
      <c r="V6" s="89" t="n">
        <v>1.002</v>
      </c>
      <c r="W6" s="89" t="n">
        <v>1.001</v>
      </c>
      <c r="X6" s="89" t="n">
        <v>1</v>
      </c>
      <c r="Y6" s="89" t="n">
        <v>1</v>
      </c>
      <c r="Z6" s="90" t="n"/>
      <c r="AA6" s="90" t="n"/>
      <c r="AB6" s="90" t="n"/>
      <c r="AC6" s="90" t="n"/>
      <c r="AD6" s="90" t="n"/>
      <c r="AE6" s="90" t="n"/>
      <c r="AF6" s="90" t="n"/>
      <c r="AG6" s="90" t="n"/>
      <c r="AH6" s="90" t="n"/>
      <c r="AI6" s="90" t="n"/>
      <c r="AJ6" s="90" t="n"/>
      <c r="AK6" s="90" t="n"/>
      <c r="AL6" s="90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36" t="n"/>
      <c r="BA6" s="36" t="n"/>
    </row>
    <row r="7">
      <c r="A7" s="31" t="n">
        <v>3</v>
      </c>
      <c r="B7" s="31">
        <f>B6</f>
        <v/>
      </c>
      <c r="C7" s="32">
        <f>GSD!F7</f>
        <v/>
      </c>
      <c r="D7" s="31">
        <f>GSD!E7</f>
        <v/>
      </c>
      <c r="E7" s="32" t="n">
        <v>27</v>
      </c>
      <c r="F7" s="88">
        <f>(0.000000002615*E7^4) - (0.00000030607*E7^3) + (0.000016427499*E7^2) - (0.000618546309*E7) + 0.017919182437</f>
        <v/>
      </c>
      <c r="G7" s="89" t="n"/>
      <c r="H7" s="31" t="n">
        <v>0.0005</v>
      </c>
      <c r="I7" s="31" t="n"/>
      <c r="J7" s="31" t="n"/>
      <c r="K7" s="32">
        <f>(E7-27)*0.25</f>
        <v/>
      </c>
      <c r="L7" s="31" t="n">
        <v>0.3</v>
      </c>
      <c r="M7" s="89" t="n"/>
      <c r="N7" s="89" t="n"/>
      <c r="O7" s="89" t="n"/>
      <c r="P7" s="89" t="n"/>
      <c r="Q7" s="89" t="n"/>
      <c r="R7" s="89" t="n"/>
      <c r="S7" s="89" t="n"/>
      <c r="T7" s="89" t="n"/>
      <c r="U7" s="89" t="n"/>
      <c r="V7" s="89" t="n"/>
      <c r="W7" s="89" t="n"/>
      <c r="X7" s="89" t="n"/>
      <c r="Y7" s="89" t="n"/>
      <c r="Z7" s="90" t="n"/>
      <c r="AA7" s="90" t="n"/>
      <c r="AB7" s="90" t="n"/>
      <c r="AC7" s="90" t="n"/>
      <c r="AD7" s="90" t="n"/>
      <c r="AE7" s="90" t="n"/>
      <c r="AF7" s="90" t="n"/>
      <c r="AG7" s="90" t="n"/>
      <c r="AH7" s="90" t="n"/>
      <c r="AI7" s="90" t="n"/>
      <c r="AJ7" s="90" t="n"/>
      <c r="AK7" s="90" t="n"/>
      <c r="AL7" s="90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36" t="n"/>
      <c r="BA7" s="36" t="n"/>
    </row>
    <row r="8">
      <c r="A8" s="31" t="n">
        <v>4</v>
      </c>
      <c r="B8" s="31">
        <f>B7</f>
        <v/>
      </c>
      <c r="C8" s="32">
        <f>GSD!F8</f>
        <v/>
      </c>
      <c r="D8" s="31">
        <f>GSD!E8</f>
        <v/>
      </c>
      <c r="E8" s="32" t="n">
        <v>27</v>
      </c>
      <c r="F8" s="88" t="n">
        <v>0.008559421270000001</v>
      </c>
      <c r="G8" s="89" t="n">
        <v>2.68</v>
      </c>
      <c r="H8" s="31" t="n">
        <v>0.0005</v>
      </c>
      <c r="I8" s="31" t="n">
        <v>1</v>
      </c>
      <c r="J8" s="31" t="n">
        <v>1</v>
      </c>
      <c r="K8" s="32" t="n">
        <v>0</v>
      </c>
      <c r="L8" s="31" t="n">
        <v>0.3</v>
      </c>
      <c r="M8" s="89" t="n">
        <v>1.015</v>
      </c>
      <c r="N8" s="89" t="n">
        <v>1.014</v>
      </c>
      <c r="O8" s="89" t="n">
        <v>1.013</v>
      </c>
      <c r="P8" s="89" t="n">
        <v>1.013</v>
      </c>
      <c r="Q8" s="89" t="n">
        <v>1.012</v>
      </c>
      <c r="R8" s="89" t="n">
        <v>1.011</v>
      </c>
      <c r="S8" s="89" t="n">
        <v>1.01</v>
      </c>
      <c r="T8" s="89" t="n">
        <v>1.01</v>
      </c>
      <c r="U8" s="89" t="n">
        <v>1.009</v>
      </c>
      <c r="V8" s="89" t="n">
        <v>1.008</v>
      </c>
      <c r="W8" s="89" t="n">
        <v>1.007</v>
      </c>
      <c r="X8" s="89" t="n">
        <v>1.007</v>
      </c>
      <c r="Y8" s="89" t="n">
        <v>1.007</v>
      </c>
      <c r="Z8" s="90" t="n"/>
      <c r="AA8" s="90" t="n"/>
      <c r="AB8" s="90" t="n"/>
      <c r="AC8" s="90" t="n"/>
      <c r="AD8" s="90" t="n"/>
      <c r="AE8" s="90" t="n"/>
      <c r="AF8" s="90" t="n"/>
      <c r="AG8" s="90" t="n"/>
      <c r="AH8" s="90" t="n"/>
      <c r="AI8" s="90" t="n"/>
      <c r="AJ8" s="90" t="n"/>
      <c r="AK8" s="90" t="n"/>
      <c r="AL8" s="90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36" t="n"/>
      <c r="BA8" s="36" t="n"/>
    </row>
    <row r="9">
      <c r="A9" s="31" t="n">
        <v>5</v>
      </c>
      <c r="B9" s="31">
        <f>B8</f>
        <v/>
      </c>
      <c r="C9" s="32">
        <f>GSD!F9</f>
        <v/>
      </c>
      <c r="D9" s="31">
        <f>GSD!E9</f>
        <v/>
      </c>
      <c r="E9" s="32" t="n">
        <v>27</v>
      </c>
      <c r="F9" s="88" t="n">
        <v>0.008559421270000001</v>
      </c>
      <c r="G9" s="89" t="n">
        <v>2.65</v>
      </c>
      <c r="H9" s="31" t="n">
        <v>0.0005</v>
      </c>
      <c r="I9" s="31" t="n">
        <v>1</v>
      </c>
      <c r="J9" s="31" t="n">
        <v>1</v>
      </c>
      <c r="K9" s="32" t="n">
        <v>0</v>
      </c>
      <c r="L9" s="31" t="n">
        <v>0.3</v>
      </c>
      <c r="M9" s="89" t="n">
        <v>1.015</v>
      </c>
      <c r="N9" s="89" t="n">
        <v>1.015</v>
      </c>
      <c r="O9" s="89" t="n">
        <v>1.014</v>
      </c>
      <c r="P9" s="89" t="n">
        <v>1.014</v>
      </c>
      <c r="Q9" s="89" t="n">
        <v>1.013</v>
      </c>
      <c r="R9" s="89" t="n">
        <v>1.013</v>
      </c>
      <c r="S9" s="89" t="n">
        <v>1.012</v>
      </c>
      <c r="T9" s="89" t="n">
        <v>1.012</v>
      </c>
      <c r="U9" s="89" t="n">
        <v>1.011</v>
      </c>
      <c r="V9" s="89" t="n">
        <v>1.01</v>
      </c>
      <c r="W9" s="89" t="n">
        <v>1.01</v>
      </c>
      <c r="X9" s="89" t="n">
        <v>1.009</v>
      </c>
      <c r="Y9" s="89" t="n">
        <v>1.009</v>
      </c>
      <c r="Z9" s="90" t="n"/>
      <c r="AA9" s="90" t="n"/>
      <c r="AB9" s="90" t="n"/>
      <c r="AC9" s="90" t="n"/>
      <c r="AD9" s="90" t="n"/>
      <c r="AE9" s="90" t="n"/>
      <c r="AF9" s="90" t="n"/>
      <c r="AG9" s="90" t="n"/>
      <c r="AH9" s="90" t="n"/>
      <c r="AI9" s="90" t="n"/>
      <c r="AJ9" s="90" t="n"/>
      <c r="AK9" s="90" t="n"/>
      <c r="AL9" s="90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36" t="n"/>
      <c r="BA9" s="36" t="n"/>
    </row>
    <row r="10">
      <c r="A10" s="31" t="n">
        <v>6</v>
      </c>
      <c r="B10" s="31">
        <f>B9</f>
        <v/>
      </c>
      <c r="C10" s="32">
        <f>GSD!F10</f>
        <v/>
      </c>
      <c r="D10" s="31">
        <f>GSD!E10</f>
        <v/>
      </c>
      <c r="E10" s="32" t="n">
        <v>27</v>
      </c>
      <c r="F10" s="88" t="n">
        <v>0.008559421270000001</v>
      </c>
      <c r="G10" s="89" t="n">
        <v>2.68</v>
      </c>
      <c r="H10" s="31" t="n">
        <v>0.0005</v>
      </c>
      <c r="I10" s="31" t="n">
        <v>2</v>
      </c>
      <c r="J10" s="31" t="n">
        <v>2</v>
      </c>
      <c r="K10" s="32" t="n">
        <v>0</v>
      </c>
      <c r="L10" s="31" t="n">
        <v>0.3</v>
      </c>
      <c r="M10" s="89" t="n">
        <v>1.011</v>
      </c>
      <c r="N10" s="89" t="n">
        <v>1.01</v>
      </c>
      <c r="O10" s="89" t="n">
        <v>1.01</v>
      </c>
      <c r="P10" s="89" t="n">
        <v>1.01</v>
      </c>
      <c r="Q10" s="89" t="n">
        <v>1.01</v>
      </c>
      <c r="R10" s="89" t="n">
        <v>1.01</v>
      </c>
      <c r="S10" s="89" t="n">
        <v>1.01</v>
      </c>
      <c r="T10" s="89" t="n">
        <v>1.01</v>
      </c>
      <c r="U10" s="89" t="n">
        <v>1.009</v>
      </c>
      <c r="V10" s="89" t="n">
        <v>1.009</v>
      </c>
      <c r="W10" s="89" t="n">
        <v>1.009</v>
      </c>
      <c r="X10" s="89" t="n">
        <v>1.009</v>
      </c>
      <c r="Y10" s="89" t="n">
        <v>1.009</v>
      </c>
      <c r="Z10" s="90" t="n"/>
      <c r="AA10" s="90" t="n"/>
      <c r="AB10" s="90" t="n"/>
      <c r="AC10" s="90" t="n"/>
      <c r="AD10" s="90" t="n"/>
      <c r="AE10" s="90" t="n"/>
      <c r="AF10" s="90" t="n"/>
      <c r="AG10" s="90" t="n"/>
      <c r="AH10" s="90" t="n"/>
      <c r="AI10" s="90" t="n"/>
      <c r="AJ10" s="90" t="n"/>
      <c r="AK10" s="90" t="n"/>
      <c r="AL10" s="90" t="n"/>
      <c r="AM10" s="32" t="n"/>
      <c r="AN10" s="32" t="n"/>
      <c r="AO10" s="32" t="n"/>
      <c r="AP10" s="32" t="n"/>
      <c r="AQ10" s="32" t="n"/>
      <c r="AR10" s="32" t="n"/>
      <c r="AS10" s="32" t="n"/>
      <c r="AT10" s="32" t="n"/>
      <c r="AU10" s="32" t="n"/>
      <c r="AV10" s="32" t="n"/>
      <c r="AW10" s="32" t="n"/>
      <c r="AX10" s="32" t="n"/>
      <c r="AY10" s="32" t="n"/>
      <c r="AZ10" s="36" t="n"/>
      <c r="BA10" s="36" t="n"/>
    </row>
    <row r="11">
      <c r="A11" s="31" t="n">
        <v>7</v>
      </c>
      <c r="B11" s="31">
        <f>B10</f>
        <v/>
      </c>
      <c r="C11" s="32">
        <f>GSD!F11</f>
        <v/>
      </c>
      <c r="D11" s="31">
        <f>GSD!E11</f>
        <v/>
      </c>
      <c r="E11" s="32" t="n">
        <v>27</v>
      </c>
      <c r="F11" s="88" t="n">
        <v>0.008559421270000001</v>
      </c>
      <c r="G11" s="89" t="n">
        <v>2.66</v>
      </c>
      <c r="H11" s="31" t="n">
        <v>0.0005</v>
      </c>
      <c r="I11" s="31" t="n">
        <v>2</v>
      </c>
      <c r="J11" s="31" t="n">
        <v>2</v>
      </c>
      <c r="K11" s="32" t="n">
        <v>0</v>
      </c>
      <c r="L11" s="31" t="n">
        <v>0.3</v>
      </c>
      <c r="M11" s="89" t="n">
        <v>1.012</v>
      </c>
      <c r="N11" s="89" t="n">
        <v>1.012</v>
      </c>
      <c r="O11" s="89" t="n">
        <v>1.012</v>
      </c>
      <c r="P11" s="89" t="n">
        <v>1.012</v>
      </c>
      <c r="Q11" s="89" t="n">
        <v>1.012</v>
      </c>
      <c r="R11" s="89" t="n">
        <v>1.011</v>
      </c>
      <c r="S11" s="89" t="n">
        <v>1.011</v>
      </c>
      <c r="T11" s="89" t="n">
        <v>1.011</v>
      </c>
      <c r="U11" s="89" t="n">
        <v>1.01</v>
      </c>
      <c r="V11" s="89" t="n">
        <v>1.01</v>
      </c>
      <c r="W11" s="89" t="n">
        <v>1.01</v>
      </c>
      <c r="X11" s="89" t="n">
        <v>1.01</v>
      </c>
      <c r="Y11" s="89" t="n">
        <v>1.01</v>
      </c>
      <c r="Z11" s="90" t="n"/>
      <c r="AA11" s="90" t="n"/>
      <c r="AB11" s="90" t="n"/>
      <c r="AC11" s="90" t="n"/>
      <c r="AD11" s="90" t="n"/>
      <c r="AE11" s="90" t="n"/>
      <c r="AF11" s="90" t="n"/>
      <c r="AG11" s="90" t="n"/>
      <c r="AH11" s="90" t="n"/>
      <c r="AI11" s="90" t="n"/>
      <c r="AJ11" s="90" t="n"/>
      <c r="AK11" s="90" t="n"/>
      <c r="AL11" s="90" t="n"/>
      <c r="AM11" s="32" t="n"/>
      <c r="AN11" s="32" t="n"/>
      <c r="AO11" s="32" t="n"/>
      <c r="AP11" s="32" t="n"/>
      <c r="AQ11" s="32" t="n"/>
      <c r="AR11" s="32" t="n"/>
      <c r="AS11" s="32" t="n"/>
      <c r="AT11" s="32" t="n"/>
      <c r="AU11" s="32" t="n"/>
      <c r="AV11" s="32" t="n"/>
      <c r="AW11" s="32" t="n"/>
      <c r="AX11" s="32" t="n"/>
      <c r="AY11" s="32" t="n"/>
      <c r="AZ11" s="36" t="n"/>
      <c r="BA11" s="36" t="n"/>
    </row>
    <row r="12">
      <c r="A12" s="31" t="n">
        <v>8</v>
      </c>
      <c r="B12" s="31">
        <f>B11</f>
        <v/>
      </c>
      <c r="C12" s="32">
        <f>GSD!F12</f>
        <v/>
      </c>
      <c r="D12" s="31">
        <f>GSD!E12</f>
        <v/>
      </c>
      <c r="E12" s="32" t="n">
        <v>27</v>
      </c>
      <c r="F12" s="88" t="n">
        <v>0.008559421270000001</v>
      </c>
      <c r="G12" s="89" t="n">
        <v>2.69</v>
      </c>
      <c r="H12" s="31" t="n">
        <v>0.0005</v>
      </c>
      <c r="I12" s="31" t="n">
        <v>2</v>
      </c>
      <c r="J12" s="31" t="n">
        <v>2</v>
      </c>
      <c r="K12" s="32" t="n">
        <v>0</v>
      </c>
      <c r="L12" s="31" t="n">
        <v>0.3</v>
      </c>
      <c r="M12" s="89" t="n">
        <v>1.014</v>
      </c>
      <c r="N12" s="89" t="n">
        <v>1.013</v>
      </c>
      <c r="O12" s="89" t="n">
        <v>1.013</v>
      </c>
      <c r="P12" s="89" t="n">
        <v>1.013</v>
      </c>
      <c r="Q12" s="89" t="n">
        <v>1.012</v>
      </c>
      <c r="R12" s="89" t="n">
        <v>1.012</v>
      </c>
      <c r="S12" s="89" t="n">
        <v>1.012</v>
      </c>
      <c r="T12" s="89" t="n">
        <v>1.011</v>
      </c>
      <c r="U12" s="89" t="n">
        <v>1.011</v>
      </c>
      <c r="V12" s="89" t="n">
        <v>1.01</v>
      </c>
      <c r="W12" s="89" t="n">
        <v>1.01</v>
      </c>
      <c r="X12" s="89" t="n">
        <v>1.01</v>
      </c>
      <c r="Y12" s="89" t="n">
        <v>1.01</v>
      </c>
      <c r="Z12" s="90" t="n"/>
      <c r="AA12" s="90" t="n"/>
      <c r="AB12" s="90" t="n"/>
      <c r="AC12" s="90" t="n"/>
      <c r="AD12" s="90" t="n"/>
      <c r="AE12" s="90" t="n"/>
      <c r="AF12" s="90" t="n"/>
      <c r="AG12" s="90" t="n"/>
      <c r="AH12" s="90" t="n"/>
      <c r="AI12" s="90" t="n"/>
      <c r="AJ12" s="90" t="n"/>
      <c r="AK12" s="90" t="n"/>
      <c r="AL12" s="90" t="n"/>
      <c r="AM12" s="32" t="n"/>
      <c r="AN12" s="32" t="n"/>
      <c r="AO12" s="32" t="n"/>
      <c r="AP12" s="32" t="n"/>
      <c r="AQ12" s="32" t="n"/>
      <c r="AR12" s="32" t="n"/>
      <c r="AS12" s="32" t="n"/>
      <c r="AT12" s="32" t="n"/>
      <c r="AU12" s="32" t="n"/>
      <c r="AV12" s="32" t="n"/>
      <c r="AW12" s="32" t="n"/>
      <c r="AX12" s="32" t="n"/>
      <c r="AY12" s="32" t="n"/>
      <c r="AZ12" s="36" t="n"/>
      <c r="BA12" s="36" t="n"/>
    </row>
    <row r="13">
      <c r="A13" s="31" t="n">
        <v>9</v>
      </c>
      <c r="B13" s="31">
        <f>B12</f>
        <v/>
      </c>
      <c r="C13" s="32">
        <f>GSD!F13</f>
        <v/>
      </c>
      <c r="D13" s="31">
        <f>GSD!E13</f>
        <v/>
      </c>
      <c r="E13" s="32" t="n">
        <v>27</v>
      </c>
      <c r="F13" s="88">
        <f>(0.000000002615*E13^4) - (0.00000030607*E13^3) + (0.000016427499*E13^2) - (0.000618546309*E13) + 0.017919182437</f>
        <v/>
      </c>
      <c r="G13" s="89" t="n"/>
      <c r="H13" s="31" t="n">
        <v>0.0005</v>
      </c>
      <c r="I13" s="31" t="n"/>
      <c r="J13" s="31" t="n"/>
      <c r="K13" s="32">
        <f>(E13-27)*0.25</f>
        <v/>
      </c>
      <c r="L13" s="31" t="n">
        <v>0.3</v>
      </c>
      <c r="M13" s="89" t="n"/>
      <c r="N13" s="89" t="n"/>
      <c r="O13" s="89" t="n"/>
      <c r="P13" s="89" t="n"/>
      <c r="Q13" s="89" t="n"/>
      <c r="R13" s="89" t="n"/>
      <c r="S13" s="89" t="n"/>
      <c r="T13" s="89" t="n"/>
      <c r="U13" s="89" t="n"/>
      <c r="V13" s="89" t="n"/>
      <c r="W13" s="89" t="n"/>
      <c r="X13" s="89" t="n"/>
      <c r="Y13" s="89" t="n"/>
      <c r="Z13" s="90" t="n"/>
      <c r="AA13" s="90" t="n"/>
      <c r="AB13" s="90" t="n"/>
      <c r="AC13" s="90" t="n"/>
      <c r="AD13" s="90" t="n"/>
      <c r="AE13" s="90" t="n"/>
      <c r="AF13" s="90" t="n"/>
      <c r="AG13" s="90" t="n"/>
      <c r="AH13" s="90" t="n"/>
      <c r="AI13" s="90" t="n"/>
      <c r="AJ13" s="90" t="n"/>
      <c r="AK13" s="90" t="n"/>
      <c r="AL13" s="90" t="n"/>
      <c r="AM13" s="32" t="n"/>
      <c r="AN13" s="32" t="n"/>
      <c r="AO13" s="32" t="n"/>
      <c r="AP13" s="32" t="n"/>
      <c r="AQ13" s="32" t="n"/>
      <c r="AR13" s="32" t="n"/>
      <c r="AS13" s="32" t="n"/>
      <c r="AT13" s="32" t="n"/>
      <c r="AU13" s="32" t="n"/>
      <c r="AV13" s="32" t="n"/>
      <c r="AW13" s="32" t="n"/>
      <c r="AX13" s="32" t="n"/>
      <c r="AY13" s="32" t="n"/>
      <c r="AZ13" s="36" t="n"/>
      <c r="BA13" s="36" t="n"/>
    </row>
    <row r="14">
      <c r="A14" s="31" t="n">
        <v>10</v>
      </c>
      <c r="B14" s="31">
        <f>B13</f>
        <v/>
      </c>
      <c r="C14" s="32">
        <f>GSD!#REF!</f>
        <v/>
      </c>
      <c r="D14" s="31">
        <f>GSD!#REF!</f>
        <v/>
      </c>
      <c r="E14" s="32" t="n">
        <v>27</v>
      </c>
      <c r="F14" s="88">
        <f>(0.000000002615*E14^4) - (0.00000030607*E14^3) + (0.000016427499*E14^2) - (0.000618546309*E14) + 0.017919182437</f>
        <v/>
      </c>
      <c r="G14" s="89" t="n"/>
      <c r="H14" s="31" t="n">
        <v>0.0005</v>
      </c>
      <c r="I14" s="31" t="n"/>
      <c r="J14" s="31" t="n"/>
      <c r="K14" s="32">
        <f>(E14-27)*0.25</f>
        <v/>
      </c>
      <c r="L14" s="31" t="n">
        <v>0.3</v>
      </c>
      <c r="M14" s="89" t="n"/>
      <c r="N14" s="89" t="n"/>
      <c r="O14" s="89" t="n"/>
      <c r="P14" s="89" t="n"/>
      <c r="Q14" s="89" t="n"/>
      <c r="R14" s="89" t="n"/>
      <c r="S14" s="89" t="n"/>
      <c r="T14" s="89" t="n"/>
      <c r="U14" s="89" t="n"/>
      <c r="V14" s="89" t="n"/>
      <c r="W14" s="89" t="n"/>
      <c r="X14" s="89" t="n"/>
      <c r="Y14" s="89" t="n"/>
      <c r="Z14" s="90" t="n"/>
      <c r="AA14" s="90" t="n"/>
      <c r="AB14" s="90" t="n"/>
      <c r="AC14" s="90" t="n"/>
      <c r="AD14" s="90" t="n"/>
      <c r="AE14" s="90" t="n"/>
      <c r="AF14" s="90" t="n"/>
      <c r="AG14" s="90" t="n"/>
      <c r="AH14" s="90" t="n"/>
      <c r="AI14" s="90" t="n"/>
      <c r="AJ14" s="90" t="n"/>
      <c r="AK14" s="90" t="n"/>
      <c r="AL14" s="90" t="n"/>
      <c r="AM14" s="32" t="n"/>
      <c r="AN14" s="32" t="n"/>
      <c r="AO14" s="32" t="n"/>
      <c r="AP14" s="32" t="n"/>
      <c r="AQ14" s="32" t="n"/>
      <c r="AR14" s="32" t="n"/>
      <c r="AS14" s="32" t="n"/>
      <c r="AT14" s="32" t="n"/>
      <c r="AU14" s="32" t="n"/>
      <c r="AV14" s="32" t="n"/>
      <c r="AW14" s="32" t="n"/>
      <c r="AX14" s="32" t="n"/>
      <c r="AY14" s="32" t="n"/>
      <c r="AZ14" s="36" t="n"/>
      <c r="BA14" s="36" t="n"/>
    </row>
    <row r="15">
      <c r="A15" s="31" t="n">
        <v>11</v>
      </c>
      <c r="B15" s="31">
        <f>B14</f>
        <v/>
      </c>
      <c r="C15" s="32">
        <f>GSD!#REF!</f>
        <v/>
      </c>
      <c r="D15" s="31">
        <f>GSD!#REF!</f>
        <v/>
      </c>
      <c r="E15" s="32" t="n">
        <v>27</v>
      </c>
      <c r="F15" s="88">
        <f>(0.000000002615*E15^4) - (0.00000030607*E15^3) + (0.000016427499*E15^2) - (0.000618546309*E15) + 0.017919182437</f>
        <v/>
      </c>
      <c r="G15" s="89" t="n"/>
      <c r="H15" s="31" t="n">
        <v>0.0005</v>
      </c>
      <c r="I15" s="31" t="n"/>
      <c r="J15" s="31" t="n"/>
      <c r="K15" s="32">
        <f>(E15-27)*0.25</f>
        <v/>
      </c>
      <c r="L15" s="31" t="n">
        <v>0.3</v>
      </c>
      <c r="M15" s="89" t="n"/>
      <c r="N15" s="89" t="n"/>
      <c r="O15" s="89" t="n"/>
      <c r="P15" s="89" t="n"/>
      <c r="Q15" s="89" t="n"/>
      <c r="R15" s="89" t="n"/>
      <c r="S15" s="89" t="n"/>
      <c r="T15" s="89" t="n"/>
      <c r="U15" s="89" t="n"/>
      <c r="V15" s="89" t="n"/>
      <c r="W15" s="89" t="n"/>
      <c r="X15" s="89" t="n"/>
      <c r="Y15" s="89" t="n"/>
      <c r="Z15" s="90" t="n"/>
      <c r="AA15" s="90" t="n"/>
      <c r="AB15" s="90" t="n"/>
      <c r="AC15" s="90" t="n"/>
      <c r="AD15" s="90" t="n"/>
      <c r="AE15" s="90" t="n"/>
      <c r="AF15" s="90" t="n"/>
      <c r="AG15" s="90" t="n"/>
      <c r="AH15" s="90" t="n"/>
      <c r="AI15" s="90" t="n"/>
      <c r="AJ15" s="90" t="n"/>
      <c r="AK15" s="90" t="n"/>
      <c r="AL15" s="90" t="n"/>
      <c r="AM15" s="32" t="n"/>
      <c r="AN15" s="32" t="n"/>
      <c r="AO15" s="32" t="n"/>
      <c r="AP15" s="32" t="n"/>
      <c r="AQ15" s="32" t="n"/>
      <c r="AR15" s="32" t="n"/>
      <c r="AS15" s="32" t="n"/>
      <c r="AT15" s="32" t="n"/>
      <c r="AU15" s="32" t="n"/>
      <c r="AV15" s="32" t="n"/>
      <c r="AW15" s="32" t="n"/>
      <c r="AX15" s="32" t="n"/>
      <c r="AY15" s="32" t="n"/>
      <c r="AZ15" s="36" t="n"/>
      <c r="BA15" s="36" t="n"/>
    </row>
    <row r="16">
      <c r="A16" s="31" t="n">
        <v>12</v>
      </c>
      <c r="B16" s="31">
        <f>B15</f>
        <v/>
      </c>
      <c r="C16" s="32">
        <f>GSD!#REF!</f>
        <v/>
      </c>
      <c r="D16" s="31">
        <f>GSD!#REF!</f>
        <v/>
      </c>
      <c r="E16" s="32" t="n">
        <v>27</v>
      </c>
      <c r="F16" s="88">
        <f>(0.000000002615*E16^4) - (0.00000030607*E16^3) + (0.000016427499*E16^2) - (0.000618546309*E16) + 0.017919182437</f>
        <v/>
      </c>
      <c r="G16" s="89" t="n"/>
      <c r="H16" s="31" t="n">
        <v>0.0005</v>
      </c>
      <c r="I16" s="31" t="n"/>
      <c r="J16" s="31" t="n"/>
      <c r="K16" s="32">
        <f>(E16-27)*0.25</f>
        <v/>
      </c>
      <c r="L16" s="31" t="n">
        <v>0.3</v>
      </c>
      <c r="M16" s="89" t="n"/>
      <c r="N16" s="89" t="n"/>
      <c r="O16" s="89" t="n"/>
      <c r="P16" s="89" t="n"/>
      <c r="Q16" s="89" t="n"/>
      <c r="R16" s="89" t="n"/>
      <c r="S16" s="89" t="n"/>
      <c r="T16" s="89" t="n"/>
      <c r="U16" s="89" t="n"/>
      <c r="V16" s="89" t="n"/>
      <c r="W16" s="89" t="n"/>
      <c r="X16" s="89" t="n"/>
      <c r="Y16" s="89" t="n"/>
      <c r="Z16" s="90" t="n"/>
      <c r="AA16" s="90" t="n"/>
      <c r="AB16" s="90" t="n"/>
      <c r="AC16" s="90" t="n"/>
      <c r="AD16" s="90" t="n"/>
      <c r="AE16" s="90" t="n"/>
      <c r="AF16" s="90" t="n"/>
      <c r="AG16" s="90" t="n"/>
      <c r="AH16" s="90" t="n"/>
      <c r="AI16" s="90" t="n"/>
      <c r="AJ16" s="90" t="n"/>
      <c r="AK16" s="90" t="n"/>
      <c r="AL16" s="90" t="n"/>
      <c r="AM16" s="32" t="n"/>
      <c r="AN16" s="32" t="n"/>
      <c r="AO16" s="32" t="n"/>
      <c r="AP16" s="32" t="n"/>
      <c r="AQ16" s="32" t="n"/>
      <c r="AR16" s="32" t="n"/>
      <c r="AS16" s="32" t="n"/>
      <c r="AT16" s="32" t="n"/>
      <c r="AU16" s="32" t="n"/>
      <c r="AV16" s="32" t="n"/>
      <c r="AW16" s="32" t="n"/>
      <c r="AX16" s="32" t="n"/>
      <c r="AY16" s="32" t="n"/>
      <c r="AZ16" s="36" t="n"/>
      <c r="BA16" s="36" t="n"/>
    </row>
    <row r="17">
      <c r="A17" s="31" t="n">
        <v>13</v>
      </c>
      <c r="B17" s="31">
        <f>B16</f>
        <v/>
      </c>
      <c r="C17" s="32">
        <f>GSD!#REF!</f>
        <v/>
      </c>
      <c r="D17" s="31">
        <f>GSD!#REF!</f>
        <v/>
      </c>
      <c r="E17" s="32" t="n">
        <v>27</v>
      </c>
      <c r="F17" s="88">
        <f>(0.000000002615*E17^4) - (0.00000030607*E17^3) + (0.000016427499*E17^2) - (0.000618546309*E17) + 0.017919182437</f>
        <v/>
      </c>
      <c r="G17" s="89" t="n"/>
      <c r="H17" s="31" t="n">
        <v>0.0005</v>
      </c>
      <c r="I17" s="31" t="n"/>
      <c r="J17" s="31" t="n"/>
      <c r="K17" s="32">
        <f>(E17-27)*0.25</f>
        <v/>
      </c>
      <c r="L17" s="31" t="n">
        <v>0.3</v>
      </c>
      <c r="M17" s="89" t="n"/>
      <c r="N17" s="89" t="n"/>
      <c r="O17" s="89" t="n"/>
      <c r="P17" s="89" t="n"/>
      <c r="Q17" s="89" t="n"/>
      <c r="R17" s="89" t="n"/>
      <c r="S17" s="89" t="n"/>
      <c r="T17" s="89" t="n"/>
      <c r="U17" s="89" t="n"/>
      <c r="V17" s="89" t="n"/>
      <c r="W17" s="89" t="n"/>
      <c r="X17" s="89" t="n"/>
      <c r="Y17" s="89" t="n"/>
      <c r="Z17" s="90" t="n"/>
      <c r="AA17" s="90" t="n"/>
      <c r="AB17" s="90" t="n"/>
      <c r="AC17" s="90" t="n"/>
      <c r="AD17" s="90" t="n"/>
      <c r="AE17" s="90" t="n"/>
      <c r="AF17" s="90" t="n"/>
      <c r="AG17" s="90" t="n"/>
      <c r="AH17" s="90" t="n"/>
      <c r="AI17" s="90" t="n"/>
      <c r="AJ17" s="90" t="n"/>
      <c r="AK17" s="90" t="n"/>
      <c r="AL17" s="90" t="n"/>
      <c r="AM17" s="32" t="n"/>
      <c r="AN17" s="32" t="n"/>
      <c r="AO17" s="32" t="n"/>
      <c r="AP17" s="32" t="n"/>
      <c r="AQ17" s="32" t="n"/>
      <c r="AR17" s="32" t="n"/>
      <c r="AS17" s="32" t="n"/>
      <c r="AT17" s="32" t="n"/>
      <c r="AU17" s="32" t="n"/>
      <c r="AV17" s="32" t="n"/>
      <c r="AW17" s="32" t="n"/>
      <c r="AX17" s="32" t="n"/>
      <c r="AY17" s="32" t="n"/>
      <c r="AZ17" s="36" t="n"/>
      <c r="BA17" s="36" t="n"/>
    </row>
    <row r="18">
      <c r="A18" s="31" t="n">
        <v>14</v>
      </c>
      <c r="B18" s="31">
        <f>B17</f>
        <v/>
      </c>
      <c r="C18" s="32">
        <f>GSD!#REF!</f>
        <v/>
      </c>
      <c r="D18" s="31">
        <f>GSD!#REF!</f>
        <v/>
      </c>
      <c r="E18" s="32" t="n">
        <v>27</v>
      </c>
      <c r="F18" s="88">
        <f>(0.000000002615*E18^4) - (0.00000030607*E18^3) + (0.000016427499*E18^2) - (0.000618546309*E18) + 0.017919182437</f>
        <v/>
      </c>
      <c r="G18" s="89" t="n"/>
      <c r="H18" s="31" t="n">
        <v>0.0005</v>
      </c>
      <c r="I18" s="31" t="n"/>
      <c r="J18" s="31" t="n"/>
      <c r="K18" s="32">
        <f>(E18-27)*0.25</f>
        <v/>
      </c>
      <c r="L18" s="31" t="n">
        <v>0.3</v>
      </c>
      <c r="M18" s="89" t="n"/>
      <c r="N18" s="89" t="n"/>
      <c r="O18" s="89" t="n"/>
      <c r="P18" s="89" t="n"/>
      <c r="Q18" s="89" t="n"/>
      <c r="R18" s="89" t="n"/>
      <c r="S18" s="89" t="n"/>
      <c r="T18" s="89" t="n"/>
      <c r="U18" s="89" t="n"/>
      <c r="V18" s="89" t="n"/>
      <c r="W18" s="89" t="n"/>
      <c r="X18" s="89" t="n"/>
      <c r="Y18" s="89" t="n"/>
      <c r="Z18" s="90" t="n"/>
      <c r="AA18" s="90" t="n"/>
      <c r="AB18" s="90" t="n"/>
      <c r="AC18" s="90" t="n"/>
      <c r="AD18" s="90" t="n"/>
      <c r="AE18" s="90" t="n"/>
      <c r="AF18" s="90" t="n"/>
      <c r="AG18" s="90" t="n"/>
      <c r="AH18" s="90" t="n"/>
      <c r="AI18" s="90" t="n"/>
      <c r="AJ18" s="90" t="n"/>
      <c r="AK18" s="90" t="n"/>
      <c r="AL18" s="90" t="n"/>
      <c r="AM18" s="32" t="n"/>
      <c r="AN18" s="32" t="n"/>
      <c r="AO18" s="32" t="n"/>
      <c r="AP18" s="32" t="n"/>
      <c r="AQ18" s="32" t="n"/>
      <c r="AR18" s="32" t="n"/>
      <c r="AS18" s="32" t="n"/>
      <c r="AT18" s="32" t="n"/>
      <c r="AU18" s="32" t="n"/>
      <c r="AV18" s="32" t="n"/>
      <c r="AW18" s="32" t="n"/>
      <c r="AX18" s="32" t="n"/>
      <c r="AY18" s="32" t="n"/>
      <c r="AZ18" s="36" t="n"/>
      <c r="BA18" s="36" t="n"/>
    </row>
    <row r="19">
      <c r="A19" s="31" t="n">
        <v>15</v>
      </c>
      <c r="B19" s="31">
        <f>B18</f>
        <v/>
      </c>
      <c r="C19" s="32">
        <f>GSD!#REF!</f>
        <v/>
      </c>
      <c r="D19" s="31">
        <f>GSD!#REF!</f>
        <v/>
      </c>
      <c r="E19" s="32" t="n">
        <v>27</v>
      </c>
      <c r="F19" s="88">
        <f>(0.000000002615*E19^4) - (0.00000030607*E19^3) + (0.000016427499*E19^2) - (0.000618546309*E19) + 0.017919182437</f>
        <v/>
      </c>
      <c r="G19" s="89" t="n"/>
      <c r="H19" s="31" t="n">
        <v>0.0005</v>
      </c>
      <c r="I19" s="31" t="n"/>
      <c r="J19" s="31" t="n"/>
      <c r="K19" s="32">
        <f>(E19-27)*0.25</f>
        <v/>
      </c>
      <c r="L19" s="31" t="n">
        <v>0.3</v>
      </c>
      <c r="M19" s="89" t="n"/>
      <c r="N19" s="89" t="n"/>
      <c r="O19" s="89" t="n"/>
      <c r="P19" s="89" t="n"/>
      <c r="Q19" s="89" t="n"/>
      <c r="R19" s="89" t="n"/>
      <c r="S19" s="89" t="n"/>
      <c r="T19" s="89" t="n"/>
      <c r="U19" s="89" t="n"/>
      <c r="V19" s="89" t="n"/>
      <c r="W19" s="89" t="n"/>
      <c r="X19" s="89" t="n"/>
      <c r="Y19" s="89" t="n"/>
      <c r="Z19" s="90" t="n"/>
      <c r="AA19" s="90" t="n"/>
      <c r="AB19" s="90" t="n"/>
      <c r="AC19" s="90" t="n"/>
      <c r="AD19" s="90" t="n"/>
      <c r="AE19" s="90" t="n"/>
      <c r="AF19" s="90" t="n"/>
      <c r="AG19" s="90" t="n"/>
      <c r="AH19" s="90" t="n"/>
      <c r="AI19" s="90" t="n"/>
      <c r="AJ19" s="90" t="n"/>
      <c r="AK19" s="90" t="n"/>
      <c r="AL19" s="90" t="n"/>
      <c r="AM19" s="32" t="n"/>
      <c r="AN19" s="32" t="n"/>
      <c r="AO19" s="32" t="n"/>
      <c r="AP19" s="32" t="n"/>
      <c r="AQ19" s="32" t="n"/>
      <c r="AR19" s="32" t="n"/>
      <c r="AS19" s="32" t="n"/>
      <c r="AT19" s="32" t="n"/>
      <c r="AU19" s="32" t="n"/>
      <c r="AV19" s="32" t="n"/>
      <c r="AW19" s="32" t="n"/>
      <c r="AX19" s="32" t="n"/>
      <c r="AY19" s="32" t="n"/>
      <c r="AZ19" s="36" t="n"/>
      <c r="BA19" s="36" t="n"/>
    </row>
    <row r="20">
      <c r="A20" s="31" t="n">
        <v>16</v>
      </c>
      <c r="B20" s="31">
        <f>B19</f>
        <v/>
      </c>
      <c r="C20" s="32">
        <f>GSD!#REF!</f>
        <v/>
      </c>
      <c r="D20" s="31">
        <f>GSD!#REF!</f>
        <v/>
      </c>
      <c r="E20" s="32" t="n">
        <v>27</v>
      </c>
      <c r="F20" s="88">
        <f>(0.000000002615*E20^4) - (0.00000030607*E20^3) + (0.000016427499*E20^2) - (0.000618546309*E20) + 0.017919182437</f>
        <v/>
      </c>
      <c r="G20" s="89" t="n"/>
      <c r="H20" s="31" t="n">
        <v>0.0005</v>
      </c>
      <c r="I20" s="31" t="n"/>
      <c r="J20" s="31" t="n"/>
      <c r="K20" s="32">
        <f>(E20-27)*0.25</f>
        <v/>
      </c>
      <c r="L20" s="31" t="n">
        <v>0.3</v>
      </c>
      <c r="M20" s="89" t="n"/>
      <c r="N20" s="89" t="n"/>
      <c r="O20" s="89" t="n"/>
      <c r="P20" s="89" t="n"/>
      <c r="Q20" s="89" t="n"/>
      <c r="R20" s="89" t="n"/>
      <c r="S20" s="89" t="n"/>
      <c r="T20" s="89" t="n"/>
      <c r="U20" s="89" t="n"/>
      <c r="V20" s="89" t="n"/>
      <c r="W20" s="89" t="n"/>
      <c r="X20" s="89" t="n"/>
      <c r="Y20" s="89" t="n"/>
      <c r="Z20" s="90" t="n"/>
      <c r="AA20" s="90" t="n"/>
      <c r="AB20" s="90" t="n"/>
      <c r="AC20" s="90" t="n"/>
      <c r="AD20" s="90" t="n"/>
      <c r="AE20" s="90" t="n"/>
      <c r="AF20" s="90" t="n"/>
      <c r="AG20" s="90" t="n"/>
      <c r="AH20" s="90" t="n"/>
      <c r="AI20" s="90" t="n"/>
      <c r="AJ20" s="90" t="n"/>
      <c r="AK20" s="90" t="n"/>
      <c r="AL20" s="90" t="n"/>
      <c r="AM20" s="32" t="n"/>
      <c r="AN20" s="32" t="n"/>
      <c r="AO20" s="32" t="n"/>
      <c r="AP20" s="32" t="n"/>
      <c r="AQ20" s="32" t="n"/>
      <c r="AR20" s="32" t="n"/>
      <c r="AS20" s="32" t="n"/>
      <c r="AT20" s="32" t="n"/>
      <c r="AU20" s="32" t="n"/>
      <c r="AV20" s="32" t="n"/>
      <c r="AW20" s="32" t="n"/>
      <c r="AX20" s="32" t="n"/>
      <c r="AY20" s="32" t="n"/>
      <c r="AZ20" s="36" t="n"/>
      <c r="BA20" s="36" t="n"/>
    </row>
    <row r="21">
      <c r="A21" s="31" t="n">
        <v>17</v>
      </c>
      <c r="B21" s="31">
        <f>B20</f>
        <v/>
      </c>
      <c r="C21" s="32">
        <f>GSD!#REF!</f>
        <v/>
      </c>
      <c r="D21" s="31">
        <f>GSD!#REF!</f>
        <v/>
      </c>
      <c r="E21" s="32" t="n">
        <v>27</v>
      </c>
      <c r="F21" s="88">
        <f>(0.000000002615*E21^4) - (0.00000030607*E21^3) + (0.000016427499*E21^2) - (0.000618546309*E21) + 0.017919182437</f>
        <v/>
      </c>
      <c r="G21" s="89" t="n"/>
      <c r="H21" s="31" t="n">
        <v>0.0005</v>
      </c>
      <c r="I21" s="31" t="n"/>
      <c r="J21" s="31" t="n"/>
      <c r="K21" s="32">
        <f>(E21-27)*0.25</f>
        <v/>
      </c>
      <c r="L21" s="31" t="n">
        <v>0.3</v>
      </c>
      <c r="M21" s="89" t="n"/>
      <c r="N21" s="89" t="n"/>
      <c r="O21" s="89" t="n"/>
      <c r="P21" s="89" t="n"/>
      <c r="Q21" s="89" t="n"/>
      <c r="R21" s="89" t="n"/>
      <c r="S21" s="89" t="n"/>
      <c r="T21" s="89" t="n"/>
      <c r="U21" s="89" t="n"/>
      <c r="V21" s="89" t="n"/>
      <c r="W21" s="89" t="n"/>
      <c r="X21" s="89" t="n"/>
      <c r="Y21" s="89" t="n"/>
      <c r="Z21" s="90" t="n"/>
      <c r="AA21" s="90" t="n"/>
      <c r="AB21" s="90" t="n"/>
      <c r="AC21" s="90" t="n"/>
      <c r="AD21" s="90" t="n"/>
      <c r="AE21" s="90" t="n"/>
      <c r="AF21" s="90" t="n"/>
      <c r="AG21" s="90" t="n"/>
      <c r="AH21" s="90" t="n"/>
      <c r="AI21" s="90" t="n"/>
      <c r="AJ21" s="90" t="n"/>
      <c r="AK21" s="90" t="n"/>
      <c r="AL21" s="90" t="n"/>
      <c r="AM21" s="32" t="n"/>
      <c r="AN21" s="32" t="n"/>
      <c r="AO21" s="32" t="n"/>
      <c r="AP21" s="32" t="n"/>
      <c r="AQ21" s="32" t="n"/>
      <c r="AR21" s="32" t="n"/>
      <c r="AS21" s="32" t="n"/>
      <c r="AT21" s="32" t="n"/>
      <c r="AU21" s="32" t="n"/>
      <c r="AV21" s="32" t="n"/>
      <c r="AW21" s="32" t="n"/>
      <c r="AX21" s="32" t="n"/>
      <c r="AY21" s="32" t="n"/>
      <c r="AZ21" s="36" t="n"/>
      <c r="BA21" s="36" t="n"/>
    </row>
    <row r="22">
      <c r="A22" s="31" t="n">
        <v>18</v>
      </c>
      <c r="B22" s="31">
        <f>B21</f>
        <v/>
      </c>
      <c r="C22" s="32">
        <f>GSD!#REF!</f>
        <v/>
      </c>
      <c r="D22" s="31">
        <f>GSD!#REF!</f>
        <v/>
      </c>
      <c r="E22" s="32" t="n">
        <v>27</v>
      </c>
      <c r="F22" s="88">
        <f>(0.000000002615*E22^4) - (0.00000030607*E22^3) + (0.000016427499*E22^2) - (0.000618546309*E22) + 0.017919182437</f>
        <v/>
      </c>
      <c r="G22" s="89" t="n"/>
      <c r="H22" s="31" t="n">
        <v>0.0005</v>
      </c>
      <c r="I22" s="31" t="n"/>
      <c r="J22" s="31" t="n"/>
      <c r="K22" s="32">
        <f>(E22-27)*0.25</f>
        <v/>
      </c>
      <c r="L22" s="31" t="n">
        <v>0.3</v>
      </c>
      <c r="M22" s="89" t="n"/>
      <c r="N22" s="89" t="n"/>
      <c r="O22" s="89" t="n"/>
      <c r="P22" s="89" t="n"/>
      <c r="Q22" s="89" t="n"/>
      <c r="R22" s="89" t="n"/>
      <c r="S22" s="89" t="n"/>
      <c r="T22" s="89" t="n"/>
      <c r="U22" s="89" t="n"/>
      <c r="V22" s="89" t="n"/>
      <c r="W22" s="89" t="n"/>
      <c r="X22" s="89" t="n"/>
      <c r="Y22" s="89" t="n"/>
      <c r="Z22" s="90" t="n"/>
      <c r="AA22" s="90" t="n"/>
      <c r="AB22" s="90" t="n"/>
      <c r="AC22" s="90" t="n"/>
      <c r="AD22" s="90" t="n"/>
      <c r="AE22" s="90" t="n"/>
      <c r="AF22" s="90" t="n"/>
      <c r="AG22" s="90" t="n"/>
      <c r="AH22" s="90" t="n"/>
      <c r="AI22" s="90" t="n"/>
      <c r="AJ22" s="90" t="n"/>
      <c r="AK22" s="90" t="n"/>
      <c r="AL22" s="90" t="n"/>
      <c r="AM22" s="32" t="n"/>
      <c r="AN22" s="32" t="n"/>
      <c r="AO22" s="32" t="n"/>
      <c r="AP22" s="32" t="n"/>
      <c r="AQ22" s="32" t="n"/>
      <c r="AR22" s="32" t="n"/>
      <c r="AS22" s="32" t="n"/>
      <c r="AT22" s="32" t="n"/>
      <c r="AU22" s="32" t="n"/>
      <c r="AV22" s="32" t="n"/>
      <c r="AW22" s="32" t="n"/>
      <c r="AX22" s="32" t="n"/>
      <c r="AY22" s="32" t="n"/>
      <c r="AZ22" s="36" t="n"/>
      <c r="BA22" s="36" t="n"/>
    </row>
    <row r="23">
      <c r="A23" s="31" t="n">
        <v>19</v>
      </c>
      <c r="B23" s="31">
        <f>B22</f>
        <v/>
      </c>
      <c r="C23" s="32">
        <f>GSD!#REF!</f>
        <v/>
      </c>
      <c r="D23" s="31">
        <f>GSD!#REF!</f>
        <v/>
      </c>
      <c r="E23" s="32" t="n">
        <v>27</v>
      </c>
      <c r="F23" s="88">
        <f>(0.000000002615*E23^4) - (0.00000030607*E23^3) + (0.000016427499*E23^2) - (0.000618546309*E23) + 0.017919182437</f>
        <v/>
      </c>
      <c r="G23" s="89" t="n"/>
      <c r="H23" s="31" t="n">
        <v>0.0005</v>
      </c>
      <c r="I23" s="31" t="n"/>
      <c r="J23" s="31" t="n"/>
      <c r="K23" s="32">
        <f>(E23-27)*0.25</f>
        <v/>
      </c>
      <c r="L23" s="31" t="n">
        <v>0.3</v>
      </c>
      <c r="M23" s="89" t="n"/>
      <c r="N23" s="89" t="n"/>
      <c r="O23" s="89" t="n"/>
      <c r="P23" s="89" t="n"/>
      <c r="Q23" s="89" t="n"/>
      <c r="R23" s="89" t="n"/>
      <c r="S23" s="89" t="n"/>
      <c r="T23" s="89" t="n"/>
      <c r="U23" s="89" t="n"/>
      <c r="V23" s="89" t="n"/>
      <c r="W23" s="89" t="n"/>
      <c r="X23" s="89" t="n"/>
      <c r="Y23" s="89" t="n"/>
      <c r="Z23" s="90" t="n"/>
      <c r="AA23" s="90" t="n"/>
      <c r="AB23" s="90" t="n"/>
      <c r="AC23" s="90" t="n"/>
      <c r="AD23" s="90" t="n"/>
      <c r="AE23" s="90" t="n"/>
      <c r="AF23" s="90" t="n"/>
      <c r="AG23" s="90" t="n"/>
      <c r="AH23" s="90" t="n"/>
      <c r="AI23" s="90" t="n"/>
      <c r="AJ23" s="90" t="n"/>
      <c r="AK23" s="90" t="n"/>
      <c r="AL23" s="90" t="n"/>
      <c r="AM23" s="32" t="n"/>
      <c r="AN23" s="32" t="n"/>
      <c r="AO23" s="32" t="n"/>
      <c r="AP23" s="32" t="n"/>
      <c r="AQ23" s="32" t="n"/>
      <c r="AR23" s="32" t="n"/>
      <c r="AS23" s="32" t="n"/>
      <c r="AT23" s="32" t="n"/>
      <c r="AU23" s="32" t="n"/>
      <c r="AV23" s="32" t="n"/>
      <c r="AW23" s="32" t="n"/>
      <c r="AX23" s="32" t="n"/>
      <c r="AY23" s="32" t="n"/>
      <c r="AZ23" s="36" t="n"/>
      <c r="BA23" s="36" t="n"/>
    </row>
    <row r="24">
      <c r="A24" s="31" t="n">
        <v>20</v>
      </c>
      <c r="B24" s="31">
        <f>B23</f>
        <v/>
      </c>
      <c r="C24" s="32">
        <f>GSD!#REF!</f>
        <v/>
      </c>
      <c r="D24" s="31">
        <f>GSD!#REF!</f>
        <v/>
      </c>
      <c r="E24" s="32" t="n">
        <v>28</v>
      </c>
      <c r="F24" s="88">
        <f>(0.000000002615*E24^4) - (0.00000030607*E24^3) + (0.000016427499*E24^2) - (0.000618546309*E24) + 0.017919182437</f>
        <v/>
      </c>
      <c r="G24" s="89" t="n"/>
      <c r="H24" s="31" t="n">
        <v>0.0005</v>
      </c>
      <c r="I24" s="31" t="n"/>
      <c r="J24" s="31" t="n"/>
      <c r="K24" s="32">
        <f>(E24-27)*0.25</f>
        <v/>
      </c>
      <c r="L24" s="31" t="n">
        <v>0.3</v>
      </c>
      <c r="M24" s="89" t="n"/>
      <c r="N24" s="89" t="n"/>
      <c r="O24" s="89" t="n"/>
      <c r="P24" s="89" t="n"/>
      <c r="Q24" s="89" t="n"/>
      <c r="R24" s="89" t="n"/>
      <c r="S24" s="89" t="n"/>
      <c r="T24" s="89" t="n"/>
      <c r="U24" s="89" t="n"/>
      <c r="V24" s="89" t="n"/>
      <c r="W24" s="89" t="n"/>
      <c r="X24" s="89" t="n"/>
      <c r="Y24" s="89" t="n"/>
      <c r="Z24" s="90" t="n"/>
      <c r="AA24" s="90" t="n"/>
      <c r="AB24" s="90" t="n"/>
      <c r="AC24" s="90" t="n"/>
      <c r="AD24" s="90" t="n"/>
      <c r="AE24" s="90" t="n"/>
      <c r="AF24" s="90" t="n"/>
      <c r="AG24" s="90" t="n"/>
      <c r="AH24" s="90" t="n"/>
      <c r="AI24" s="90" t="n"/>
      <c r="AJ24" s="90" t="n"/>
      <c r="AK24" s="90" t="n"/>
      <c r="AL24" s="90" t="n"/>
      <c r="AM24" s="32" t="n"/>
      <c r="AN24" s="32" t="n"/>
      <c r="AO24" s="32" t="n"/>
      <c r="AP24" s="32" t="n"/>
      <c r="AQ24" s="32" t="n"/>
      <c r="AR24" s="32" t="n"/>
      <c r="AS24" s="32" t="n"/>
      <c r="AT24" s="32" t="n"/>
      <c r="AU24" s="32" t="n"/>
      <c r="AV24" s="32" t="n"/>
      <c r="AW24" s="32" t="n"/>
      <c r="AX24" s="32" t="n"/>
      <c r="AY24" s="32" t="n"/>
    </row>
    <row r="25">
      <c r="A25" s="31" t="n">
        <v>21</v>
      </c>
      <c r="B25" s="31">
        <f>B24</f>
        <v/>
      </c>
      <c r="C25" s="32">
        <f>GSD!#REF!</f>
        <v/>
      </c>
      <c r="D25" s="31">
        <f>GSD!#REF!</f>
        <v/>
      </c>
      <c r="E25" s="32" t="n">
        <v>29</v>
      </c>
      <c r="F25" s="88">
        <f>(0.000000002615*E25^4) - (0.00000030607*E25^3) + (0.000016427499*E25^2) - (0.000618546309*E25) + 0.017919182437</f>
        <v/>
      </c>
      <c r="G25" s="89" t="n"/>
      <c r="H25" s="31" t="n">
        <v>0.0005</v>
      </c>
      <c r="I25" s="31" t="n"/>
      <c r="J25" s="31" t="n"/>
      <c r="K25" s="32">
        <f>(E25-27)*0.25</f>
        <v/>
      </c>
      <c r="L25" s="31" t="n">
        <v>0.3</v>
      </c>
      <c r="M25" s="89" t="n"/>
      <c r="N25" s="89" t="n"/>
      <c r="O25" s="89" t="n"/>
      <c r="P25" s="89" t="n"/>
      <c r="Q25" s="89" t="n"/>
      <c r="R25" s="89" t="n"/>
      <c r="S25" s="89" t="n"/>
      <c r="T25" s="89" t="n"/>
      <c r="U25" s="89" t="n"/>
      <c r="V25" s="89" t="n"/>
      <c r="W25" s="89" t="n"/>
      <c r="X25" s="89" t="n"/>
      <c r="Y25" s="89" t="n"/>
      <c r="Z25" s="90" t="n"/>
      <c r="AA25" s="90" t="n"/>
      <c r="AB25" s="90" t="n"/>
      <c r="AC25" s="90" t="n"/>
      <c r="AD25" s="90" t="n"/>
      <c r="AE25" s="90" t="n"/>
      <c r="AF25" s="90" t="n"/>
      <c r="AG25" s="90" t="n"/>
      <c r="AH25" s="90" t="n"/>
      <c r="AI25" s="90" t="n"/>
      <c r="AJ25" s="90" t="n"/>
      <c r="AK25" s="90" t="n"/>
      <c r="AL25" s="90" t="n"/>
      <c r="AM25" s="32" t="n"/>
      <c r="AN25" s="32" t="n"/>
      <c r="AO25" s="32" t="n"/>
      <c r="AP25" s="32" t="n"/>
      <c r="AQ25" s="32" t="n"/>
      <c r="AR25" s="32" t="n"/>
      <c r="AS25" s="32" t="n"/>
      <c r="AT25" s="32" t="n"/>
      <c r="AU25" s="32" t="n"/>
      <c r="AV25" s="32" t="n"/>
      <c r="AW25" s="32" t="n"/>
      <c r="AX25" s="32" t="n"/>
      <c r="AY25" s="32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workbookViewId="0">
      <selection activeCell="A1" sqref="A1"/>
    </sheetView>
  </sheetViews>
  <sheetFormatPr baseColWidth="8" defaultRowHeight="14.4"/>
  <sheetData>
    <row r="1" ht="28.8" customHeight="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18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18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18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18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18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18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18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18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18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18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18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18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18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18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18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18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18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18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18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18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18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18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18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18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18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18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18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18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18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18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18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18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18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18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18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18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18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18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18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18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S35"/>
  <sheetViews>
    <sheetView zoomScaleNormal="100" workbookViewId="0">
      <selection activeCell="F20" sqref="F20"/>
    </sheetView>
  </sheetViews>
  <sheetFormatPr baseColWidth="8" defaultRowHeight="14.4"/>
  <cols>
    <col width="9.109375" customWidth="1" min="4" max="27"/>
    <col width="9.109375" customWidth="1" style="30" min="28" max="28"/>
  </cols>
  <sheetData>
    <row r="1">
      <c r="J1" s="24" t="n">
        <v>0.5</v>
      </c>
      <c r="K1" s="24" t="n">
        <v>1</v>
      </c>
      <c r="L1" s="24" t="n">
        <v>2</v>
      </c>
      <c r="M1" s="24" t="n">
        <v>4</v>
      </c>
      <c r="N1" s="24" t="n">
        <v>8</v>
      </c>
      <c r="O1" s="24" t="n">
        <v>15</v>
      </c>
      <c r="P1" s="24" t="n">
        <v>30</v>
      </c>
      <c r="Q1" s="24" t="n">
        <v>60</v>
      </c>
      <c r="R1" s="24" t="n">
        <v>120</v>
      </c>
      <c r="S1" s="24" t="n">
        <v>240</v>
      </c>
      <c r="T1" s="24" t="n">
        <v>480</v>
      </c>
      <c r="U1" s="24" t="n">
        <v>960</v>
      </c>
      <c r="V1" s="24" t="n">
        <v>1440</v>
      </c>
      <c r="W1" s="24" t="n">
        <v>4.75</v>
      </c>
      <c r="X1" s="91" t="n">
        <v>2</v>
      </c>
      <c r="Y1" s="27" t="n">
        <v>0.425</v>
      </c>
      <c r="Z1" s="27" t="n">
        <v>0.212</v>
      </c>
      <c r="AA1" s="27" t="n">
        <v>0.15</v>
      </c>
      <c r="AB1" s="24" t="n">
        <v>0.075</v>
      </c>
      <c r="AC1" s="24" t="n">
        <v>0.5</v>
      </c>
      <c r="AD1" s="24" t="n">
        <v>1</v>
      </c>
      <c r="AE1" s="24" t="n">
        <v>2</v>
      </c>
      <c r="AF1" s="24" t="n">
        <v>4</v>
      </c>
      <c r="AG1" s="24" t="n">
        <v>8</v>
      </c>
      <c r="AH1" s="24" t="n">
        <v>15</v>
      </c>
      <c r="AI1" s="24" t="n">
        <v>30</v>
      </c>
      <c r="AJ1" s="24" t="n">
        <v>60</v>
      </c>
      <c r="AK1" s="24" t="n">
        <v>120</v>
      </c>
      <c r="AL1" s="24" t="n">
        <v>240</v>
      </c>
      <c r="AM1" s="24" t="n">
        <v>480</v>
      </c>
      <c r="AN1" s="24" t="n">
        <v>960</v>
      </c>
      <c r="AO1" s="24" t="n">
        <v>1440</v>
      </c>
    </row>
    <row r="2">
      <c r="A2" s="72" t="inlineStr">
        <is>
          <t>SR No.</t>
        </is>
      </c>
      <c r="B2" s="72" t="inlineStr">
        <is>
          <t>BH ID</t>
        </is>
      </c>
      <c r="C2" s="72" t="inlineStr">
        <is>
          <t>Depth</t>
        </is>
      </c>
      <c r="D2" s="71" t="inlineStr">
        <is>
          <t>Particle Size in mm (GSD)</t>
        </is>
      </c>
      <c r="E2" s="77" t="n"/>
      <c r="F2" s="77" t="n"/>
      <c r="G2" s="77" t="n"/>
      <c r="H2" s="77" t="n"/>
      <c r="I2" s="78" t="n"/>
      <c r="J2" s="71" t="inlineStr">
        <is>
          <t>Particle Size in mm (HYD)</t>
        </is>
      </c>
      <c r="K2" s="77" t="n"/>
      <c r="L2" s="77" t="n"/>
      <c r="M2" s="77" t="n"/>
      <c r="N2" s="77" t="n"/>
      <c r="O2" s="77" t="n"/>
      <c r="P2" s="77" t="n"/>
      <c r="Q2" s="77" t="n"/>
      <c r="R2" s="77" t="n"/>
      <c r="S2" s="77" t="n"/>
      <c r="T2" s="77" t="n"/>
      <c r="U2" s="77" t="n"/>
      <c r="V2" s="78" t="n"/>
      <c r="W2" s="72" t="inlineStr">
        <is>
          <t>% Passing (GSD)</t>
        </is>
      </c>
      <c r="X2" s="77" t="n"/>
      <c r="Y2" s="77" t="n"/>
      <c r="Z2" s="77" t="n"/>
      <c r="AA2" s="77" t="n"/>
      <c r="AB2" s="78" t="n"/>
      <c r="AC2" s="71" t="inlineStr">
        <is>
          <t>% Passing (HYD)</t>
        </is>
      </c>
      <c r="AD2" s="77" t="n"/>
      <c r="AE2" s="77" t="n"/>
      <c r="AF2" s="77" t="n"/>
      <c r="AG2" s="77" t="n"/>
      <c r="AH2" s="77" t="n"/>
      <c r="AI2" s="77" t="n"/>
      <c r="AJ2" s="77" t="n"/>
      <c r="AK2" s="77" t="n"/>
      <c r="AL2" s="77" t="n"/>
      <c r="AM2" s="77" t="n"/>
      <c r="AN2" s="77" t="n"/>
      <c r="AO2" s="78" t="n"/>
      <c r="AP2" s="72" t="inlineStr">
        <is>
          <t>% Gravel</t>
        </is>
      </c>
      <c r="AQ2" s="72" t="inlineStr">
        <is>
          <t>% Sand</t>
        </is>
      </c>
      <c r="AR2" s="72" t="inlineStr">
        <is>
          <t>% Silt</t>
        </is>
      </c>
      <c r="AS2" s="72" t="inlineStr">
        <is>
          <t>% Clay</t>
        </is>
      </c>
    </row>
    <row r="3" customFormat="1" s="18">
      <c r="A3" s="18" t="n">
        <v>1</v>
      </c>
      <c r="B3" s="18">
        <f>GSD!B5</f>
        <v/>
      </c>
      <c r="C3" s="26">
        <f>GSD!F5</f>
        <v/>
      </c>
      <c r="D3" s="92" t="n">
        <v>4.75</v>
      </c>
      <c r="E3" s="92" t="n">
        <v>2</v>
      </c>
      <c r="F3" s="92" t="n">
        <v>0.425</v>
      </c>
      <c r="G3" s="92" t="n">
        <v>0.212</v>
      </c>
      <c r="H3" s="92" t="n">
        <v>0.15</v>
      </c>
      <c r="I3" s="92" t="n">
        <v>0.075</v>
      </c>
      <c r="J3" s="93">
        <f>HYD!Z5</f>
        <v/>
      </c>
      <c r="K3" s="93">
        <f>HYD!AA5</f>
        <v/>
      </c>
      <c r="L3" s="93">
        <f>HYD!AB5</f>
        <v/>
      </c>
      <c r="M3" s="93">
        <f>HYD!AC5</f>
        <v/>
      </c>
      <c r="N3" s="93">
        <f>HYD!AD5</f>
        <v/>
      </c>
      <c r="O3" s="93">
        <f>HYD!AE5</f>
        <v/>
      </c>
      <c r="P3" s="93">
        <f>HYD!AF5</f>
        <v/>
      </c>
      <c r="Q3" s="93">
        <f>HYD!AG5</f>
        <v/>
      </c>
      <c r="R3" s="93">
        <f>HYD!AH5</f>
        <v/>
      </c>
      <c r="S3" s="93">
        <f>HYD!AI5</f>
        <v/>
      </c>
      <c r="T3" s="93">
        <f>HYD!AJ5</f>
        <v/>
      </c>
      <c r="U3" s="93">
        <f>HYD!AK5</f>
        <v/>
      </c>
      <c r="V3" s="93">
        <f>HYD!AL5</f>
        <v/>
      </c>
      <c r="W3" s="1">
        <f>GSD!Q5</f>
        <v/>
      </c>
      <c r="X3" s="1">
        <f>GSD!R5</f>
        <v/>
      </c>
      <c r="Y3" s="1">
        <f>GSD!S5</f>
        <v/>
      </c>
      <c r="Z3" s="1">
        <f>GSD!T5</f>
        <v/>
      </c>
      <c r="AA3" s="1">
        <f>GSD!U5</f>
        <v/>
      </c>
      <c r="AB3" s="38">
        <f>GSD!V5</f>
        <v/>
      </c>
      <c r="AC3" s="38">
        <f>HYD!AM5</f>
        <v/>
      </c>
      <c r="AD3" s="1">
        <f>HYD!AN5</f>
        <v/>
      </c>
      <c r="AE3" s="1">
        <f>HYD!AO5</f>
        <v/>
      </c>
      <c r="AF3" s="1">
        <f>HYD!AP5</f>
        <v/>
      </c>
      <c r="AG3" s="1">
        <f>HYD!AQ5</f>
        <v/>
      </c>
      <c r="AH3" s="1">
        <f>HYD!AR5</f>
        <v/>
      </c>
      <c r="AI3" s="1">
        <f>HYD!AS5</f>
        <v/>
      </c>
      <c r="AJ3" s="1">
        <f>HYD!AT5</f>
        <v/>
      </c>
      <c r="AK3" s="1">
        <f>HYD!AU5</f>
        <v/>
      </c>
      <c r="AL3" s="1">
        <f>HYD!AV5</f>
        <v/>
      </c>
      <c r="AM3" s="1">
        <f>HYD!AW5</f>
        <v/>
      </c>
      <c r="AN3" s="1">
        <f>HYD!AX5</f>
        <v/>
      </c>
      <c r="AO3" s="1">
        <f>HYD!AY5</f>
        <v/>
      </c>
      <c r="AP3" s="1" t="n"/>
      <c r="AQ3" s="1" t="n"/>
      <c r="AR3" s="1" t="n"/>
      <c r="AS3" s="1" t="n"/>
    </row>
    <row r="4">
      <c r="A4" s="18" t="n">
        <v>2</v>
      </c>
      <c r="B4" s="18">
        <f>B3</f>
        <v/>
      </c>
      <c r="C4" s="26">
        <f>GSD!F6</f>
        <v/>
      </c>
      <c r="D4" s="92" t="n">
        <v>4.75</v>
      </c>
      <c r="E4" s="92" t="n">
        <v>2</v>
      </c>
      <c r="F4" s="92" t="n">
        <v>0.425</v>
      </c>
      <c r="G4" s="92" t="n">
        <v>0.212</v>
      </c>
      <c r="H4" s="92" t="n">
        <v>0.15</v>
      </c>
      <c r="I4" s="92" t="n">
        <v>0.075</v>
      </c>
      <c r="J4" s="93">
        <f>HYD!Z6</f>
        <v/>
      </c>
      <c r="K4" s="93">
        <f>HYD!AA6</f>
        <v/>
      </c>
      <c r="L4" s="93">
        <f>HYD!AB6</f>
        <v/>
      </c>
      <c r="M4" s="93">
        <f>HYD!AC6</f>
        <v/>
      </c>
      <c r="N4" s="93">
        <f>HYD!AD6</f>
        <v/>
      </c>
      <c r="O4" s="93">
        <f>HYD!AE6</f>
        <v/>
      </c>
      <c r="P4" s="93">
        <f>HYD!AF6</f>
        <v/>
      </c>
      <c r="Q4" s="93">
        <f>HYD!AG6</f>
        <v/>
      </c>
      <c r="R4" s="93">
        <f>HYD!AH6</f>
        <v/>
      </c>
      <c r="S4" s="93">
        <f>HYD!AI6</f>
        <v/>
      </c>
      <c r="T4" s="93">
        <f>HYD!AJ6</f>
        <v/>
      </c>
      <c r="U4" s="93">
        <f>HYD!AK6</f>
        <v/>
      </c>
      <c r="V4" s="93">
        <f>HYD!AL6</f>
        <v/>
      </c>
      <c r="W4" s="1">
        <f>GSD!Q6</f>
        <v/>
      </c>
      <c r="X4" s="1">
        <f>GSD!R6</f>
        <v/>
      </c>
      <c r="Y4" s="1">
        <f>GSD!S6</f>
        <v/>
      </c>
      <c r="Z4" s="1">
        <f>GSD!T6</f>
        <v/>
      </c>
      <c r="AA4" s="1">
        <f>GSD!U6</f>
        <v/>
      </c>
      <c r="AB4" s="38">
        <f>GSD!V6</f>
        <v/>
      </c>
      <c r="AC4" s="38">
        <f>HYD!AM6</f>
        <v/>
      </c>
      <c r="AD4" s="1">
        <f>HYD!AN6</f>
        <v/>
      </c>
      <c r="AE4" s="1">
        <f>HYD!AO6</f>
        <v/>
      </c>
      <c r="AF4" s="1">
        <f>HYD!AP6</f>
        <v/>
      </c>
      <c r="AG4" s="1">
        <f>HYD!AQ6</f>
        <v/>
      </c>
      <c r="AH4" s="1">
        <f>HYD!AR6</f>
        <v/>
      </c>
      <c r="AI4" s="1">
        <f>HYD!AS6</f>
        <v/>
      </c>
      <c r="AJ4" s="1">
        <f>HYD!AT6</f>
        <v/>
      </c>
      <c r="AK4" s="1">
        <f>HYD!AU6</f>
        <v/>
      </c>
      <c r="AL4" s="1">
        <f>HYD!AV6</f>
        <v/>
      </c>
      <c r="AM4" s="1">
        <f>HYD!AW6</f>
        <v/>
      </c>
      <c r="AN4" s="1">
        <f>HYD!AX6</f>
        <v/>
      </c>
      <c r="AO4" s="1">
        <f>HYD!AY6</f>
        <v/>
      </c>
      <c r="AP4" s="1" t="n"/>
      <c r="AQ4" s="1" t="n"/>
      <c r="AR4" s="1" t="n"/>
      <c r="AS4" s="1" t="n"/>
    </row>
    <row r="5">
      <c r="A5" s="18" t="n">
        <v>3</v>
      </c>
      <c r="B5" s="18">
        <f>B4</f>
        <v/>
      </c>
      <c r="C5" s="26">
        <f>GSD!F7</f>
        <v/>
      </c>
      <c r="D5" s="92" t="n">
        <v>4.75</v>
      </c>
      <c r="E5" s="92" t="n">
        <v>2</v>
      </c>
      <c r="F5" s="92" t="n">
        <v>0.425</v>
      </c>
      <c r="G5" s="92" t="n">
        <v>0.212</v>
      </c>
      <c r="H5" s="92" t="n">
        <v>0.15</v>
      </c>
      <c r="I5" s="92" t="n">
        <v>0.075</v>
      </c>
      <c r="J5" s="93">
        <f>HYD!Z7</f>
        <v/>
      </c>
      <c r="K5" s="93">
        <f>HYD!AA7</f>
        <v/>
      </c>
      <c r="L5" s="93">
        <f>HYD!AB7</f>
        <v/>
      </c>
      <c r="M5" s="93">
        <f>HYD!AC7</f>
        <v/>
      </c>
      <c r="N5" s="93">
        <f>HYD!AD7</f>
        <v/>
      </c>
      <c r="O5" s="93">
        <f>HYD!AE7</f>
        <v/>
      </c>
      <c r="P5" s="93">
        <f>HYD!AF7</f>
        <v/>
      </c>
      <c r="Q5" s="93">
        <f>HYD!AG7</f>
        <v/>
      </c>
      <c r="R5" s="93">
        <f>HYD!AH7</f>
        <v/>
      </c>
      <c r="S5" s="93">
        <f>HYD!AI7</f>
        <v/>
      </c>
      <c r="T5" s="93">
        <f>HYD!AJ7</f>
        <v/>
      </c>
      <c r="U5" s="93">
        <f>HYD!AK7</f>
        <v/>
      </c>
      <c r="V5" s="93">
        <f>HYD!AL7</f>
        <v/>
      </c>
      <c r="W5" s="1">
        <f>GSD!Q7</f>
        <v/>
      </c>
      <c r="X5" s="1">
        <f>GSD!R7</f>
        <v/>
      </c>
      <c r="Y5" s="1">
        <f>GSD!S7</f>
        <v/>
      </c>
      <c r="Z5" s="1">
        <f>GSD!T7</f>
        <v/>
      </c>
      <c r="AA5" s="1">
        <f>GSD!U7</f>
        <v/>
      </c>
      <c r="AB5" s="38">
        <f>GSD!V7</f>
        <v/>
      </c>
      <c r="AC5" s="38">
        <f>HYD!AM7</f>
        <v/>
      </c>
      <c r="AD5" s="1">
        <f>HYD!AN7</f>
        <v/>
      </c>
      <c r="AE5" s="1">
        <f>HYD!AO7</f>
        <v/>
      </c>
      <c r="AF5" s="1">
        <f>HYD!AP7</f>
        <v/>
      </c>
      <c r="AG5" s="1">
        <f>HYD!AQ7</f>
        <v/>
      </c>
      <c r="AH5" s="1">
        <f>HYD!AR7</f>
        <v/>
      </c>
      <c r="AI5" s="1">
        <f>HYD!AS7</f>
        <v/>
      </c>
      <c r="AJ5" s="1">
        <f>HYD!AT7</f>
        <v/>
      </c>
      <c r="AK5" s="1">
        <f>HYD!AU7</f>
        <v/>
      </c>
      <c r="AL5" s="1">
        <f>HYD!AV7</f>
        <v/>
      </c>
      <c r="AM5" s="1">
        <f>HYD!AW7</f>
        <v/>
      </c>
      <c r="AN5" s="1">
        <f>HYD!AX7</f>
        <v/>
      </c>
      <c r="AO5" s="1">
        <f>HYD!AY7</f>
        <v/>
      </c>
      <c r="AP5" s="1" t="n"/>
      <c r="AQ5" s="1" t="n"/>
      <c r="AR5" s="1" t="n"/>
      <c r="AS5" s="1" t="n"/>
    </row>
    <row r="6">
      <c r="A6" s="18" t="n">
        <v>4</v>
      </c>
      <c r="B6" s="18">
        <f>B5</f>
        <v/>
      </c>
      <c r="C6" s="26">
        <f>GSD!F8</f>
        <v/>
      </c>
      <c r="D6" s="92" t="n">
        <v>4.75</v>
      </c>
      <c r="E6" s="92" t="n">
        <v>2</v>
      </c>
      <c r="F6" s="92" t="n">
        <v>0.425</v>
      </c>
      <c r="G6" s="92" t="n">
        <v>0.212</v>
      </c>
      <c r="H6" s="92" t="n">
        <v>0.15</v>
      </c>
      <c r="I6" s="92" t="n">
        <v>0.075</v>
      </c>
      <c r="J6" s="93">
        <f>HYD!Z8</f>
        <v/>
      </c>
      <c r="K6" s="93">
        <f>HYD!AA8</f>
        <v/>
      </c>
      <c r="L6" s="93">
        <f>HYD!AB8</f>
        <v/>
      </c>
      <c r="M6" s="93">
        <f>HYD!AC8</f>
        <v/>
      </c>
      <c r="N6" s="93">
        <f>HYD!AD8</f>
        <v/>
      </c>
      <c r="O6" s="93">
        <f>HYD!AE8</f>
        <v/>
      </c>
      <c r="P6" s="93">
        <f>HYD!AF8</f>
        <v/>
      </c>
      <c r="Q6" s="93">
        <f>HYD!AG8</f>
        <v/>
      </c>
      <c r="R6" s="93">
        <f>HYD!AH8</f>
        <v/>
      </c>
      <c r="S6" s="93">
        <f>HYD!AI8</f>
        <v/>
      </c>
      <c r="T6" s="93">
        <f>HYD!AJ8</f>
        <v/>
      </c>
      <c r="U6" s="93">
        <f>HYD!AK8</f>
        <v/>
      </c>
      <c r="V6" s="93">
        <f>HYD!AL8</f>
        <v/>
      </c>
      <c r="W6" s="1">
        <f>GSD!Q8</f>
        <v/>
      </c>
      <c r="X6" s="1">
        <f>GSD!R8</f>
        <v/>
      </c>
      <c r="Y6" s="1">
        <f>GSD!S8</f>
        <v/>
      </c>
      <c r="Z6" s="1">
        <f>GSD!T8</f>
        <v/>
      </c>
      <c r="AA6" s="1">
        <f>GSD!U8</f>
        <v/>
      </c>
      <c r="AB6" s="38">
        <f>GSD!V8</f>
        <v/>
      </c>
      <c r="AC6" s="38">
        <f>HYD!AM8</f>
        <v/>
      </c>
      <c r="AD6" s="1">
        <f>HYD!AN8</f>
        <v/>
      </c>
      <c r="AE6" s="1">
        <f>HYD!AO8</f>
        <v/>
      </c>
      <c r="AF6" s="1">
        <f>HYD!AP8</f>
        <v/>
      </c>
      <c r="AG6" s="1">
        <f>HYD!AQ8</f>
        <v/>
      </c>
      <c r="AH6" s="1">
        <f>HYD!AR8</f>
        <v/>
      </c>
      <c r="AI6" s="1">
        <f>HYD!AS8</f>
        <v/>
      </c>
      <c r="AJ6" s="1">
        <f>HYD!AT8</f>
        <v/>
      </c>
      <c r="AK6" s="1">
        <f>HYD!AU8</f>
        <v/>
      </c>
      <c r="AL6" s="1">
        <f>HYD!AV8</f>
        <v/>
      </c>
      <c r="AM6" s="1">
        <f>HYD!AW8</f>
        <v/>
      </c>
      <c r="AN6" s="1">
        <f>HYD!AX8</f>
        <v/>
      </c>
      <c r="AO6" s="1">
        <f>HYD!AY8</f>
        <v/>
      </c>
      <c r="AP6" s="1" t="n"/>
      <c r="AQ6" s="1" t="n"/>
      <c r="AR6" s="1" t="n"/>
      <c r="AS6" s="1" t="n"/>
    </row>
    <row r="7">
      <c r="A7" s="18" t="n">
        <v>5</v>
      </c>
      <c r="B7" s="18">
        <f>B6</f>
        <v/>
      </c>
      <c r="C7" s="26">
        <f>GSD!F9</f>
        <v/>
      </c>
      <c r="D7" s="92" t="n">
        <v>4.75</v>
      </c>
      <c r="E7" s="92" t="n">
        <v>2</v>
      </c>
      <c r="F7" s="92" t="n">
        <v>0.425</v>
      </c>
      <c r="G7" s="92" t="n">
        <v>0.212</v>
      </c>
      <c r="H7" s="92" t="n">
        <v>0.15</v>
      </c>
      <c r="I7" s="92" t="n">
        <v>0.075</v>
      </c>
      <c r="J7" s="93">
        <f>HYD!Z9</f>
        <v/>
      </c>
      <c r="K7" s="93">
        <f>HYD!AA9</f>
        <v/>
      </c>
      <c r="L7" s="93">
        <f>HYD!AB9</f>
        <v/>
      </c>
      <c r="M7" s="93">
        <f>HYD!AC9</f>
        <v/>
      </c>
      <c r="N7" s="93">
        <f>HYD!AD9</f>
        <v/>
      </c>
      <c r="O7" s="93">
        <f>HYD!AE9</f>
        <v/>
      </c>
      <c r="P7" s="93">
        <f>HYD!AF9</f>
        <v/>
      </c>
      <c r="Q7" s="93">
        <f>HYD!AG9</f>
        <v/>
      </c>
      <c r="R7" s="93">
        <f>HYD!AH9</f>
        <v/>
      </c>
      <c r="S7" s="93">
        <f>HYD!AI9</f>
        <v/>
      </c>
      <c r="T7" s="93">
        <f>HYD!AJ9</f>
        <v/>
      </c>
      <c r="U7" s="93">
        <f>HYD!AK9</f>
        <v/>
      </c>
      <c r="V7" s="93">
        <f>HYD!AL9</f>
        <v/>
      </c>
      <c r="W7" s="1">
        <f>GSD!Q9</f>
        <v/>
      </c>
      <c r="X7" s="1">
        <f>GSD!R9</f>
        <v/>
      </c>
      <c r="Y7" s="1">
        <f>GSD!S9</f>
        <v/>
      </c>
      <c r="Z7" s="1">
        <f>GSD!T9</f>
        <v/>
      </c>
      <c r="AA7" s="1">
        <f>GSD!U9</f>
        <v/>
      </c>
      <c r="AB7" s="38">
        <f>GSD!V9</f>
        <v/>
      </c>
      <c r="AC7" s="38">
        <f>HYD!AM9</f>
        <v/>
      </c>
      <c r="AD7" s="1">
        <f>HYD!AN9</f>
        <v/>
      </c>
      <c r="AE7" s="1">
        <f>HYD!AO9</f>
        <v/>
      </c>
      <c r="AF7" s="1">
        <f>HYD!AP9</f>
        <v/>
      </c>
      <c r="AG7" s="1">
        <f>HYD!AQ9</f>
        <v/>
      </c>
      <c r="AH7" s="1">
        <f>HYD!AR9</f>
        <v/>
      </c>
      <c r="AI7" s="1">
        <f>HYD!AS9</f>
        <v/>
      </c>
      <c r="AJ7" s="1">
        <f>HYD!AT9</f>
        <v/>
      </c>
      <c r="AK7" s="1">
        <f>HYD!AU9</f>
        <v/>
      </c>
      <c r="AL7" s="1">
        <f>HYD!AV9</f>
        <v/>
      </c>
      <c r="AM7" s="1">
        <f>HYD!AW9</f>
        <v/>
      </c>
      <c r="AN7" s="1">
        <f>HYD!AX9</f>
        <v/>
      </c>
      <c r="AO7" s="1">
        <f>HYD!AY9</f>
        <v/>
      </c>
      <c r="AP7" s="1" t="n"/>
      <c r="AQ7" s="1" t="n"/>
      <c r="AR7" s="1" t="n"/>
      <c r="AS7" s="1" t="n"/>
    </row>
    <row r="8">
      <c r="A8" s="18" t="n">
        <v>6</v>
      </c>
      <c r="B8" s="18">
        <f>B7</f>
        <v/>
      </c>
      <c r="C8" s="26">
        <f>GSD!F10</f>
        <v/>
      </c>
      <c r="D8" s="92" t="n">
        <v>4.75</v>
      </c>
      <c r="E8" s="92" t="n">
        <v>2</v>
      </c>
      <c r="F8" s="92" t="n">
        <v>0.425</v>
      </c>
      <c r="G8" s="92" t="n">
        <v>0.212</v>
      </c>
      <c r="H8" s="92" t="n">
        <v>0.15</v>
      </c>
      <c r="I8" s="92" t="n">
        <v>0.075</v>
      </c>
      <c r="J8" s="93">
        <f>HYD!Z10</f>
        <v/>
      </c>
      <c r="K8" s="93">
        <f>HYD!AA10</f>
        <v/>
      </c>
      <c r="L8" s="93">
        <f>HYD!AB10</f>
        <v/>
      </c>
      <c r="M8" s="93">
        <f>HYD!AC10</f>
        <v/>
      </c>
      <c r="N8" s="93">
        <f>HYD!AD10</f>
        <v/>
      </c>
      <c r="O8" s="93">
        <f>HYD!AE10</f>
        <v/>
      </c>
      <c r="P8" s="93">
        <f>HYD!AF10</f>
        <v/>
      </c>
      <c r="Q8" s="93">
        <f>HYD!AG10</f>
        <v/>
      </c>
      <c r="R8" s="93">
        <f>HYD!AH10</f>
        <v/>
      </c>
      <c r="S8" s="93">
        <f>HYD!AI10</f>
        <v/>
      </c>
      <c r="T8" s="93">
        <f>HYD!AJ10</f>
        <v/>
      </c>
      <c r="U8" s="93">
        <f>HYD!AK10</f>
        <v/>
      </c>
      <c r="V8" s="93">
        <f>HYD!AL10</f>
        <v/>
      </c>
      <c r="W8" s="1">
        <f>GSD!Q10</f>
        <v/>
      </c>
      <c r="X8" s="1">
        <f>GSD!R10</f>
        <v/>
      </c>
      <c r="Y8" s="1">
        <f>GSD!S10</f>
        <v/>
      </c>
      <c r="Z8" s="1">
        <f>GSD!T10</f>
        <v/>
      </c>
      <c r="AA8" s="1">
        <f>GSD!U10</f>
        <v/>
      </c>
      <c r="AB8" s="38">
        <f>GSD!V10</f>
        <v/>
      </c>
      <c r="AC8" s="38">
        <f>HYD!AM10</f>
        <v/>
      </c>
      <c r="AD8" s="1">
        <f>HYD!AN10</f>
        <v/>
      </c>
      <c r="AE8" s="1">
        <f>HYD!AO10</f>
        <v/>
      </c>
      <c r="AF8" s="1">
        <f>HYD!AP10</f>
        <v/>
      </c>
      <c r="AG8" s="1">
        <f>HYD!AQ10</f>
        <v/>
      </c>
      <c r="AH8" s="1">
        <f>HYD!AR10</f>
        <v/>
      </c>
      <c r="AI8" s="1">
        <f>HYD!AS10</f>
        <v/>
      </c>
      <c r="AJ8" s="1">
        <f>HYD!AT10</f>
        <v/>
      </c>
      <c r="AK8" s="1">
        <f>HYD!AU10</f>
        <v/>
      </c>
      <c r="AL8" s="1">
        <f>HYD!AV10</f>
        <v/>
      </c>
      <c r="AM8" s="1">
        <f>HYD!AW10</f>
        <v/>
      </c>
      <c r="AN8" s="1">
        <f>HYD!AX10</f>
        <v/>
      </c>
      <c r="AO8" s="1">
        <f>HYD!AY10</f>
        <v/>
      </c>
      <c r="AP8" s="1" t="n"/>
      <c r="AQ8" s="1" t="n"/>
      <c r="AR8" s="1" t="n"/>
      <c r="AS8" s="1" t="n"/>
    </row>
    <row r="9">
      <c r="A9" s="18" t="n">
        <v>7</v>
      </c>
      <c r="B9" s="18">
        <f>B8</f>
        <v/>
      </c>
      <c r="C9" s="26">
        <f>GSD!F11</f>
        <v/>
      </c>
      <c r="D9" s="92" t="n">
        <v>4.75</v>
      </c>
      <c r="E9" s="92" t="n">
        <v>2</v>
      </c>
      <c r="F9" s="92" t="n">
        <v>0.425</v>
      </c>
      <c r="G9" s="92" t="n">
        <v>0.212</v>
      </c>
      <c r="H9" s="92" t="n">
        <v>0.15</v>
      </c>
      <c r="I9" s="92" t="n">
        <v>0.075</v>
      </c>
      <c r="J9" s="93">
        <f>HYD!Z11</f>
        <v/>
      </c>
      <c r="K9" s="93">
        <f>HYD!AA11</f>
        <v/>
      </c>
      <c r="L9" s="93">
        <f>HYD!AB11</f>
        <v/>
      </c>
      <c r="M9" s="93">
        <f>HYD!AC11</f>
        <v/>
      </c>
      <c r="N9" s="93">
        <f>HYD!AD11</f>
        <v/>
      </c>
      <c r="O9" s="93">
        <f>HYD!AE11</f>
        <v/>
      </c>
      <c r="P9" s="93">
        <f>HYD!AF11</f>
        <v/>
      </c>
      <c r="Q9" s="93">
        <f>HYD!AG11</f>
        <v/>
      </c>
      <c r="R9" s="93">
        <f>HYD!AH11</f>
        <v/>
      </c>
      <c r="S9" s="93">
        <f>HYD!AI11</f>
        <v/>
      </c>
      <c r="T9" s="93">
        <f>HYD!AJ11</f>
        <v/>
      </c>
      <c r="U9" s="93">
        <f>HYD!AK11</f>
        <v/>
      </c>
      <c r="V9" s="93">
        <f>HYD!AL11</f>
        <v/>
      </c>
      <c r="W9" s="1">
        <f>GSD!Q11</f>
        <v/>
      </c>
      <c r="X9" s="1">
        <f>GSD!R11</f>
        <v/>
      </c>
      <c r="Y9" s="1">
        <f>GSD!S11</f>
        <v/>
      </c>
      <c r="Z9" s="1">
        <f>GSD!T11</f>
        <v/>
      </c>
      <c r="AA9" s="1">
        <f>GSD!U11</f>
        <v/>
      </c>
      <c r="AB9" s="38">
        <f>GSD!V11</f>
        <v/>
      </c>
      <c r="AC9" s="38">
        <f>HYD!AM11</f>
        <v/>
      </c>
      <c r="AD9" s="1">
        <f>HYD!AN11</f>
        <v/>
      </c>
      <c r="AE9" s="1">
        <f>HYD!AO11</f>
        <v/>
      </c>
      <c r="AF9" s="1">
        <f>HYD!AP11</f>
        <v/>
      </c>
      <c r="AG9" s="1">
        <f>HYD!AQ11</f>
        <v/>
      </c>
      <c r="AH9" s="1">
        <f>HYD!AR11</f>
        <v/>
      </c>
      <c r="AI9" s="1">
        <f>HYD!AS11</f>
        <v/>
      </c>
      <c r="AJ9" s="1">
        <f>HYD!AT11</f>
        <v/>
      </c>
      <c r="AK9" s="1">
        <f>HYD!AU11</f>
        <v/>
      </c>
      <c r="AL9" s="1">
        <f>HYD!AV11</f>
        <v/>
      </c>
      <c r="AM9" s="1">
        <f>HYD!AW11</f>
        <v/>
      </c>
      <c r="AN9" s="1">
        <f>HYD!AX11</f>
        <v/>
      </c>
      <c r="AO9" s="1">
        <f>HYD!AY11</f>
        <v/>
      </c>
      <c r="AP9" s="29" t="n"/>
      <c r="AQ9" s="29" t="n"/>
      <c r="AR9" s="29" t="n"/>
      <c r="AS9" s="29" t="n"/>
    </row>
    <row r="10">
      <c r="A10" s="18" t="n">
        <v>8</v>
      </c>
      <c r="B10" s="18">
        <f>B9</f>
        <v/>
      </c>
      <c r="C10" s="26">
        <f>GSD!F12</f>
        <v/>
      </c>
      <c r="D10" s="92" t="n">
        <v>4.75</v>
      </c>
      <c r="E10" s="92" t="n">
        <v>2</v>
      </c>
      <c r="F10" s="92" t="n">
        <v>0.425</v>
      </c>
      <c r="G10" s="92" t="n">
        <v>0.212</v>
      </c>
      <c r="H10" s="92" t="n">
        <v>0.15</v>
      </c>
      <c r="I10" s="92" t="n">
        <v>0.075</v>
      </c>
      <c r="J10" s="93">
        <f>HYD!Z12</f>
        <v/>
      </c>
      <c r="K10" s="93">
        <f>HYD!AA12</f>
        <v/>
      </c>
      <c r="L10" s="93">
        <f>HYD!AB12</f>
        <v/>
      </c>
      <c r="M10" s="93">
        <f>HYD!AC12</f>
        <v/>
      </c>
      <c r="N10" s="93">
        <f>HYD!AD12</f>
        <v/>
      </c>
      <c r="O10" s="93">
        <f>HYD!AE12</f>
        <v/>
      </c>
      <c r="P10" s="93">
        <f>HYD!AF12</f>
        <v/>
      </c>
      <c r="Q10" s="93">
        <f>HYD!AG12</f>
        <v/>
      </c>
      <c r="R10" s="93">
        <f>HYD!AH12</f>
        <v/>
      </c>
      <c r="S10" s="93">
        <f>HYD!AI12</f>
        <v/>
      </c>
      <c r="T10" s="93">
        <f>HYD!AJ12</f>
        <v/>
      </c>
      <c r="U10" s="93">
        <f>HYD!AK12</f>
        <v/>
      </c>
      <c r="V10" s="93">
        <f>HYD!AL12</f>
        <v/>
      </c>
      <c r="W10" s="1">
        <f>GSD!Q12</f>
        <v/>
      </c>
      <c r="X10" s="1">
        <f>GSD!R12</f>
        <v/>
      </c>
      <c r="Y10" s="1">
        <f>GSD!S12</f>
        <v/>
      </c>
      <c r="Z10" s="1">
        <f>GSD!T12</f>
        <v/>
      </c>
      <c r="AA10" s="1">
        <f>GSD!U12</f>
        <v/>
      </c>
      <c r="AB10" s="38">
        <f>GSD!V12</f>
        <v/>
      </c>
      <c r="AC10" s="38">
        <f>HYD!AM12</f>
        <v/>
      </c>
      <c r="AD10" s="1">
        <f>HYD!AN12</f>
        <v/>
      </c>
      <c r="AE10" s="1">
        <f>HYD!AO12</f>
        <v/>
      </c>
      <c r="AF10" s="1">
        <f>HYD!AP12</f>
        <v/>
      </c>
      <c r="AG10" s="1">
        <f>HYD!AQ12</f>
        <v/>
      </c>
      <c r="AH10" s="1">
        <f>HYD!AR12</f>
        <v/>
      </c>
      <c r="AI10" s="1">
        <f>HYD!AS12</f>
        <v/>
      </c>
      <c r="AJ10" s="1">
        <f>HYD!AT12</f>
        <v/>
      </c>
      <c r="AK10" s="1">
        <f>HYD!AU12</f>
        <v/>
      </c>
      <c r="AL10" s="1">
        <f>HYD!AV12</f>
        <v/>
      </c>
      <c r="AM10" s="1">
        <f>HYD!AW12</f>
        <v/>
      </c>
      <c r="AN10" s="1">
        <f>HYD!AX12</f>
        <v/>
      </c>
      <c r="AO10" s="1">
        <f>HYD!AY12</f>
        <v/>
      </c>
      <c r="AP10" s="29" t="n"/>
      <c r="AQ10" s="29" t="n"/>
      <c r="AR10" s="29" t="n"/>
      <c r="AS10" s="29" t="n"/>
    </row>
    <row r="11">
      <c r="A11" s="18" t="n">
        <v>9</v>
      </c>
      <c r="B11" s="18">
        <f>B10</f>
        <v/>
      </c>
      <c r="C11" s="26">
        <f>GSD!F13</f>
        <v/>
      </c>
      <c r="D11" s="92" t="n">
        <v>4.75</v>
      </c>
      <c r="E11" s="92" t="n">
        <v>2</v>
      </c>
      <c r="F11" s="92" t="n">
        <v>0.425</v>
      </c>
      <c r="G11" s="92" t="n">
        <v>0.212</v>
      </c>
      <c r="H11" s="92" t="n">
        <v>0.15</v>
      </c>
      <c r="I11" s="92" t="n">
        <v>0.075</v>
      </c>
      <c r="J11" s="93">
        <f>HYD!Z13</f>
        <v/>
      </c>
      <c r="K11" s="93">
        <f>HYD!AA13</f>
        <v/>
      </c>
      <c r="L11" s="93">
        <f>HYD!AB13</f>
        <v/>
      </c>
      <c r="M11" s="93">
        <f>HYD!AC13</f>
        <v/>
      </c>
      <c r="N11" s="93">
        <f>HYD!AD13</f>
        <v/>
      </c>
      <c r="O11" s="93">
        <f>HYD!AE13</f>
        <v/>
      </c>
      <c r="P11" s="93">
        <f>HYD!AF13</f>
        <v/>
      </c>
      <c r="Q11" s="93">
        <f>HYD!AG13</f>
        <v/>
      </c>
      <c r="R11" s="93">
        <f>HYD!AH13</f>
        <v/>
      </c>
      <c r="S11" s="93">
        <f>HYD!AI13</f>
        <v/>
      </c>
      <c r="T11" s="93">
        <f>HYD!AJ13</f>
        <v/>
      </c>
      <c r="U11" s="93">
        <f>HYD!AK13</f>
        <v/>
      </c>
      <c r="V11" s="93">
        <f>HYD!AL13</f>
        <v/>
      </c>
      <c r="W11" s="1">
        <f>GSD!Q13</f>
        <v/>
      </c>
      <c r="X11" s="1">
        <f>GSD!R13</f>
        <v/>
      </c>
      <c r="Y11" s="1">
        <f>GSD!S13</f>
        <v/>
      </c>
      <c r="Z11" s="1">
        <f>GSD!T13</f>
        <v/>
      </c>
      <c r="AA11" s="1">
        <f>GSD!U13</f>
        <v/>
      </c>
      <c r="AB11" s="38">
        <f>GSD!V13</f>
        <v/>
      </c>
      <c r="AC11" s="38">
        <f>HYD!AM13</f>
        <v/>
      </c>
      <c r="AD11" s="1">
        <f>HYD!AN13</f>
        <v/>
      </c>
      <c r="AE11" s="1">
        <f>HYD!AO13</f>
        <v/>
      </c>
      <c r="AF11" s="1">
        <f>HYD!AP13</f>
        <v/>
      </c>
      <c r="AG11" s="1">
        <f>HYD!AQ13</f>
        <v/>
      </c>
      <c r="AH11" s="1">
        <f>HYD!AR13</f>
        <v/>
      </c>
      <c r="AI11" s="1">
        <f>HYD!AS13</f>
        <v/>
      </c>
      <c r="AJ11" s="1">
        <f>HYD!AT13</f>
        <v/>
      </c>
      <c r="AK11" s="1">
        <f>HYD!AU13</f>
        <v/>
      </c>
      <c r="AL11" s="1">
        <f>HYD!AV13</f>
        <v/>
      </c>
      <c r="AM11" s="1">
        <f>HYD!AW13</f>
        <v/>
      </c>
      <c r="AN11" s="1">
        <f>HYD!AX13</f>
        <v/>
      </c>
      <c r="AO11" s="1">
        <f>HYD!AY13</f>
        <v/>
      </c>
      <c r="AP11" s="29" t="n"/>
      <c r="AQ11" s="29" t="n"/>
      <c r="AR11" s="29" t="n"/>
      <c r="AS11" s="29" t="n"/>
    </row>
    <row r="12">
      <c r="A12" s="18" t="n">
        <v>10</v>
      </c>
      <c r="B12" s="18">
        <f>B11</f>
        <v/>
      </c>
      <c r="C12" s="26">
        <f>GSD!#REF!</f>
        <v/>
      </c>
      <c r="D12" s="92" t="n">
        <v>4.75</v>
      </c>
      <c r="E12" s="92" t="n">
        <v>2</v>
      </c>
      <c r="F12" s="92" t="n">
        <v>0.425</v>
      </c>
      <c r="G12" s="92" t="n">
        <v>0.212</v>
      </c>
      <c r="H12" s="92" t="n">
        <v>0.15</v>
      </c>
      <c r="I12" s="92" t="n">
        <v>0.075</v>
      </c>
      <c r="J12" s="93">
        <f>HYD!Z14</f>
        <v/>
      </c>
      <c r="K12" s="93">
        <f>HYD!AA14</f>
        <v/>
      </c>
      <c r="L12" s="93">
        <f>HYD!AB14</f>
        <v/>
      </c>
      <c r="M12" s="93">
        <f>HYD!AC14</f>
        <v/>
      </c>
      <c r="N12" s="93">
        <f>HYD!AD14</f>
        <v/>
      </c>
      <c r="O12" s="93">
        <f>HYD!AE14</f>
        <v/>
      </c>
      <c r="P12" s="93">
        <f>HYD!AF14</f>
        <v/>
      </c>
      <c r="Q12" s="93">
        <f>HYD!AG14</f>
        <v/>
      </c>
      <c r="R12" s="93">
        <f>HYD!AH14</f>
        <v/>
      </c>
      <c r="S12" s="93">
        <f>HYD!AI14</f>
        <v/>
      </c>
      <c r="T12" s="93">
        <f>HYD!AJ14</f>
        <v/>
      </c>
      <c r="U12" s="93">
        <f>HYD!AK14</f>
        <v/>
      </c>
      <c r="V12" s="93">
        <f>HYD!AL14</f>
        <v/>
      </c>
      <c r="W12" s="1">
        <f>GSD!#REF!</f>
        <v/>
      </c>
      <c r="X12" s="1">
        <f>GSD!#REF!</f>
        <v/>
      </c>
      <c r="Y12" s="1">
        <f>GSD!#REF!</f>
        <v/>
      </c>
      <c r="Z12" s="1">
        <f>GSD!#REF!</f>
        <v/>
      </c>
      <c r="AA12" s="1">
        <f>GSD!#REF!</f>
        <v/>
      </c>
      <c r="AB12" s="38">
        <f>GSD!#REF!</f>
        <v/>
      </c>
      <c r="AC12" s="38">
        <f>HYD!AM14</f>
        <v/>
      </c>
      <c r="AD12" s="1">
        <f>HYD!AN14</f>
        <v/>
      </c>
      <c r="AE12" s="1">
        <f>HYD!AO14</f>
        <v/>
      </c>
      <c r="AF12" s="1">
        <f>HYD!AP14</f>
        <v/>
      </c>
      <c r="AG12" s="1">
        <f>HYD!AQ14</f>
        <v/>
      </c>
      <c r="AH12" s="1">
        <f>HYD!AR14</f>
        <v/>
      </c>
      <c r="AI12" s="1">
        <f>HYD!AS14</f>
        <v/>
      </c>
      <c r="AJ12" s="1">
        <f>HYD!AT14</f>
        <v/>
      </c>
      <c r="AK12" s="1">
        <f>HYD!AU14</f>
        <v/>
      </c>
      <c r="AL12" s="1">
        <f>HYD!AV14</f>
        <v/>
      </c>
      <c r="AM12" s="1">
        <f>HYD!AW14</f>
        <v/>
      </c>
      <c r="AN12" s="1">
        <f>HYD!AX14</f>
        <v/>
      </c>
      <c r="AO12" s="1">
        <f>HYD!AY14</f>
        <v/>
      </c>
      <c r="AP12" s="29" t="n"/>
      <c r="AQ12" s="29" t="n"/>
      <c r="AR12" s="29" t="n"/>
      <c r="AS12" s="29" t="n"/>
    </row>
    <row r="13">
      <c r="A13" s="18" t="n">
        <v>11</v>
      </c>
      <c r="B13" s="18">
        <f>B12</f>
        <v/>
      </c>
      <c r="C13" s="26">
        <f>GSD!#REF!</f>
        <v/>
      </c>
      <c r="D13" s="92" t="n">
        <v>4.75</v>
      </c>
      <c r="E13" s="92" t="n">
        <v>2</v>
      </c>
      <c r="F13" s="92" t="n">
        <v>0.425</v>
      </c>
      <c r="G13" s="92" t="n">
        <v>0.212</v>
      </c>
      <c r="H13" s="92" t="n">
        <v>0.15</v>
      </c>
      <c r="I13" s="92" t="n">
        <v>0.075</v>
      </c>
      <c r="J13" s="93">
        <f>HYD!Z15</f>
        <v/>
      </c>
      <c r="K13" s="93">
        <f>HYD!AA15</f>
        <v/>
      </c>
      <c r="L13" s="93">
        <f>HYD!AB15</f>
        <v/>
      </c>
      <c r="M13" s="93">
        <f>HYD!AC15</f>
        <v/>
      </c>
      <c r="N13" s="93">
        <f>HYD!AD15</f>
        <v/>
      </c>
      <c r="O13" s="93">
        <f>HYD!AE15</f>
        <v/>
      </c>
      <c r="P13" s="93">
        <f>HYD!AF15</f>
        <v/>
      </c>
      <c r="Q13" s="93">
        <f>HYD!AG15</f>
        <v/>
      </c>
      <c r="R13" s="93">
        <f>HYD!AH15</f>
        <v/>
      </c>
      <c r="S13" s="93">
        <f>HYD!AI15</f>
        <v/>
      </c>
      <c r="T13" s="93">
        <f>HYD!AJ15</f>
        <v/>
      </c>
      <c r="U13" s="93">
        <f>HYD!AK15</f>
        <v/>
      </c>
      <c r="V13" s="93">
        <f>HYD!AL15</f>
        <v/>
      </c>
      <c r="W13" s="1">
        <f>GSD!#REF!</f>
        <v/>
      </c>
      <c r="X13" s="1">
        <f>GSD!#REF!</f>
        <v/>
      </c>
      <c r="Y13" s="1">
        <f>GSD!#REF!</f>
        <v/>
      </c>
      <c r="Z13" s="1">
        <f>GSD!#REF!</f>
        <v/>
      </c>
      <c r="AA13" s="1">
        <f>GSD!#REF!</f>
        <v/>
      </c>
      <c r="AB13" s="38">
        <f>GSD!#REF!</f>
        <v/>
      </c>
      <c r="AC13" s="38">
        <f>HYD!AM15</f>
        <v/>
      </c>
      <c r="AD13" s="1">
        <f>HYD!AN15</f>
        <v/>
      </c>
      <c r="AE13" s="1">
        <f>HYD!AO15</f>
        <v/>
      </c>
      <c r="AF13" s="1">
        <f>HYD!AP15</f>
        <v/>
      </c>
      <c r="AG13" s="1">
        <f>HYD!AQ15</f>
        <v/>
      </c>
      <c r="AH13" s="1">
        <f>HYD!AR15</f>
        <v/>
      </c>
      <c r="AI13" s="1">
        <f>HYD!AS15</f>
        <v/>
      </c>
      <c r="AJ13" s="1">
        <f>HYD!AT15</f>
        <v/>
      </c>
      <c r="AK13" s="1">
        <f>HYD!AU15</f>
        <v/>
      </c>
      <c r="AL13" s="1">
        <f>HYD!AV15</f>
        <v/>
      </c>
      <c r="AM13" s="1">
        <f>HYD!AW15</f>
        <v/>
      </c>
      <c r="AN13" s="1">
        <f>HYD!AX15</f>
        <v/>
      </c>
      <c r="AO13" s="1">
        <f>HYD!AY15</f>
        <v/>
      </c>
      <c r="AP13" s="29" t="n"/>
      <c r="AQ13" s="29" t="n"/>
      <c r="AR13" s="29" t="n"/>
      <c r="AS13" s="29" t="n"/>
    </row>
    <row r="14">
      <c r="A14" s="18" t="n">
        <v>12</v>
      </c>
      <c r="B14" s="18">
        <f>B13</f>
        <v/>
      </c>
      <c r="C14" s="26">
        <f>GSD!#REF!</f>
        <v/>
      </c>
      <c r="D14" s="92" t="n">
        <v>4.75</v>
      </c>
      <c r="E14" s="92" t="n">
        <v>2</v>
      </c>
      <c r="F14" s="92" t="n">
        <v>0.425</v>
      </c>
      <c r="G14" s="92" t="n">
        <v>0.212</v>
      </c>
      <c r="H14" s="92" t="n">
        <v>0.15</v>
      </c>
      <c r="I14" s="92" t="n">
        <v>0.075</v>
      </c>
      <c r="J14" s="93">
        <f>HYD!Z16</f>
        <v/>
      </c>
      <c r="K14" s="93">
        <f>HYD!AA16</f>
        <v/>
      </c>
      <c r="L14" s="93">
        <f>HYD!AB16</f>
        <v/>
      </c>
      <c r="M14" s="93">
        <f>HYD!AC16</f>
        <v/>
      </c>
      <c r="N14" s="93">
        <f>HYD!AD16</f>
        <v/>
      </c>
      <c r="O14" s="93">
        <f>HYD!AE16</f>
        <v/>
      </c>
      <c r="P14" s="93">
        <f>HYD!AF16</f>
        <v/>
      </c>
      <c r="Q14" s="93">
        <f>HYD!AG16</f>
        <v/>
      </c>
      <c r="R14" s="93">
        <f>HYD!AH16</f>
        <v/>
      </c>
      <c r="S14" s="93">
        <f>HYD!AI16</f>
        <v/>
      </c>
      <c r="T14" s="93">
        <f>HYD!AJ16</f>
        <v/>
      </c>
      <c r="U14" s="93">
        <f>HYD!AK16</f>
        <v/>
      </c>
      <c r="V14" s="93">
        <f>HYD!AL16</f>
        <v/>
      </c>
      <c r="W14" s="1">
        <f>GSD!#REF!</f>
        <v/>
      </c>
      <c r="X14" s="1">
        <f>GSD!#REF!</f>
        <v/>
      </c>
      <c r="Y14" s="1">
        <f>GSD!#REF!</f>
        <v/>
      </c>
      <c r="Z14" s="1">
        <f>GSD!#REF!</f>
        <v/>
      </c>
      <c r="AA14" s="1">
        <f>GSD!#REF!</f>
        <v/>
      </c>
      <c r="AB14" s="38">
        <f>GSD!#REF!</f>
        <v/>
      </c>
      <c r="AC14" s="38">
        <f>HYD!AM16</f>
        <v/>
      </c>
      <c r="AD14" s="1">
        <f>HYD!AN16</f>
        <v/>
      </c>
      <c r="AE14" s="1">
        <f>HYD!AO16</f>
        <v/>
      </c>
      <c r="AF14" s="1">
        <f>HYD!AP16</f>
        <v/>
      </c>
      <c r="AG14" s="1">
        <f>HYD!AQ16</f>
        <v/>
      </c>
      <c r="AH14" s="1">
        <f>HYD!AR16</f>
        <v/>
      </c>
      <c r="AI14" s="1">
        <f>HYD!AS16</f>
        <v/>
      </c>
      <c r="AJ14" s="1">
        <f>HYD!AT16</f>
        <v/>
      </c>
      <c r="AK14" s="1">
        <f>HYD!AU16</f>
        <v/>
      </c>
      <c r="AL14" s="1">
        <f>HYD!AV16</f>
        <v/>
      </c>
      <c r="AM14" s="1">
        <f>HYD!AW16</f>
        <v/>
      </c>
      <c r="AN14" s="1">
        <f>HYD!AX16</f>
        <v/>
      </c>
      <c r="AO14" s="1">
        <f>HYD!AY16</f>
        <v/>
      </c>
      <c r="AP14" s="29" t="n"/>
      <c r="AQ14" s="29" t="n"/>
      <c r="AR14" s="29" t="n"/>
      <c r="AS14" s="29" t="n"/>
    </row>
    <row r="15">
      <c r="A15" s="18" t="n">
        <v>13</v>
      </c>
      <c r="B15" s="18">
        <f>B14</f>
        <v/>
      </c>
      <c r="C15" s="26">
        <f>GSD!#REF!</f>
        <v/>
      </c>
      <c r="D15" s="92" t="n">
        <v>4.75</v>
      </c>
      <c r="E15" s="92" t="n">
        <v>2</v>
      </c>
      <c r="F15" s="92" t="n">
        <v>0.425</v>
      </c>
      <c r="G15" s="92" t="n">
        <v>0.212</v>
      </c>
      <c r="H15" s="92" t="n">
        <v>0.15</v>
      </c>
      <c r="I15" s="92" t="n">
        <v>0.075</v>
      </c>
      <c r="J15" s="93">
        <f>HYD!Z17</f>
        <v/>
      </c>
      <c r="K15" s="93">
        <f>HYD!AA17</f>
        <v/>
      </c>
      <c r="L15" s="93">
        <f>HYD!AB17</f>
        <v/>
      </c>
      <c r="M15" s="93">
        <f>HYD!AC17</f>
        <v/>
      </c>
      <c r="N15" s="93">
        <f>HYD!AD17</f>
        <v/>
      </c>
      <c r="O15" s="93">
        <f>HYD!AE17</f>
        <v/>
      </c>
      <c r="P15" s="93">
        <f>HYD!AF17</f>
        <v/>
      </c>
      <c r="Q15" s="93">
        <f>HYD!AG17</f>
        <v/>
      </c>
      <c r="R15" s="93">
        <f>HYD!AH17</f>
        <v/>
      </c>
      <c r="S15" s="93">
        <f>HYD!AI17</f>
        <v/>
      </c>
      <c r="T15" s="93">
        <f>HYD!AJ17</f>
        <v/>
      </c>
      <c r="U15" s="93">
        <f>HYD!AK17</f>
        <v/>
      </c>
      <c r="V15" s="93">
        <f>HYD!AL17</f>
        <v/>
      </c>
      <c r="W15" s="1">
        <f>GSD!#REF!</f>
        <v/>
      </c>
      <c r="X15" s="1">
        <f>GSD!#REF!</f>
        <v/>
      </c>
      <c r="Y15" s="1">
        <f>GSD!#REF!</f>
        <v/>
      </c>
      <c r="Z15" s="1">
        <f>GSD!#REF!</f>
        <v/>
      </c>
      <c r="AA15" s="1">
        <f>GSD!#REF!</f>
        <v/>
      </c>
      <c r="AB15" s="38">
        <f>GSD!#REF!</f>
        <v/>
      </c>
      <c r="AC15" s="38">
        <f>HYD!AM17</f>
        <v/>
      </c>
      <c r="AD15" s="1">
        <f>HYD!AN17</f>
        <v/>
      </c>
      <c r="AE15" s="1">
        <f>HYD!AO17</f>
        <v/>
      </c>
      <c r="AF15" s="1">
        <f>HYD!AP17</f>
        <v/>
      </c>
      <c r="AG15" s="1">
        <f>HYD!AQ17</f>
        <v/>
      </c>
      <c r="AH15" s="1">
        <f>HYD!AR17</f>
        <v/>
      </c>
      <c r="AI15" s="1">
        <f>HYD!AS17</f>
        <v/>
      </c>
      <c r="AJ15" s="1">
        <f>HYD!AT17</f>
        <v/>
      </c>
      <c r="AK15" s="1">
        <f>HYD!AU17</f>
        <v/>
      </c>
      <c r="AL15" s="1">
        <f>HYD!AV17</f>
        <v/>
      </c>
      <c r="AM15" s="1">
        <f>HYD!AW17</f>
        <v/>
      </c>
      <c r="AN15" s="1">
        <f>HYD!AX17</f>
        <v/>
      </c>
      <c r="AO15" s="1">
        <f>HYD!AY17</f>
        <v/>
      </c>
      <c r="AP15" s="29" t="n"/>
      <c r="AQ15" s="29" t="n"/>
      <c r="AR15" s="29" t="n"/>
      <c r="AS15" s="29" t="n"/>
    </row>
    <row r="16">
      <c r="A16" s="18" t="n">
        <v>14</v>
      </c>
      <c r="B16" s="18">
        <f>B15</f>
        <v/>
      </c>
      <c r="C16" s="26">
        <f>GSD!#REF!</f>
        <v/>
      </c>
      <c r="D16" s="92" t="n">
        <v>4.75</v>
      </c>
      <c r="E16" s="92" t="n">
        <v>2</v>
      </c>
      <c r="F16" s="92" t="n">
        <v>0.425</v>
      </c>
      <c r="G16" s="92" t="n">
        <v>0.212</v>
      </c>
      <c r="H16" s="92" t="n">
        <v>0.15</v>
      </c>
      <c r="I16" s="92" t="n">
        <v>0.075</v>
      </c>
      <c r="J16" s="93">
        <f>HYD!Z18</f>
        <v/>
      </c>
      <c r="K16" s="93">
        <f>HYD!AA18</f>
        <v/>
      </c>
      <c r="L16" s="93">
        <f>HYD!AB18</f>
        <v/>
      </c>
      <c r="M16" s="93">
        <f>HYD!AC18</f>
        <v/>
      </c>
      <c r="N16" s="93">
        <f>HYD!AD18</f>
        <v/>
      </c>
      <c r="O16" s="93">
        <f>HYD!AE18</f>
        <v/>
      </c>
      <c r="P16" s="93">
        <f>HYD!AF18</f>
        <v/>
      </c>
      <c r="Q16" s="93">
        <f>HYD!AG18</f>
        <v/>
      </c>
      <c r="R16" s="93">
        <f>HYD!AH18</f>
        <v/>
      </c>
      <c r="S16" s="93">
        <f>HYD!AI18</f>
        <v/>
      </c>
      <c r="T16" s="93">
        <f>HYD!AJ18</f>
        <v/>
      </c>
      <c r="U16" s="93">
        <f>HYD!AK18</f>
        <v/>
      </c>
      <c r="V16" s="93">
        <f>HYD!AL18</f>
        <v/>
      </c>
      <c r="W16" s="1">
        <f>GSD!#REF!</f>
        <v/>
      </c>
      <c r="X16" s="1">
        <f>GSD!#REF!</f>
        <v/>
      </c>
      <c r="Y16" s="1">
        <f>GSD!#REF!</f>
        <v/>
      </c>
      <c r="Z16" s="1">
        <f>GSD!#REF!</f>
        <v/>
      </c>
      <c r="AA16" s="1">
        <f>GSD!#REF!</f>
        <v/>
      </c>
      <c r="AB16" s="38">
        <f>GSD!#REF!</f>
        <v/>
      </c>
      <c r="AC16" s="38">
        <f>HYD!AM18</f>
        <v/>
      </c>
      <c r="AD16" s="1">
        <f>HYD!AN18</f>
        <v/>
      </c>
      <c r="AE16" s="1">
        <f>HYD!AO18</f>
        <v/>
      </c>
      <c r="AF16" s="1">
        <f>HYD!AP18</f>
        <v/>
      </c>
      <c r="AG16" s="1">
        <f>HYD!AQ18</f>
        <v/>
      </c>
      <c r="AH16" s="1">
        <f>HYD!AR18</f>
        <v/>
      </c>
      <c r="AI16" s="1">
        <f>HYD!AS18</f>
        <v/>
      </c>
      <c r="AJ16" s="1">
        <f>HYD!AT18</f>
        <v/>
      </c>
      <c r="AK16" s="1">
        <f>HYD!AU18</f>
        <v/>
      </c>
      <c r="AL16" s="1">
        <f>HYD!AV18</f>
        <v/>
      </c>
      <c r="AM16" s="1">
        <f>HYD!AW18</f>
        <v/>
      </c>
      <c r="AN16" s="1">
        <f>HYD!AX18</f>
        <v/>
      </c>
      <c r="AO16" s="1">
        <f>HYD!AY18</f>
        <v/>
      </c>
      <c r="AP16" s="29" t="n"/>
      <c r="AQ16" s="29" t="n"/>
      <c r="AR16" s="29" t="n"/>
      <c r="AS16" s="29" t="n"/>
    </row>
    <row r="17">
      <c r="A17" s="18" t="n">
        <v>15</v>
      </c>
      <c r="B17" s="18">
        <f>B16</f>
        <v/>
      </c>
      <c r="C17" s="26">
        <f>GSD!#REF!</f>
        <v/>
      </c>
      <c r="D17" s="92" t="n">
        <v>4.75</v>
      </c>
      <c r="E17" s="92" t="n">
        <v>2</v>
      </c>
      <c r="F17" s="92" t="n">
        <v>0.425</v>
      </c>
      <c r="G17" s="92" t="n">
        <v>0.212</v>
      </c>
      <c r="H17" s="92" t="n">
        <v>0.15</v>
      </c>
      <c r="I17" s="92" t="n">
        <v>0.075</v>
      </c>
      <c r="J17" s="93">
        <f>HYD!Z19</f>
        <v/>
      </c>
      <c r="K17" s="93">
        <f>HYD!AA19</f>
        <v/>
      </c>
      <c r="L17" s="93">
        <f>HYD!AB19</f>
        <v/>
      </c>
      <c r="M17" s="93">
        <f>HYD!AC19</f>
        <v/>
      </c>
      <c r="N17" s="93">
        <f>HYD!AD19</f>
        <v/>
      </c>
      <c r="O17" s="93">
        <f>HYD!AE19</f>
        <v/>
      </c>
      <c r="P17" s="93">
        <f>HYD!AF19</f>
        <v/>
      </c>
      <c r="Q17" s="93">
        <f>HYD!AG19</f>
        <v/>
      </c>
      <c r="R17" s="93">
        <f>HYD!AH19</f>
        <v/>
      </c>
      <c r="S17" s="93">
        <f>HYD!AI19</f>
        <v/>
      </c>
      <c r="T17" s="93">
        <f>HYD!AJ19</f>
        <v/>
      </c>
      <c r="U17" s="93">
        <f>HYD!AK19</f>
        <v/>
      </c>
      <c r="V17" s="93">
        <f>HYD!AL19</f>
        <v/>
      </c>
      <c r="W17" s="1">
        <f>GSD!#REF!</f>
        <v/>
      </c>
      <c r="X17" s="1">
        <f>GSD!#REF!</f>
        <v/>
      </c>
      <c r="Y17" s="1">
        <f>GSD!#REF!</f>
        <v/>
      </c>
      <c r="Z17" s="1">
        <f>GSD!#REF!</f>
        <v/>
      </c>
      <c r="AA17" s="1">
        <f>GSD!#REF!</f>
        <v/>
      </c>
      <c r="AB17" s="38">
        <f>GSD!#REF!</f>
        <v/>
      </c>
      <c r="AC17" s="38">
        <f>HYD!AM19</f>
        <v/>
      </c>
      <c r="AD17" s="1">
        <f>HYD!AN19</f>
        <v/>
      </c>
      <c r="AE17" s="1">
        <f>HYD!AO19</f>
        <v/>
      </c>
      <c r="AF17" s="1">
        <f>HYD!AP19</f>
        <v/>
      </c>
      <c r="AG17" s="1">
        <f>HYD!AQ19</f>
        <v/>
      </c>
      <c r="AH17" s="1">
        <f>HYD!AR19</f>
        <v/>
      </c>
      <c r="AI17" s="1">
        <f>HYD!AS19</f>
        <v/>
      </c>
      <c r="AJ17" s="1">
        <f>HYD!AT19</f>
        <v/>
      </c>
      <c r="AK17" s="1">
        <f>HYD!AU19</f>
        <v/>
      </c>
      <c r="AL17" s="1">
        <f>HYD!AV19</f>
        <v/>
      </c>
      <c r="AM17" s="1">
        <f>HYD!AW19</f>
        <v/>
      </c>
      <c r="AN17" s="1">
        <f>HYD!AX19</f>
        <v/>
      </c>
      <c r="AO17" s="1">
        <f>HYD!AY19</f>
        <v/>
      </c>
      <c r="AP17" s="29" t="n"/>
      <c r="AQ17" s="29" t="n"/>
      <c r="AR17" s="29" t="n"/>
      <c r="AS17" s="29" t="n"/>
    </row>
    <row r="18">
      <c r="A18" s="18" t="n">
        <v>16</v>
      </c>
      <c r="B18" s="18">
        <f>B17</f>
        <v/>
      </c>
      <c r="C18" s="26">
        <f>GSD!#REF!</f>
        <v/>
      </c>
      <c r="D18" s="92" t="n">
        <v>4.75</v>
      </c>
      <c r="E18" s="92" t="n">
        <v>2</v>
      </c>
      <c r="F18" s="92" t="n">
        <v>0.425</v>
      </c>
      <c r="G18" s="92" t="n">
        <v>0.212</v>
      </c>
      <c r="H18" s="92" t="n">
        <v>0.15</v>
      </c>
      <c r="I18" s="92" t="n">
        <v>0.075</v>
      </c>
      <c r="J18" s="93">
        <f>HYD!Z20</f>
        <v/>
      </c>
      <c r="K18" s="93">
        <f>HYD!AA20</f>
        <v/>
      </c>
      <c r="L18" s="93">
        <f>HYD!AB20</f>
        <v/>
      </c>
      <c r="M18" s="93">
        <f>HYD!AC20</f>
        <v/>
      </c>
      <c r="N18" s="93">
        <f>HYD!AD20</f>
        <v/>
      </c>
      <c r="O18" s="93">
        <f>HYD!AE20</f>
        <v/>
      </c>
      <c r="P18" s="93">
        <f>HYD!AF20</f>
        <v/>
      </c>
      <c r="Q18" s="93">
        <f>HYD!AG20</f>
        <v/>
      </c>
      <c r="R18" s="93">
        <f>HYD!AH20</f>
        <v/>
      </c>
      <c r="S18" s="93">
        <f>HYD!AI20</f>
        <v/>
      </c>
      <c r="T18" s="93">
        <f>HYD!AJ20</f>
        <v/>
      </c>
      <c r="U18" s="93">
        <f>HYD!AK20</f>
        <v/>
      </c>
      <c r="V18" s="93">
        <f>HYD!AL20</f>
        <v/>
      </c>
      <c r="W18" s="1">
        <f>GSD!#REF!</f>
        <v/>
      </c>
      <c r="X18" s="1">
        <f>GSD!#REF!</f>
        <v/>
      </c>
      <c r="Y18" s="1">
        <f>GSD!#REF!</f>
        <v/>
      </c>
      <c r="Z18" s="1">
        <f>GSD!#REF!</f>
        <v/>
      </c>
      <c r="AA18" s="1">
        <f>GSD!#REF!</f>
        <v/>
      </c>
      <c r="AB18" s="38">
        <f>GSD!#REF!</f>
        <v/>
      </c>
      <c r="AC18" s="38">
        <f>HYD!AM20</f>
        <v/>
      </c>
      <c r="AD18" s="1">
        <f>HYD!AN20</f>
        <v/>
      </c>
      <c r="AE18" s="1">
        <f>HYD!AO20</f>
        <v/>
      </c>
      <c r="AF18" s="1">
        <f>HYD!AP20</f>
        <v/>
      </c>
      <c r="AG18" s="1">
        <f>HYD!AQ20</f>
        <v/>
      </c>
      <c r="AH18" s="1">
        <f>HYD!AR20</f>
        <v/>
      </c>
      <c r="AI18" s="1">
        <f>HYD!AS20</f>
        <v/>
      </c>
      <c r="AJ18" s="1">
        <f>HYD!AT20</f>
        <v/>
      </c>
      <c r="AK18" s="1">
        <f>HYD!AU20</f>
        <v/>
      </c>
      <c r="AL18" s="1">
        <f>HYD!AV20</f>
        <v/>
      </c>
      <c r="AM18" s="1">
        <f>HYD!AW20</f>
        <v/>
      </c>
      <c r="AN18" s="1">
        <f>HYD!AX20</f>
        <v/>
      </c>
      <c r="AO18" s="1">
        <f>HYD!AY20</f>
        <v/>
      </c>
      <c r="AP18" s="29" t="n"/>
      <c r="AQ18" s="29" t="n"/>
      <c r="AR18" s="29" t="n"/>
      <c r="AS18" s="29" t="n"/>
    </row>
    <row r="19">
      <c r="A19" s="18" t="n">
        <v>17</v>
      </c>
      <c r="B19" s="18">
        <f>B18</f>
        <v/>
      </c>
      <c r="C19" s="26">
        <f>GSD!#REF!</f>
        <v/>
      </c>
      <c r="D19" s="92" t="n">
        <v>4.75</v>
      </c>
      <c r="E19" s="92" t="n">
        <v>2</v>
      </c>
      <c r="F19" s="92" t="n">
        <v>0.425</v>
      </c>
      <c r="G19" s="92" t="n">
        <v>0.212</v>
      </c>
      <c r="H19" s="92" t="n">
        <v>0.15</v>
      </c>
      <c r="I19" s="92" t="n">
        <v>0.075</v>
      </c>
      <c r="J19" s="93">
        <f>HYD!Z21</f>
        <v/>
      </c>
      <c r="K19" s="93">
        <f>HYD!AA21</f>
        <v/>
      </c>
      <c r="L19" s="93">
        <f>HYD!AB21</f>
        <v/>
      </c>
      <c r="M19" s="93">
        <f>HYD!AC21</f>
        <v/>
      </c>
      <c r="N19" s="93">
        <f>HYD!AD21</f>
        <v/>
      </c>
      <c r="O19" s="93">
        <f>HYD!AE21</f>
        <v/>
      </c>
      <c r="P19" s="93">
        <f>HYD!AF21</f>
        <v/>
      </c>
      <c r="Q19" s="93">
        <f>HYD!AG21</f>
        <v/>
      </c>
      <c r="R19" s="93">
        <f>HYD!AH21</f>
        <v/>
      </c>
      <c r="S19" s="93">
        <f>HYD!AI21</f>
        <v/>
      </c>
      <c r="T19" s="93">
        <f>HYD!AJ21</f>
        <v/>
      </c>
      <c r="U19" s="93">
        <f>HYD!AK21</f>
        <v/>
      </c>
      <c r="V19" s="93">
        <f>HYD!AL21</f>
        <v/>
      </c>
      <c r="W19" s="1">
        <f>GSD!#REF!</f>
        <v/>
      </c>
      <c r="X19" s="1">
        <f>GSD!#REF!</f>
        <v/>
      </c>
      <c r="Y19" s="1">
        <f>GSD!#REF!</f>
        <v/>
      </c>
      <c r="Z19" s="1">
        <f>GSD!#REF!</f>
        <v/>
      </c>
      <c r="AA19" s="1">
        <f>GSD!#REF!</f>
        <v/>
      </c>
      <c r="AB19" s="38">
        <f>GSD!#REF!</f>
        <v/>
      </c>
      <c r="AC19" s="38">
        <f>HYD!AM21</f>
        <v/>
      </c>
      <c r="AD19" s="1">
        <f>HYD!AN21</f>
        <v/>
      </c>
      <c r="AE19" s="1">
        <f>HYD!AO21</f>
        <v/>
      </c>
      <c r="AF19" s="1">
        <f>HYD!AP21</f>
        <v/>
      </c>
      <c r="AG19" s="1">
        <f>HYD!AQ21</f>
        <v/>
      </c>
      <c r="AH19" s="1">
        <f>HYD!AR21</f>
        <v/>
      </c>
      <c r="AI19" s="1">
        <f>HYD!AS21</f>
        <v/>
      </c>
      <c r="AJ19" s="1">
        <f>HYD!AT21</f>
        <v/>
      </c>
      <c r="AK19" s="1">
        <f>HYD!AU21</f>
        <v/>
      </c>
      <c r="AL19" s="1">
        <f>HYD!AV21</f>
        <v/>
      </c>
      <c r="AM19" s="1">
        <f>HYD!AW21</f>
        <v/>
      </c>
      <c r="AN19" s="1">
        <f>HYD!AX21</f>
        <v/>
      </c>
      <c r="AO19" s="1">
        <f>HYD!AY21</f>
        <v/>
      </c>
      <c r="AP19" s="29" t="n"/>
      <c r="AQ19" s="29" t="n"/>
      <c r="AR19" s="29" t="n"/>
      <c r="AS19" s="29" t="n"/>
    </row>
    <row r="20">
      <c r="A20" s="18" t="n">
        <v>18</v>
      </c>
      <c r="B20" s="18">
        <f>B19</f>
        <v/>
      </c>
      <c r="C20" s="26">
        <f>GSD!#REF!</f>
        <v/>
      </c>
      <c r="D20" s="92" t="n">
        <v>4.75</v>
      </c>
      <c r="E20" s="92" t="n">
        <v>2</v>
      </c>
      <c r="F20" s="92" t="n">
        <v>0.425</v>
      </c>
      <c r="G20" s="92" t="n">
        <v>0.212</v>
      </c>
      <c r="H20" s="92" t="n">
        <v>0.15</v>
      </c>
      <c r="I20" s="92" t="n">
        <v>0.075</v>
      </c>
      <c r="J20" s="93">
        <f>HYD!Z22</f>
        <v/>
      </c>
      <c r="K20" s="93">
        <f>HYD!AA22</f>
        <v/>
      </c>
      <c r="L20" s="93">
        <f>HYD!AB22</f>
        <v/>
      </c>
      <c r="M20" s="93">
        <f>HYD!AC22</f>
        <v/>
      </c>
      <c r="N20" s="93">
        <f>HYD!AD22</f>
        <v/>
      </c>
      <c r="O20" s="93">
        <f>HYD!AE22</f>
        <v/>
      </c>
      <c r="P20" s="93">
        <f>HYD!AF22</f>
        <v/>
      </c>
      <c r="Q20" s="93">
        <f>HYD!AG22</f>
        <v/>
      </c>
      <c r="R20" s="93">
        <f>HYD!AH22</f>
        <v/>
      </c>
      <c r="S20" s="93">
        <f>HYD!AI22</f>
        <v/>
      </c>
      <c r="T20" s="93">
        <f>HYD!AJ22</f>
        <v/>
      </c>
      <c r="U20" s="93">
        <f>HYD!AK22</f>
        <v/>
      </c>
      <c r="V20" s="93">
        <f>HYD!AL22</f>
        <v/>
      </c>
      <c r="W20" s="1">
        <f>GSD!#REF!</f>
        <v/>
      </c>
      <c r="X20" s="1">
        <f>GSD!#REF!</f>
        <v/>
      </c>
      <c r="Y20" s="1">
        <f>GSD!#REF!</f>
        <v/>
      </c>
      <c r="Z20" s="1">
        <f>GSD!#REF!</f>
        <v/>
      </c>
      <c r="AA20" s="1">
        <f>GSD!#REF!</f>
        <v/>
      </c>
      <c r="AB20" s="38">
        <f>GSD!#REF!</f>
        <v/>
      </c>
      <c r="AC20" s="38">
        <f>HYD!AM22</f>
        <v/>
      </c>
      <c r="AD20" s="1">
        <f>HYD!AN22</f>
        <v/>
      </c>
      <c r="AE20" s="1">
        <f>HYD!AO22</f>
        <v/>
      </c>
      <c r="AF20" s="1">
        <f>HYD!AP22</f>
        <v/>
      </c>
      <c r="AG20" s="1">
        <f>HYD!AQ22</f>
        <v/>
      </c>
      <c r="AH20" s="1">
        <f>HYD!AR22</f>
        <v/>
      </c>
      <c r="AI20" s="1">
        <f>HYD!AS22</f>
        <v/>
      </c>
      <c r="AJ20" s="1">
        <f>HYD!AT22</f>
        <v/>
      </c>
      <c r="AK20" s="1">
        <f>HYD!AU22</f>
        <v/>
      </c>
      <c r="AL20" s="1">
        <f>HYD!AV22</f>
        <v/>
      </c>
      <c r="AM20" s="1">
        <f>HYD!AW22</f>
        <v/>
      </c>
      <c r="AN20" s="1">
        <f>HYD!AX22</f>
        <v/>
      </c>
      <c r="AO20" s="1">
        <f>HYD!AY22</f>
        <v/>
      </c>
      <c r="AP20" s="29" t="n"/>
      <c r="AQ20" s="29" t="n"/>
      <c r="AR20" s="29" t="n"/>
      <c r="AS20" s="29" t="n"/>
    </row>
    <row r="21">
      <c r="A21" s="18" t="n">
        <v>19</v>
      </c>
      <c r="B21" s="18">
        <f>B20</f>
        <v/>
      </c>
      <c r="C21" s="26">
        <f>GSD!#REF!</f>
        <v/>
      </c>
      <c r="D21" s="92" t="n">
        <v>4.75</v>
      </c>
      <c r="E21" s="92" t="n">
        <v>2</v>
      </c>
      <c r="F21" s="92" t="n">
        <v>0.425</v>
      </c>
      <c r="G21" s="92" t="n">
        <v>0.212</v>
      </c>
      <c r="H21" s="92" t="n">
        <v>0.15</v>
      </c>
      <c r="I21" s="92" t="n">
        <v>0.075</v>
      </c>
      <c r="J21" s="93">
        <f>HYD!Z23</f>
        <v/>
      </c>
      <c r="K21" s="93">
        <f>HYD!AA23</f>
        <v/>
      </c>
      <c r="L21" s="93">
        <f>HYD!AB23</f>
        <v/>
      </c>
      <c r="M21" s="93">
        <f>HYD!AC23</f>
        <v/>
      </c>
      <c r="N21" s="93">
        <f>HYD!AD23</f>
        <v/>
      </c>
      <c r="O21" s="93">
        <f>HYD!AE23</f>
        <v/>
      </c>
      <c r="P21" s="93">
        <f>HYD!AF23</f>
        <v/>
      </c>
      <c r="Q21" s="93">
        <f>HYD!AG23</f>
        <v/>
      </c>
      <c r="R21" s="93">
        <f>HYD!AH23</f>
        <v/>
      </c>
      <c r="S21" s="93">
        <f>HYD!AI23</f>
        <v/>
      </c>
      <c r="T21" s="93">
        <f>HYD!AJ23</f>
        <v/>
      </c>
      <c r="U21" s="93">
        <f>HYD!AK23</f>
        <v/>
      </c>
      <c r="V21" s="93">
        <f>HYD!AL23</f>
        <v/>
      </c>
      <c r="W21" s="1">
        <f>GSD!#REF!</f>
        <v/>
      </c>
      <c r="X21" s="1">
        <f>GSD!#REF!</f>
        <v/>
      </c>
      <c r="Y21" s="1">
        <f>GSD!#REF!</f>
        <v/>
      </c>
      <c r="Z21" s="1">
        <f>GSD!#REF!</f>
        <v/>
      </c>
      <c r="AA21" s="1">
        <f>GSD!#REF!</f>
        <v/>
      </c>
      <c r="AB21" s="38">
        <f>GSD!#REF!</f>
        <v/>
      </c>
      <c r="AC21" s="38">
        <f>HYD!AM23</f>
        <v/>
      </c>
      <c r="AD21" s="1">
        <f>HYD!AN23</f>
        <v/>
      </c>
      <c r="AE21" s="1">
        <f>HYD!AO23</f>
        <v/>
      </c>
      <c r="AF21" s="1">
        <f>HYD!AP23</f>
        <v/>
      </c>
      <c r="AG21" s="1">
        <f>HYD!AQ23</f>
        <v/>
      </c>
      <c r="AH21" s="1">
        <f>HYD!AR23</f>
        <v/>
      </c>
      <c r="AI21" s="1">
        <f>HYD!AS23</f>
        <v/>
      </c>
      <c r="AJ21" s="1">
        <f>HYD!AT23</f>
        <v/>
      </c>
      <c r="AK21" s="1">
        <f>HYD!AU23</f>
        <v/>
      </c>
      <c r="AL21" s="1">
        <f>HYD!AV23</f>
        <v/>
      </c>
      <c r="AM21" s="1">
        <f>HYD!AW23</f>
        <v/>
      </c>
      <c r="AN21" s="1">
        <f>HYD!AX23</f>
        <v/>
      </c>
      <c r="AO21" s="1">
        <f>HYD!AY23</f>
        <v/>
      </c>
      <c r="AP21" s="29" t="n"/>
      <c r="AQ21" s="29" t="n"/>
      <c r="AR21" s="29" t="n"/>
      <c r="AS21" s="29" t="n"/>
    </row>
    <row r="22">
      <c r="A22" s="18" t="n">
        <v>20</v>
      </c>
      <c r="B22" s="18">
        <f>B21</f>
        <v/>
      </c>
      <c r="C22" s="26">
        <f>GSD!#REF!</f>
        <v/>
      </c>
      <c r="D22" s="92" t="n">
        <v>4.75</v>
      </c>
      <c r="E22" s="92" t="n">
        <v>2</v>
      </c>
      <c r="F22" s="92" t="n">
        <v>0.425</v>
      </c>
      <c r="G22" s="92" t="n">
        <v>0.212</v>
      </c>
      <c r="H22" s="92" t="n">
        <v>0.15</v>
      </c>
      <c r="I22" s="92" t="n">
        <v>0.075</v>
      </c>
      <c r="J22" s="93">
        <f>HYD!Z24</f>
        <v/>
      </c>
      <c r="K22" s="93">
        <f>HYD!AA24</f>
        <v/>
      </c>
      <c r="L22" s="93">
        <f>HYD!AB24</f>
        <v/>
      </c>
      <c r="M22" s="93">
        <f>HYD!AC24</f>
        <v/>
      </c>
      <c r="N22" s="93">
        <f>HYD!AD24</f>
        <v/>
      </c>
      <c r="O22" s="93">
        <f>HYD!AE24</f>
        <v/>
      </c>
      <c r="P22" s="93">
        <f>HYD!AF24</f>
        <v/>
      </c>
      <c r="Q22" s="93">
        <f>HYD!AG24</f>
        <v/>
      </c>
      <c r="R22" s="93">
        <f>HYD!AH24</f>
        <v/>
      </c>
      <c r="S22" s="93">
        <f>HYD!AI24</f>
        <v/>
      </c>
      <c r="T22" s="93">
        <f>HYD!AJ24</f>
        <v/>
      </c>
      <c r="U22" s="93">
        <f>HYD!AK24</f>
        <v/>
      </c>
      <c r="V22" s="93">
        <f>HYD!AL24</f>
        <v/>
      </c>
      <c r="W22" s="1">
        <f>GSD!#REF!</f>
        <v/>
      </c>
      <c r="X22" s="1">
        <f>GSD!#REF!</f>
        <v/>
      </c>
      <c r="Y22" s="1">
        <f>GSD!#REF!</f>
        <v/>
      </c>
      <c r="Z22" s="1">
        <f>GSD!#REF!</f>
        <v/>
      </c>
      <c r="AA22" s="1">
        <f>GSD!#REF!</f>
        <v/>
      </c>
      <c r="AB22" s="38">
        <f>GSD!#REF!</f>
        <v/>
      </c>
      <c r="AC22" s="38">
        <f>HYD!AM24</f>
        <v/>
      </c>
      <c r="AD22" s="1">
        <f>HYD!AN24</f>
        <v/>
      </c>
      <c r="AE22" s="1">
        <f>HYD!AO24</f>
        <v/>
      </c>
      <c r="AF22" s="1">
        <f>HYD!AP24</f>
        <v/>
      </c>
      <c r="AG22" s="1">
        <f>HYD!AQ24</f>
        <v/>
      </c>
      <c r="AH22" s="1">
        <f>HYD!AR24</f>
        <v/>
      </c>
      <c r="AI22" s="1">
        <f>HYD!AS24</f>
        <v/>
      </c>
      <c r="AJ22" s="1">
        <f>HYD!AT24</f>
        <v/>
      </c>
      <c r="AK22" s="1">
        <f>HYD!AU24</f>
        <v/>
      </c>
      <c r="AL22" s="1">
        <f>HYD!AV24</f>
        <v/>
      </c>
      <c r="AM22" s="1">
        <f>HYD!AW24</f>
        <v/>
      </c>
      <c r="AN22" s="1">
        <f>HYD!AX24</f>
        <v/>
      </c>
      <c r="AO22" s="1">
        <f>HYD!AY24</f>
        <v/>
      </c>
    </row>
    <row r="23">
      <c r="A23" s="18" t="n">
        <v>21</v>
      </c>
      <c r="B23" s="18">
        <f>B22</f>
        <v/>
      </c>
      <c r="C23" s="26">
        <f>GSD!#REF!</f>
        <v/>
      </c>
      <c r="D23" s="92" t="n">
        <v>4.75</v>
      </c>
      <c r="E23" s="92" t="n">
        <v>2</v>
      </c>
      <c r="F23" s="92" t="n">
        <v>0.425</v>
      </c>
      <c r="G23" s="92" t="n">
        <v>0.212</v>
      </c>
      <c r="H23" s="92" t="n">
        <v>0.15</v>
      </c>
      <c r="I23" s="92" t="n">
        <v>0.075</v>
      </c>
      <c r="J23" s="93">
        <f>HYD!Z25</f>
        <v/>
      </c>
      <c r="K23" s="93">
        <f>HYD!AA25</f>
        <v/>
      </c>
      <c r="L23" s="93">
        <f>HYD!AB25</f>
        <v/>
      </c>
      <c r="M23" s="93">
        <f>HYD!AC25</f>
        <v/>
      </c>
      <c r="N23" s="93">
        <f>HYD!AD25</f>
        <v/>
      </c>
      <c r="O23" s="93">
        <f>HYD!AE25</f>
        <v/>
      </c>
      <c r="P23" s="93">
        <f>HYD!AF25</f>
        <v/>
      </c>
      <c r="Q23" s="93">
        <f>HYD!AG25</f>
        <v/>
      </c>
      <c r="R23" s="93">
        <f>HYD!AH25</f>
        <v/>
      </c>
      <c r="S23" s="93">
        <f>HYD!AI25</f>
        <v/>
      </c>
      <c r="T23" s="93">
        <f>HYD!AJ25</f>
        <v/>
      </c>
      <c r="U23" s="93">
        <f>HYD!AK25</f>
        <v/>
      </c>
      <c r="V23" s="93">
        <f>HYD!AL25</f>
        <v/>
      </c>
      <c r="W23" s="1">
        <f>GSD!#REF!</f>
        <v/>
      </c>
      <c r="X23" s="1">
        <f>GSD!#REF!</f>
        <v/>
      </c>
      <c r="Y23" s="1">
        <f>GSD!#REF!</f>
        <v/>
      </c>
      <c r="Z23" s="1">
        <f>GSD!#REF!</f>
        <v/>
      </c>
      <c r="AA23" s="1">
        <f>GSD!#REF!</f>
        <v/>
      </c>
      <c r="AB23" s="38">
        <f>GSD!#REF!</f>
        <v/>
      </c>
      <c r="AC23" s="38">
        <f>HYD!AM25</f>
        <v/>
      </c>
      <c r="AD23" s="1">
        <f>HYD!AN25</f>
        <v/>
      </c>
      <c r="AE23" s="1">
        <f>HYD!AO25</f>
        <v/>
      </c>
      <c r="AF23" s="1">
        <f>HYD!AP25</f>
        <v/>
      </c>
      <c r="AG23" s="1">
        <f>HYD!AQ25</f>
        <v/>
      </c>
      <c r="AH23" s="1">
        <f>HYD!AR25</f>
        <v/>
      </c>
      <c r="AI23" s="1">
        <f>HYD!AS25</f>
        <v/>
      </c>
      <c r="AJ23" s="1">
        <f>HYD!AT25</f>
        <v/>
      </c>
      <c r="AK23" s="1">
        <f>HYD!AU25</f>
        <v/>
      </c>
      <c r="AL23" s="1">
        <f>HYD!AV25</f>
        <v/>
      </c>
      <c r="AM23" s="1">
        <f>HYD!AW25</f>
        <v/>
      </c>
      <c r="AN23" s="1">
        <f>HYD!AX25</f>
        <v/>
      </c>
      <c r="AO23" s="1">
        <f>HYD!AY25</f>
        <v/>
      </c>
    </row>
    <row r="24">
      <c r="AB24" s="1" t="n"/>
      <c r="AC24" s="29" t="n"/>
    </row>
    <row r="25">
      <c r="AB25" s="1" t="n"/>
      <c r="AC25" s="29" t="n"/>
    </row>
    <row r="26">
      <c r="AB26" s="1" t="n"/>
      <c r="AC26" s="29" t="n"/>
    </row>
    <row r="27">
      <c r="AB27" s="1" t="n"/>
      <c r="AC27" s="29" t="n"/>
    </row>
    <row r="28">
      <c r="AB28" s="1" t="n"/>
      <c r="AC28" s="29" t="n"/>
    </row>
    <row r="29">
      <c r="AB29" s="1" t="n"/>
      <c r="AC29" s="29" t="n"/>
    </row>
    <row r="30">
      <c r="AB30" s="1" t="n"/>
      <c r="AC30" s="29" t="n"/>
    </row>
    <row r="31">
      <c r="AB31" s="1" t="n"/>
      <c r="AC31" s="29" t="n"/>
    </row>
    <row r="32">
      <c r="AB32" s="1" t="n"/>
      <c r="AC32" s="29" t="n"/>
    </row>
    <row r="33">
      <c r="AB33" s="1" t="n"/>
      <c r="AC33" s="29" t="n"/>
    </row>
    <row r="34">
      <c r="AB34" s="1" t="n"/>
      <c r="AC34" s="29" t="n"/>
    </row>
    <row r="35">
      <c r="AB35" s="1" t="n"/>
      <c r="AC35" s="29" t="n"/>
    </row>
  </sheetData>
  <mergeCells count="4">
    <mergeCell ref="W2:AB2"/>
    <mergeCell ref="J2:V2"/>
    <mergeCell ref="D2:I2"/>
    <mergeCell ref="AC2:AO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2026-09-28T05:16:35Z</dcterms:modified>
  <cp:lastModifiedBy>shyam marsonia</cp:lastModifiedBy>
</cp:coreProperties>
</file>