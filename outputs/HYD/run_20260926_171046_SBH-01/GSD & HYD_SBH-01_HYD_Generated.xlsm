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'GSD'!$A$1:$Y$9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00"/>
    <numFmt numFmtId="167" formatCode="0.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96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 textRotation="90" wrapText="1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99.92</v>
                </pt>
                <pt idx="1">
                  <v>99.51000000000001</v>
                </pt>
                <pt idx="2">
                  <v>39.89</v>
                </pt>
                <pt idx="3">
                  <v>21.74000000000001</v>
                </pt>
                <pt idx="4">
                  <v>20.71000000000001</v>
                </pt>
                <pt idx="5">
                  <v>18.61000000000001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80.88</v>
                </pt>
                <pt idx="1">
                  <v>67.90000000000001</v>
                </pt>
                <pt idx="2">
                  <v>19.58</v>
                </pt>
                <pt idx="3">
                  <v>17.27</v>
                </pt>
                <pt idx="4">
                  <v>16.98999999999999</v>
                </pt>
                <pt idx="5">
                  <v>16.23999999999999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88.45</v>
                </pt>
                <pt idx="1">
                  <v>80.63</v>
                </pt>
                <pt idx="2">
                  <v>64.27</v>
                </pt>
                <pt idx="3">
                  <v>48.23</v>
                </pt>
                <pt idx="4">
                  <v>45.26</v>
                </pt>
                <pt idx="5">
                  <v>36.87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5.00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99.17</v>
                </pt>
                <pt idx="1">
                  <v>96.01000000000001</v>
                </pt>
                <pt idx="2">
                  <v>90.94</v>
                </pt>
                <pt idx="3">
                  <v>88.87</v>
                </pt>
                <pt idx="4">
                  <v>88.52</v>
                </pt>
                <pt idx="5">
                  <v>87.02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GSD!$Q$9:$V$9</f>
              <numCache>
                <formatCode>0.00</formatCode>
                <ptCount val="6"/>
                <pt idx="0">
                  <v>99.54000000000001</v>
                </pt>
                <pt idx="1">
                  <v>96.83</v>
                </pt>
                <pt idx="2">
                  <v>91</v>
                </pt>
                <pt idx="3">
                  <v>88.7</v>
                </pt>
                <pt idx="4">
                  <v>88.28999999999999</v>
                </pt>
                <pt idx="5">
                  <v>87.31</v>
                </pt>
              </numCache>
            </numRef>
          </yVal>
          <smooth val="1"/>
        </ser>
        <ser>
          <idx val="5"/>
          <order val="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6"/>
          <order val="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7"/>
          <order val="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8"/>
          <order val="8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99.92</v>
                </pt>
                <pt idx="1">
                  <v>99.51000000000001</v>
                </pt>
                <pt idx="2">
                  <v>39.89</v>
                </pt>
                <pt idx="3">
                  <v>21.74000000000001</v>
                </pt>
                <pt idx="4">
                  <v>20.71000000000001</v>
                </pt>
                <pt idx="5">
                  <v>18.61000000000001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80.88</v>
                </pt>
                <pt idx="1">
                  <v>67.90000000000001</v>
                </pt>
                <pt idx="2">
                  <v>19.58</v>
                </pt>
                <pt idx="3">
                  <v>17.27</v>
                </pt>
                <pt idx="4">
                  <v>16.98999999999999</v>
                </pt>
                <pt idx="5">
                  <v>16.23999999999999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88.45</v>
                </pt>
                <pt idx="1">
                  <v>80.63</v>
                </pt>
                <pt idx="2">
                  <v>64.27</v>
                </pt>
                <pt idx="3">
                  <v>48.23</v>
                </pt>
                <pt idx="4">
                  <v>45.26</v>
                </pt>
                <pt idx="5">
                  <v>36.87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5.00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99.17</v>
                </pt>
                <pt idx="1">
                  <v>96.01000000000001</v>
                </pt>
                <pt idx="2">
                  <v>90.94</v>
                </pt>
                <pt idx="3">
                  <v>88.87</v>
                </pt>
                <pt idx="4">
                  <v>88.52</v>
                </pt>
                <pt idx="5">
                  <v>87.02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99.54000000000001</v>
                </pt>
                <pt idx="1">
                  <v>96.83</v>
                </pt>
                <pt idx="2">
                  <v>91</v>
                </pt>
                <pt idx="3">
                  <v>88.7</v>
                </pt>
                <pt idx="4">
                  <v>88.28999999999999</v>
                </pt>
                <pt idx="5">
                  <v>87.31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PLOT!$D$9:$V$9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PLOT!$W$9:$AO$9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PLOT!$D$10:$V$10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PLOT!$W$10:$AO$10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PLOT!$D$11:$V$11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PLOT!$W$11:$AO$11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PLOT!$C$12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PLOT!$D$12:$V$12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PLOT!$W$12:$AO$12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PLOT!$C$13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PLOT!$D$13:$V$13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PLOT!$W$13:$AO$13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PLOT!$C$14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PLOT!$D$14:$V$14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PLOT!$W$14:$AO$14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33097986862992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9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32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11"/>
  <sheetViews>
    <sheetView workbookViewId="0">
      <selection activeCell="G11" sqref="G11"/>
    </sheetView>
  </sheetViews>
  <sheetFormatPr baseColWidth="8" defaultColWidth="9" defaultRowHeight="15"/>
  <cols>
    <col width="6.5703125" customWidth="1" style="2" min="1" max="1"/>
    <col width="4.85546875" customWidth="1" style="2" min="2" max="2"/>
    <col width="5.5703125" customWidth="1" style="2" min="3" max="4"/>
    <col width="7.7109375" customWidth="1" style="2" min="5" max="5"/>
    <col width="7.7109375" customWidth="1" style="12" min="6" max="6"/>
    <col width="9.7109375" customWidth="1" style="2" min="7" max="7"/>
    <col width="11.28515625" customWidth="1" style="2" min="8" max="8"/>
    <col width="13" customWidth="1" style="2" min="9" max="9"/>
    <col width="7.7109375" customWidth="1" style="2" min="10" max="16"/>
    <col width="9" customWidth="1" style="2" min="17" max="16384"/>
  </cols>
  <sheetData>
    <row r="1" ht="25.15" customHeight="1">
      <c r="A1" s="46" t="inlineStr">
        <is>
          <t>Grain Size Analysis (Sieve Analysis)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</row>
    <row r="2" ht="24.6" customHeight="1">
      <c r="A2" s="76" t="inlineStr">
        <is>
          <t>Sr No.</t>
        </is>
      </c>
      <c r="B2" s="77" t="inlineStr">
        <is>
          <t>BH ID</t>
        </is>
      </c>
      <c r="C2" s="77" t="inlineStr">
        <is>
          <t>Chainage</t>
        </is>
      </c>
      <c r="D2" s="77" t="inlineStr">
        <is>
          <t>Sample ID</t>
        </is>
      </c>
      <c r="E2" s="53" t="inlineStr">
        <is>
          <t>Sample Type</t>
        </is>
      </c>
      <c r="F2" s="53" t="inlineStr">
        <is>
          <t>Depth</t>
        </is>
      </c>
      <c r="G2" s="53" t="inlineStr">
        <is>
          <t>Container No.</t>
        </is>
      </c>
      <c r="H2" s="53" t="inlineStr">
        <is>
          <t>Weight of Sample taken for Sieve Analysis</t>
        </is>
      </c>
      <c r="I2" s="78" t="inlineStr">
        <is>
          <t>Weight of Sample Remain after washing through 75µ sieve</t>
        </is>
      </c>
      <c r="J2" s="42" t="inlineStr">
        <is>
          <t>Weight Retained on IS Sieve</t>
        </is>
      </c>
      <c r="K2" s="79" t="n"/>
      <c r="L2" s="79" t="n"/>
      <c r="M2" s="79" t="n"/>
      <c r="N2" s="79" t="n"/>
      <c r="O2" s="79" t="n"/>
      <c r="P2" s="80" t="n"/>
      <c r="Q2" s="42" t="inlineStr">
        <is>
          <t>% Passing</t>
        </is>
      </c>
      <c r="R2" s="79" t="n"/>
      <c r="S2" s="79" t="n"/>
      <c r="T2" s="79" t="n"/>
      <c r="U2" s="79" t="n"/>
      <c r="V2" s="80" t="n"/>
      <c r="W2" s="56" t="inlineStr">
        <is>
          <t xml:space="preserve">Gravel </t>
        </is>
      </c>
      <c r="X2" s="56" t="inlineStr">
        <is>
          <t>Sand</t>
        </is>
      </c>
      <c r="Y2" s="56" t="inlineStr">
        <is>
          <t>Fines</t>
        </is>
      </c>
    </row>
    <row r="3" ht="40.5" customHeight="1">
      <c r="A3" s="81" t="n"/>
      <c r="B3" s="81" t="n"/>
      <c r="C3" s="81" t="n"/>
      <c r="D3" s="81" t="n"/>
      <c r="E3" s="82" t="n"/>
      <c r="F3" s="82" t="n"/>
      <c r="G3" s="82" t="n"/>
      <c r="H3" s="82" t="n"/>
      <c r="I3" s="83" t="n"/>
      <c r="J3" s="55" t="n">
        <v>4.75</v>
      </c>
      <c r="K3" s="4" t="n">
        <v>2</v>
      </c>
      <c r="L3" s="84" t="n">
        <v>0.425</v>
      </c>
      <c r="M3" s="84" t="n">
        <v>0.212</v>
      </c>
      <c r="N3" s="84" t="n">
        <v>0.15</v>
      </c>
      <c r="O3" s="84" t="n">
        <v>0.075</v>
      </c>
      <c r="P3" s="55" t="inlineStr">
        <is>
          <t>Pan</t>
        </is>
      </c>
      <c r="Q3" s="53" t="n">
        <v>4.75</v>
      </c>
      <c r="R3" s="7" t="n">
        <v>2</v>
      </c>
      <c r="S3" s="85" t="n">
        <v>0.425</v>
      </c>
      <c r="T3" s="85" t="n">
        <v>0.212</v>
      </c>
      <c r="U3" s="85" t="n">
        <v>0.15</v>
      </c>
      <c r="V3" s="85" t="n">
        <v>0.075</v>
      </c>
      <c r="W3" s="82" t="n"/>
      <c r="X3" s="82" t="n"/>
      <c r="Y3" s="82" t="n"/>
    </row>
    <row r="4" ht="21.6" customHeight="1">
      <c r="A4" s="83" t="n"/>
      <c r="B4" s="83" t="n"/>
      <c r="C4" s="83" t="n"/>
      <c r="D4" s="83" t="n"/>
      <c r="E4" s="55" t="inlineStr">
        <is>
          <t>-</t>
        </is>
      </c>
      <c r="F4" s="42" t="inlineStr">
        <is>
          <t>(m)</t>
        </is>
      </c>
      <c r="G4" s="42" t="inlineStr">
        <is>
          <t>-</t>
        </is>
      </c>
      <c r="H4" s="42" t="inlineStr">
        <is>
          <t>(gm)</t>
        </is>
      </c>
      <c r="I4" s="42" t="inlineStr">
        <is>
          <t>(gm)</t>
        </is>
      </c>
      <c r="J4" s="42" t="inlineStr">
        <is>
          <t>(gm)</t>
        </is>
      </c>
      <c r="K4" s="79" t="n"/>
      <c r="L4" s="79" t="n"/>
      <c r="M4" s="79" t="n"/>
      <c r="N4" s="79" t="n"/>
      <c r="O4" s="79" t="n"/>
      <c r="P4" s="80" t="n"/>
      <c r="Q4" s="42" t="inlineStr">
        <is>
          <t>(gm)</t>
        </is>
      </c>
      <c r="R4" s="79" t="n"/>
      <c r="S4" s="79" t="n"/>
      <c r="T4" s="79" t="n"/>
      <c r="U4" s="79" t="n"/>
      <c r="V4" s="80" t="n"/>
      <c r="W4" s="57" t="inlineStr">
        <is>
          <t>%</t>
        </is>
      </c>
      <c r="X4" s="79" t="n"/>
      <c r="Y4" s="80" t="n"/>
    </row>
    <row r="5" ht="30" customHeight="1">
      <c r="A5" s="57" t="n">
        <v>1</v>
      </c>
      <c r="B5" s="43" t="inlineStr">
        <is>
          <t>SBH-01</t>
        </is>
      </c>
      <c r="C5" s="44" t="n"/>
      <c r="D5" s="45" t="n"/>
      <c r="E5" s="45" t="inlineStr">
        <is>
          <t>SPT</t>
        </is>
      </c>
      <c r="F5" s="25" t="n">
        <v>0.5</v>
      </c>
      <c r="G5" s="45" t="n"/>
      <c r="H5" s="45" t="n">
        <v>100</v>
      </c>
      <c r="I5" s="25">
        <f>SUM(J5:O5)</f>
        <v/>
      </c>
      <c r="J5" s="25" t="n">
        <v>0.08</v>
      </c>
      <c r="K5" s="25" t="n">
        <v>0.41</v>
      </c>
      <c r="L5" s="25" t="n">
        <v>59.62</v>
      </c>
      <c r="M5" s="25" t="n">
        <v>18.15</v>
      </c>
      <c r="N5" s="25" t="n">
        <v>1.03</v>
      </c>
      <c r="O5" s="25" t="n">
        <v>2.1</v>
      </c>
      <c r="P5" s="25" t="n"/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>
      <c r="A6" s="57" t="n">
        <v>2</v>
      </c>
      <c r="B6" s="86" t="n"/>
      <c r="C6" s="86" t="n"/>
      <c r="D6" s="86" t="n"/>
      <c r="E6" s="45" t="inlineStr">
        <is>
          <t>SPT</t>
        </is>
      </c>
      <c r="F6" s="25" t="n">
        <v>2</v>
      </c>
      <c r="G6" s="45" t="n"/>
      <c r="H6" s="45" t="n">
        <v>100</v>
      </c>
      <c r="I6" s="25">
        <f>SUM(J6:O6)</f>
        <v/>
      </c>
      <c r="J6" s="25" t="n">
        <v>19.12</v>
      </c>
      <c r="K6" s="25" t="n">
        <v>12.98</v>
      </c>
      <c r="L6" s="25" t="n">
        <v>48.32</v>
      </c>
      <c r="M6" s="25" t="n">
        <v>2.31</v>
      </c>
      <c r="N6" s="25" t="n">
        <v>0.28</v>
      </c>
      <c r="O6" s="25" t="n">
        <v>0.75</v>
      </c>
      <c r="P6" s="25" t="n"/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>
      <c r="A7" s="57" t="n">
        <v>3</v>
      </c>
      <c r="B7" s="86" t="n"/>
      <c r="C7" s="86" t="n"/>
      <c r="D7" s="86" t="n"/>
      <c r="E7" s="45" t="inlineStr">
        <is>
          <t>SPT</t>
        </is>
      </c>
      <c r="F7" s="25" t="n">
        <v>3.5</v>
      </c>
      <c r="G7" s="45" t="n"/>
      <c r="H7" s="45" t="n">
        <v>100</v>
      </c>
      <c r="I7" s="25">
        <f>SUM(J7:O7)</f>
        <v/>
      </c>
      <c r="J7" s="25" t="n">
        <v>11.55</v>
      </c>
      <c r="K7" s="25" t="n">
        <v>7.82</v>
      </c>
      <c r="L7" s="25" t="n">
        <v>16.36</v>
      </c>
      <c r="M7" s="25" t="n">
        <v>16.04</v>
      </c>
      <c r="N7" s="25" t="n">
        <v>2.97</v>
      </c>
      <c r="O7" s="25" t="n">
        <v>8.390000000000001</v>
      </c>
      <c r="P7" s="25" t="n"/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>
      <c r="A8" s="57" t="n">
        <v>4</v>
      </c>
      <c r="B8" s="86" t="n"/>
      <c r="C8" s="86" t="n"/>
      <c r="D8" s="86" t="n"/>
      <c r="E8" s="45" t="inlineStr">
        <is>
          <t>SPT</t>
        </is>
      </c>
      <c r="F8" s="25" t="n">
        <v>5</v>
      </c>
      <c r="G8" s="45" t="n"/>
      <c r="H8" s="45" t="n">
        <v>100</v>
      </c>
      <c r="I8" s="25">
        <f>SUM(J8:O8)</f>
        <v/>
      </c>
      <c r="J8" s="25" t="n">
        <v>0.83</v>
      </c>
      <c r="K8" s="25" t="n">
        <v>3.16</v>
      </c>
      <c r="L8" s="25" t="n">
        <v>5.07</v>
      </c>
      <c r="M8" s="25" t="n">
        <v>2.07</v>
      </c>
      <c r="N8" s="25" t="n">
        <v>0.35</v>
      </c>
      <c r="O8" s="25" t="n">
        <v>1.5</v>
      </c>
      <c r="P8" s="25" t="n"/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>
      <c r="A9" s="57" t="n">
        <v>5</v>
      </c>
      <c r="B9" s="86" t="n"/>
      <c r="C9" s="86" t="n"/>
      <c r="D9" s="86" t="n"/>
      <c r="E9" s="45" t="inlineStr">
        <is>
          <t>SPT</t>
        </is>
      </c>
      <c r="F9" s="25" t="n">
        <v>7.5</v>
      </c>
      <c r="G9" s="45" t="n"/>
      <c r="H9" s="45" t="n">
        <v>100</v>
      </c>
      <c r="I9" s="25">
        <f>SUM(J9:O9)</f>
        <v/>
      </c>
      <c r="J9" s="25" t="n">
        <v>0.46</v>
      </c>
      <c r="K9" s="25" t="n">
        <v>2.71</v>
      </c>
      <c r="L9" s="25" t="n">
        <v>5.83</v>
      </c>
      <c r="M9" s="25" t="n">
        <v>2.3</v>
      </c>
      <c r="N9" s="25" t="n">
        <v>0.41</v>
      </c>
      <c r="O9" s="25" t="n">
        <v>0.98</v>
      </c>
      <c r="P9" s="25" t="n"/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>
      <c r="A10" s="57" t="n">
        <v>6</v>
      </c>
      <c r="B10" s="86" t="n"/>
      <c r="C10" s="86" t="n"/>
      <c r="D10" s="86" t="n"/>
      <c r="E10" s="45" t="inlineStr">
        <is>
          <t>SPT</t>
        </is>
      </c>
      <c r="F10" s="25" t="n">
        <v>9.5</v>
      </c>
      <c r="G10" s="45" t="n"/>
      <c r="H10" s="45" t="n">
        <v>100</v>
      </c>
      <c r="I10" s="25">
        <f>SUM(J10:O10)</f>
        <v/>
      </c>
      <c r="J10" s="25" t="n">
        <v>2.46</v>
      </c>
      <c r="K10" s="25" t="n">
        <v>3.85</v>
      </c>
      <c r="L10" s="25" t="n">
        <v>8.83</v>
      </c>
      <c r="M10" s="25" t="n">
        <v>7.55</v>
      </c>
      <c r="N10" s="25" t="n">
        <v>5.41</v>
      </c>
      <c r="O10" s="25" t="n">
        <v>3.6</v>
      </c>
      <c r="P10" s="25" t="n"/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>
      <c r="A11" s="57" t="n">
        <v>7</v>
      </c>
      <c r="B11" s="82" t="n"/>
      <c r="C11" s="82" t="n"/>
      <c r="D11" s="82" t="n"/>
      <c r="E11" s="45" t="inlineStr">
        <is>
          <t>SPT</t>
        </is>
      </c>
      <c r="F11" s="25" t="n">
        <v>10</v>
      </c>
      <c r="G11" s="45" t="n"/>
      <c r="H11" s="45" t="n">
        <v>100</v>
      </c>
      <c r="I11" s="25">
        <f>SUM(J11:O11)</f>
        <v/>
      </c>
      <c r="J11" s="25" t="n">
        <v>1.55</v>
      </c>
      <c r="K11" s="25" t="n">
        <v>5.1</v>
      </c>
      <c r="L11" s="25" t="n">
        <v>6.8</v>
      </c>
      <c r="M11" s="25" t="n">
        <v>8.300000000000001</v>
      </c>
      <c r="N11" s="25" t="n">
        <v>1.35</v>
      </c>
      <c r="O11" s="25" t="n">
        <v>3.66</v>
      </c>
      <c r="P11" s="25" t="n"/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</sheetData>
  <mergeCells count="21">
    <mergeCell ref="A2:A4"/>
    <mergeCell ref="C2:C4"/>
    <mergeCell ref="Q4:V4"/>
    <mergeCell ref="F2:F3"/>
    <mergeCell ref="J2:P2"/>
    <mergeCell ref="H2:H3"/>
    <mergeCell ref="Y2:Y3"/>
    <mergeCell ref="B5:B11"/>
    <mergeCell ref="D5:D11"/>
    <mergeCell ref="E2:E3"/>
    <mergeCell ref="W2:W3"/>
    <mergeCell ref="Q2:V2"/>
    <mergeCell ref="A1:Y1"/>
    <mergeCell ref="W4:Y4"/>
    <mergeCell ref="B2:B4"/>
    <mergeCell ref="D2:D4"/>
    <mergeCell ref="C5:C11"/>
    <mergeCell ref="J4:P4"/>
    <mergeCell ref="X2:X3"/>
    <mergeCell ref="I2:I3"/>
    <mergeCell ref="G2:G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1"/>
  <sheetViews>
    <sheetView tabSelected="1" zoomScaleNormal="100" workbookViewId="0">
      <selection activeCell="K15" sqref="K15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7" t="inlineStr">
        <is>
          <t>Sr No.</t>
        </is>
      </c>
      <c r="B1" s="88" t="inlineStr">
        <is>
          <t>BH ID</t>
        </is>
      </c>
      <c r="C1" s="88" t="inlineStr">
        <is>
          <t>Depth</t>
        </is>
      </c>
      <c r="D1" s="87" t="inlineStr">
        <is>
          <t>Sample Type</t>
        </is>
      </c>
      <c r="E1" s="87" t="inlineStr">
        <is>
          <t xml:space="preserve">Temperature </t>
        </is>
      </c>
      <c r="F1" s="87" t="inlineStr">
        <is>
          <t xml:space="preserve">Coefficent of Viscosity </t>
        </is>
      </c>
      <c r="G1" s="87" t="inlineStr">
        <is>
          <t>SPGR</t>
        </is>
      </c>
      <c r="H1" s="87" t="inlineStr">
        <is>
          <t xml:space="preserve"> Meniscus Correction (Cm)</t>
        </is>
      </c>
      <c r="I1" s="63" t="inlineStr">
        <is>
          <t>Hydrometer No.</t>
        </is>
      </c>
      <c r="J1" s="87" t="inlineStr">
        <is>
          <t>Cylinder Type</t>
        </is>
      </c>
      <c r="K1" s="87" t="inlineStr">
        <is>
          <t>Mt (temperature correction)</t>
        </is>
      </c>
      <c r="L1" s="87" t="inlineStr">
        <is>
          <t>X (dispersion correction)</t>
        </is>
      </c>
      <c r="M1" s="65" t="inlineStr">
        <is>
          <t xml:space="preserve"> Hydrometer Reading at Elapsed Time (min)</t>
        </is>
      </c>
      <c r="N1" s="79" t="n"/>
      <c r="O1" s="79" t="n"/>
      <c r="P1" s="79" t="n"/>
      <c r="Q1" s="79" t="n"/>
      <c r="R1" s="79" t="n"/>
      <c r="S1" s="79" t="n"/>
      <c r="T1" s="79" t="n"/>
      <c r="U1" s="79" t="n"/>
      <c r="V1" s="79" t="n"/>
      <c r="W1" s="79" t="n"/>
      <c r="X1" s="79" t="n"/>
      <c r="Y1" s="80" t="n"/>
      <c r="Z1" s="65" t="inlineStr">
        <is>
          <t>Diameter of the particle at Elapsed Time</t>
        </is>
      </c>
      <c r="AA1" s="79" t="n"/>
      <c r="AB1" s="79" t="n"/>
      <c r="AC1" s="79" t="n"/>
      <c r="AD1" s="79" t="n"/>
      <c r="AE1" s="79" t="n"/>
      <c r="AF1" s="79" t="n"/>
      <c r="AG1" s="79" t="n"/>
      <c r="AH1" s="79" t="n"/>
      <c r="AI1" s="79" t="n"/>
      <c r="AJ1" s="79" t="n"/>
      <c r="AK1" s="79" t="n"/>
      <c r="AL1" s="80" t="n"/>
      <c r="AM1" s="66" t="inlineStr">
        <is>
          <t>Percentge finer than Diameter of the particle at Elapsed Time</t>
        </is>
      </c>
      <c r="AN1" s="79" t="n"/>
      <c r="AO1" s="79" t="n"/>
      <c r="AP1" s="79" t="n"/>
      <c r="AQ1" s="79" t="n"/>
      <c r="AR1" s="79" t="n"/>
      <c r="AS1" s="79" t="n"/>
      <c r="AT1" s="79" t="n"/>
      <c r="AU1" s="79" t="n"/>
      <c r="AV1" s="79" t="n"/>
      <c r="AW1" s="79" t="n"/>
      <c r="AX1" s="79" t="n"/>
      <c r="AY1" s="80" t="n"/>
      <c r="AZ1" s="21" t="n"/>
      <c r="BA1" s="21" t="n"/>
    </row>
    <row r="2">
      <c r="A2" s="81" t="n"/>
      <c r="B2" s="81" t="n"/>
      <c r="C2" s="81" t="n"/>
      <c r="D2" s="81" t="n"/>
      <c r="E2" s="81" t="n"/>
      <c r="F2" s="81" t="n"/>
      <c r="G2" s="81" t="n"/>
      <c r="H2" s="81" t="n"/>
      <c r="I2" s="86" t="n"/>
      <c r="J2" s="81" t="n"/>
      <c r="K2" s="81" t="n"/>
      <c r="L2" s="81" t="n"/>
      <c r="M2" s="89" t="n">
        <v>0.5</v>
      </c>
      <c r="N2" s="59" t="n">
        <v>1</v>
      </c>
      <c r="O2" s="59" t="n">
        <v>2</v>
      </c>
      <c r="P2" s="59" t="n">
        <v>4</v>
      </c>
      <c r="Q2" s="59" t="n">
        <v>8</v>
      </c>
      <c r="R2" s="59" t="n">
        <v>15</v>
      </c>
      <c r="S2" s="59" t="n">
        <v>30</v>
      </c>
      <c r="T2" s="59" t="n">
        <v>60</v>
      </c>
      <c r="U2" s="59" t="n">
        <v>120</v>
      </c>
      <c r="V2" s="59" t="n">
        <v>240</v>
      </c>
      <c r="W2" s="59" t="n">
        <v>480</v>
      </c>
      <c r="X2" s="59" t="n">
        <v>960</v>
      </c>
      <c r="Y2" s="59" t="n">
        <v>1440</v>
      </c>
      <c r="Z2" s="89" t="n">
        <v>0.5</v>
      </c>
      <c r="AA2" s="59" t="n">
        <v>1</v>
      </c>
      <c r="AB2" s="59" t="n">
        <v>2</v>
      </c>
      <c r="AC2" s="59" t="n">
        <v>4</v>
      </c>
      <c r="AD2" s="59" t="n">
        <v>8</v>
      </c>
      <c r="AE2" s="59" t="n">
        <v>15</v>
      </c>
      <c r="AF2" s="59" t="n">
        <v>30</v>
      </c>
      <c r="AG2" s="59" t="n">
        <v>60</v>
      </c>
      <c r="AH2" s="59" t="n">
        <v>120</v>
      </c>
      <c r="AI2" s="59" t="n">
        <v>240</v>
      </c>
      <c r="AJ2" s="59" t="n">
        <v>480</v>
      </c>
      <c r="AK2" s="59" t="n">
        <v>960</v>
      </c>
      <c r="AL2" s="59" t="n">
        <v>1440</v>
      </c>
      <c r="AM2" s="89" t="n">
        <v>0.5</v>
      </c>
      <c r="AN2" s="59" t="n">
        <v>1</v>
      </c>
      <c r="AO2" s="59" t="n">
        <v>2</v>
      </c>
      <c r="AP2" s="59" t="n">
        <v>4</v>
      </c>
      <c r="AQ2" s="59" t="n">
        <v>8</v>
      </c>
      <c r="AR2" s="59" t="n">
        <v>15</v>
      </c>
      <c r="AS2" s="59" t="n">
        <v>30</v>
      </c>
      <c r="AT2" s="59" t="n">
        <v>60</v>
      </c>
      <c r="AU2" s="59" t="n">
        <v>120</v>
      </c>
      <c r="AV2" s="59" t="n">
        <v>240</v>
      </c>
      <c r="AW2" s="59" t="n">
        <v>480</v>
      </c>
      <c r="AX2" s="59" t="n">
        <v>960</v>
      </c>
      <c r="AY2" s="59" t="n">
        <v>1440</v>
      </c>
      <c r="AZ2" s="21" t="n"/>
      <c r="BA2" s="21" t="n"/>
    </row>
    <row r="3">
      <c r="A3" s="81" t="n"/>
      <c r="B3" s="81" t="n"/>
      <c r="C3" s="81" t="n"/>
      <c r="D3" s="83" t="n"/>
      <c r="E3" s="83" t="n"/>
      <c r="F3" s="83" t="n"/>
      <c r="G3" s="83" t="n"/>
      <c r="H3" s="83" t="n"/>
      <c r="I3" s="82" t="n"/>
      <c r="J3" s="83" t="n"/>
      <c r="K3" s="83" t="n"/>
      <c r="L3" s="83" t="n"/>
      <c r="M3" s="82" t="n"/>
      <c r="N3" s="82" t="n"/>
      <c r="O3" s="82" t="n"/>
      <c r="P3" s="82" t="n"/>
      <c r="Q3" s="82" t="n"/>
      <c r="R3" s="82" t="n"/>
      <c r="S3" s="82" t="n"/>
      <c r="T3" s="82" t="n"/>
      <c r="U3" s="82" t="n"/>
      <c r="V3" s="82" t="n"/>
      <c r="W3" s="82" t="n"/>
      <c r="X3" s="82" t="n"/>
      <c r="Y3" s="82" t="n"/>
      <c r="Z3" s="82" t="n"/>
      <c r="AA3" s="82" t="n"/>
      <c r="AB3" s="82" t="n"/>
      <c r="AC3" s="82" t="n"/>
      <c r="AD3" s="82" t="n"/>
      <c r="AE3" s="82" t="n"/>
      <c r="AF3" s="82" t="n"/>
      <c r="AG3" s="82" t="n"/>
      <c r="AH3" s="82" t="n"/>
      <c r="AI3" s="82" t="n"/>
      <c r="AJ3" s="82" t="n"/>
      <c r="AK3" s="82" t="n"/>
      <c r="AL3" s="82" t="n"/>
      <c r="AM3" s="82" t="n"/>
      <c r="AN3" s="82" t="n"/>
      <c r="AO3" s="82" t="n"/>
      <c r="AP3" s="82" t="n"/>
      <c r="AQ3" s="82" t="n"/>
      <c r="AR3" s="82" t="n"/>
      <c r="AS3" s="82" t="n"/>
      <c r="AT3" s="82" t="n"/>
      <c r="AU3" s="82" t="n"/>
      <c r="AV3" s="82" t="n"/>
      <c r="AW3" s="82" t="n"/>
      <c r="AX3" s="82" t="n"/>
      <c r="AY3" s="82" t="n"/>
      <c r="AZ3" s="21" t="n"/>
      <c r="BA3" s="21" t="n"/>
    </row>
    <row r="4">
      <c r="A4" s="83" t="n"/>
      <c r="B4" s="83" t="n"/>
      <c r="C4" s="83" t="n"/>
      <c r="D4" s="69" t="inlineStr">
        <is>
          <t>-</t>
        </is>
      </c>
      <c r="E4" s="69" t="inlineStr">
        <is>
          <t>(°C)</t>
        </is>
      </c>
      <c r="F4" s="69" t="inlineStr">
        <is>
          <t>Poise</t>
        </is>
      </c>
      <c r="G4" s="69" t="inlineStr">
        <is>
          <t>-</t>
        </is>
      </c>
      <c r="H4" s="69" t="inlineStr">
        <is>
          <t>-</t>
        </is>
      </c>
      <c r="I4" s="63" t="inlineStr">
        <is>
          <t>-</t>
        </is>
      </c>
      <c r="J4" s="60" t="n"/>
      <c r="K4" s="60" t="inlineStr">
        <is>
          <t>-</t>
        </is>
      </c>
      <c r="L4" s="60" t="inlineStr">
        <is>
          <t>-</t>
        </is>
      </c>
      <c r="M4" s="63" t="n"/>
      <c r="N4" s="79" t="n"/>
      <c r="O4" s="79" t="n"/>
      <c r="P4" s="79" t="n"/>
      <c r="Q4" s="79" t="n"/>
      <c r="R4" s="79" t="n"/>
      <c r="S4" s="79" t="n"/>
      <c r="T4" s="79" t="n"/>
      <c r="U4" s="79" t="n"/>
      <c r="V4" s="79" t="n"/>
      <c r="W4" s="79" t="n"/>
      <c r="X4" s="79" t="n"/>
      <c r="Y4" s="80" t="n"/>
      <c r="Z4" s="63" t="inlineStr">
        <is>
          <t>(mm)</t>
        </is>
      </c>
      <c r="AA4" s="79" t="n"/>
      <c r="AB4" s="79" t="n"/>
      <c r="AC4" s="79" t="n"/>
      <c r="AD4" s="79" t="n"/>
      <c r="AE4" s="79" t="n"/>
      <c r="AF4" s="79" t="n"/>
      <c r="AG4" s="79" t="n"/>
      <c r="AH4" s="79" t="n"/>
      <c r="AI4" s="79" t="n"/>
      <c r="AJ4" s="79" t="n"/>
      <c r="AK4" s="79" t="n"/>
      <c r="AL4" s="80" t="n"/>
      <c r="AM4" s="63" t="inlineStr">
        <is>
          <t>(%)</t>
        </is>
      </c>
      <c r="AN4" s="79" t="n"/>
      <c r="AO4" s="79" t="n"/>
      <c r="AP4" s="79" t="n"/>
      <c r="AQ4" s="79" t="n"/>
      <c r="AR4" s="79" t="n"/>
      <c r="AS4" s="79" t="n"/>
      <c r="AT4" s="79" t="n"/>
      <c r="AU4" s="79" t="n"/>
      <c r="AV4" s="79" t="n"/>
      <c r="AW4" s="79" t="n"/>
      <c r="AX4" s="79" t="n"/>
      <c r="AY4" s="80" t="n"/>
      <c r="AZ4" s="20" t="n"/>
      <c r="BA4" s="20" t="n"/>
    </row>
    <row r="5">
      <c r="A5" s="31" t="n">
        <v>1</v>
      </c>
      <c r="B5" s="31">
        <f>GSD!B5</f>
        <v/>
      </c>
      <c r="C5" s="32">
        <f>GSD!F5</f>
        <v/>
      </c>
      <c r="D5" s="31">
        <f>GSD!E5</f>
        <v/>
      </c>
      <c r="E5" s="32" t="n">
        <v>27</v>
      </c>
      <c r="F5" s="90">
        <f>(0.000000002615*E5^4) - (0.00000030607*E5^3) + (0.000016427499*E5^2) - (0.000618546309*E5) + 0.017919182437</f>
        <v/>
      </c>
      <c r="G5" s="91" t="n"/>
      <c r="H5" s="31" t="n">
        <v>0.0005</v>
      </c>
      <c r="I5" s="31" t="n"/>
      <c r="J5" s="31" t="n"/>
      <c r="K5" s="32">
        <f>(E5-27)*0.25</f>
        <v/>
      </c>
      <c r="L5" s="31" t="n">
        <v>0.3</v>
      </c>
      <c r="M5" s="91" t="n"/>
      <c r="N5" s="91" t="n"/>
      <c r="O5" s="91" t="n"/>
      <c r="P5" s="91" t="n"/>
      <c r="Q5" s="91" t="n"/>
      <c r="R5" s="91" t="n"/>
      <c r="S5" s="91" t="n"/>
      <c r="T5" s="91" t="n"/>
      <c r="U5" s="91" t="n"/>
      <c r="V5" s="91" t="n"/>
      <c r="W5" s="91" t="n"/>
      <c r="X5" s="91" t="n"/>
      <c r="Y5" s="91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36" t="n"/>
      <c r="BA5" s="36" t="n"/>
    </row>
    <row r="6">
      <c r="A6" s="31" t="n">
        <v>2</v>
      </c>
      <c r="B6" s="31">
        <f>B5</f>
        <v/>
      </c>
      <c r="C6" s="32">
        <f>GSD!F6</f>
        <v/>
      </c>
      <c r="D6" s="31">
        <f>GSD!E6</f>
        <v/>
      </c>
      <c r="E6" s="32" t="n">
        <v>27</v>
      </c>
      <c r="F6" s="90">
        <f>(0.000000002615*E6^4) - (0.00000030607*E6^3) + (0.000016427499*E6^2) - (0.000618546309*E6) + 0.017919182437</f>
        <v/>
      </c>
      <c r="G6" s="91" t="n"/>
      <c r="H6" s="31" t="n">
        <v>0.0005</v>
      </c>
      <c r="I6" s="31" t="n"/>
      <c r="J6" s="31" t="n"/>
      <c r="K6" s="32">
        <f>(E6-27)*0.25</f>
        <v/>
      </c>
      <c r="L6" s="31" t="n">
        <v>0.3</v>
      </c>
      <c r="M6" s="91" t="n"/>
      <c r="N6" s="91" t="n"/>
      <c r="O6" s="91" t="n"/>
      <c r="P6" s="91" t="n"/>
      <c r="Q6" s="91" t="n"/>
      <c r="R6" s="91" t="n"/>
      <c r="S6" s="91" t="n"/>
      <c r="T6" s="91" t="n"/>
      <c r="U6" s="91" t="n"/>
      <c r="V6" s="91" t="n"/>
      <c r="W6" s="91" t="n"/>
      <c r="X6" s="91" t="n"/>
      <c r="Y6" s="91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36" t="n"/>
      <c r="BA6" s="36" t="n"/>
    </row>
    <row r="7">
      <c r="A7" s="31" t="n">
        <v>3</v>
      </c>
      <c r="B7" s="31">
        <f>B6</f>
        <v/>
      </c>
      <c r="C7" s="32">
        <f>GSD!F7</f>
        <v/>
      </c>
      <c r="D7" s="31">
        <f>GSD!E7</f>
        <v/>
      </c>
      <c r="E7" s="32" t="n">
        <v>27</v>
      </c>
      <c r="F7" s="90" t="n">
        <v>0.008559421270000001</v>
      </c>
      <c r="G7" s="91" t="n">
        <v>2.66</v>
      </c>
      <c r="H7" s="31" t="n">
        <v>0.0005</v>
      </c>
      <c r="I7" s="31" t="n">
        <v>1</v>
      </c>
      <c r="J7" s="31" t="n">
        <v>1</v>
      </c>
      <c r="K7" s="32" t="n">
        <v>0</v>
      </c>
      <c r="L7" s="31" t="n">
        <v>0.3</v>
      </c>
      <c r="M7" s="91" t="n">
        <v>1.012</v>
      </c>
      <c r="N7" s="91" t="n">
        <v>1.011</v>
      </c>
      <c r="O7" s="91" t="n">
        <v>1.011</v>
      </c>
      <c r="P7" s="91" t="n">
        <v>1.01</v>
      </c>
      <c r="Q7" s="91" t="n">
        <v>1.01</v>
      </c>
      <c r="R7" s="91" t="n">
        <v>1.009</v>
      </c>
      <c r="S7" s="91" t="n">
        <v>1.009</v>
      </c>
      <c r="T7" s="91" t="n">
        <v>1.008</v>
      </c>
      <c r="U7" s="91" t="n">
        <v>1.008</v>
      </c>
      <c r="V7" s="91" t="n">
        <v>1.007</v>
      </c>
      <c r="W7" s="91" t="n">
        <v>1.007</v>
      </c>
      <c r="X7" s="91" t="n">
        <v>1.007</v>
      </c>
      <c r="Y7" s="91" t="n">
        <v>1.006</v>
      </c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36" t="n"/>
      <c r="BA7" s="36" t="n"/>
    </row>
    <row r="8">
      <c r="A8" s="31" t="n">
        <v>4</v>
      </c>
      <c r="B8" s="31">
        <f>B7</f>
        <v/>
      </c>
      <c r="C8" s="32">
        <f>GSD!F8</f>
        <v/>
      </c>
      <c r="D8" s="31">
        <f>GSD!E8</f>
        <v/>
      </c>
      <c r="E8" s="32" t="n">
        <v>27</v>
      </c>
      <c r="F8" s="90" t="n">
        <v>0.008559421270000001</v>
      </c>
      <c r="G8" s="91" t="n">
        <v>2.69</v>
      </c>
      <c r="H8" s="31" t="n">
        <v>0.0005</v>
      </c>
      <c r="I8" s="31" t="n">
        <v>1</v>
      </c>
      <c r="J8" s="31" t="n">
        <v>1</v>
      </c>
      <c r="K8" s="32" t="n">
        <v>0</v>
      </c>
      <c r="L8" s="31" t="n">
        <v>0.3</v>
      </c>
      <c r="M8" s="91" t="n">
        <v>1.027</v>
      </c>
      <c r="N8" s="91" t="n">
        <v>1.026</v>
      </c>
      <c r="O8" s="91" t="n">
        <v>1.025</v>
      </c>
      <c r="P8" s="91" t="n">
        <v>1.024</v>
      </c>
      <c r="Q8" s="91" t="n">
        <v>1.023</v>
      </c>
      <c r="R8" s="91" t="n">
        <v>1.021</v>
      </c>
      <c r="S8" s="91" t="n">
        <v>1.02</v>
      </c>
      <c r="T8" s="91" t="n">
        <v>1.019</v>
      </c>
      <c r="U8" s="91" t="n">
        <v>1.018</v>
      </c>
      <c r="V8" s="91" t="n">
        <v>1.016</v>
      </c>
      <c r="W8" s="91" t="n">
        <v>1.015</v>
      </c>
      <c r="X8" s="91" t="n">
        <v>1.015</v>
      </c>
      <c r="Y8" s="91" t="n">
        <v>1.015</v>
      </c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36" t="n"/>
      <c r="BA8" s="36" t="n"/>
    </row>
    <row r="9">
      <c r="A9" s="31" t="n">
        <v>5</v>
      </c>
      <c r="B9" s="31">
        <f>B8</f>
        <v/>
      </c>
      <c r="C9" s="32">
        <f>GSD!F9</f>
        <v/>
      </c>
      <c r="D9" s="31">
        <f>GSD!E9</f>
        <v/>
      </c>
      <c r="E9" s="32" t="n">
        <v>27</v>
      </c>
      <c r="F9" s="90" t="n">
        <v>0.008559421270000001</v>
      </c>
      <c r="G9" s="91" t="n">
        <v>2.68</v>
      </c>
      <c r="H9" s="31" t="n">
        <v>0.0005</v>
      </c>
      <c r="I9" s="31" t="n">
        <v>1</v>
      </c>
      <c r="J9" s="31" t="n">
        <v>1</v>
      </c>
      <c r="K9" s="32" t="n">
        <v>0</v>
      </c>
      <c r="L9" s="31" t="n">
        <v>0.3</v>
      </c>
      <c r="M9" s="91" t="n">
        <v>1.027</v>
      </c>
      <c r="N9" s="91" t="n">
        <v>1.026</v>
      </c>
      <c r="O9" s="91" t="n">
        <v>1.024</v>
      </c>
      <c r="P9" s="91" t="n">
        <v>1.023</v>
      </c>
      <c r="Q9" s="91" t="n">
        <v>1.022</v>
      </c>
      <c r="R9" s="91" t="n">
        <v>1.021</v>
      </c>
      <c r="S9" s="91" t="n">
        <v>1.019</v>
      </c>
      <c r="T9" s="91" t="n">
        <v>1.018</v>
      </c>
      <c r="U9" s="91" t="n">
        <v>1.016</v>
      </c>
      <c r="V9" s="91" t="n">
        <v>1.015</v>
      </c>
      <c r="W9" s="91" t="n">
        <v>1.013</v>
      </c>
      <c r="X9" s="91" t="n">
        <v>1.013</v>
      </c>
      <c r="Y9" s="91" t="n">
        <v>1.013</v>
      </c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36" t="n"/>
      <c r="BA9" s="36" t="n"/>
    </row>
    <row r="10">
      <c r="A10" s="31" t="n">
        <v>6</v>
      </c>
      <c r="B10" s="31">
        <f>B9</f>
        <v/>
      </c>
      <c r="C10" s="32">
        <f>GSD!F10</f>
        <v/>
      </c>
      <c r="D10" s="31">
        <f>GSD!E10</f>
        <v/>
      </c>
      <c r="E10" s="32" t="n">
        <v>27</v>
      </c>
      <c r="F10" s="90" t="n">
        <v>0.008559421270000001</v>
      </c>
      <c r="G10" s="91" t="n">
        <v>2.67</v>
      </c>
      <c r="H10" s="31" t="n">
        <v>0.0005</v>
      </c>
      <c r="I10" s="31" t="n">
        <v>1</v>
      </c>
      <c r="J10" s="31" t="n">
        <v>1</v>
      </c>
      <c r="K10" s="32" t="n">
        <v>0</v>
      </c>
      <c r="L10" s="31" t="n">
        <v>0.3</v>
      </c>
      <c r="M10" s="91" t="n">
        <v>1.021</v>
      </c>
      <c r="N10" s="91" t="n">
        <v>1.021</v>
      </c>
      <c r="O10" s="91" t="n">
        <v>1.02</v>
      </c>
      <c r="P10" s="91" t="n">
        <v>1.019</v>
      </c>
      <c r="Q10" s="91" t="n">
        <v>1.018</v>
      </c>
      <c r="R10" s="91" t="n">
        <v>1.018</v>
      </c>
      <c r="S10" s="91" t="n">
        <v>1.017</v>
      </c>
      <c r="T10" s="91" t="n">
        <v>1.016</v>
      </c>
      <c r="U10" s="91" t="n">
        <v>1.015</v>
      </c>
      <c r="V10" s="91" t="n">
        <v>1.014</v>
      </c>
      <c r="W10" s="91" t="n">
        <v>1.013</v>
      </c>
      <c r="X10" s="91" t="n">
        <v>1.013</v>
      </c>
      <c r="Y10" s="91" t="n">
        <v>1.013</v>
      </c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32" t="n"/>
      <c r="AN10" s="32" t="n"/>
      <c r="AO10" s="32" t="n"/>
      <c r="AP10" s="32" t="n"/>
      <c r="AQ10" s="32" t="n"/>
      <c r="AR10" s="32" t="n"/>
      <c r="AS10" s="32" t="n"/>
      <c r="AT10" s="32" t="n"/>
      <c r="AU10" s="32" t="n"/>
      <c r="AV10" s="32" t="n"/>
      <c r="AW10" s="32" t="n"/>
      <c r="AX10" s="32" t="n"/>
      <c r="AY10" s="32" t="n"/>
    </row>
    <row r="11">
      <c r="A11" s="31" t="n">
        <v>7</v>
      </c>
      <c r="B11" s="31">
        <f>B10</f>
        <v/>
      </c>
      <c r="C11" s="32">
        <f>GSD!F11</f>
        <v/>
      </c>
      <c r="D11" s="31">
        <f>GSD!E11</f>
        <v/>
      </c>
      <c r="E11" s="32" t="n">
        <v>27</v>
      </c>
      <c r="F11" s="90" t="n">
        <v>0.008559421270000001</v>
      </c>
      <c r="G11" s="91" t="n">
        <v>2.66</v>
      </c>
      <c r="H11" s="31" t="n">
        <v>0.0005</v>
      </c>
      <c r="I11" s="31" t="n">
        <v>2</v>
      </c>
      <c r="J11" s="31" t="n">
        <v>2</v>
      </c>
      <c r="K11" s="32" t="n">
        <v>0</v>
      </c>
      <c r="L11" s="31" t="n">
        <v>0.3</v>
      </c>
      <c r="M11" s="91" t="n">
        <v>1.023</v>
      </c>
      <c r="N11" s="91" t="n">
        <v>1.022</v>
      </c>
      <c r="O11" s="91" t="n">
        <v>1.021</v>
      </c>
      <c r="P11" s="91" t="n">
        <v>1.02</v>
      </c>
      <c r="Q11" s="91" t="n">
        <v>1.019</v>
      </c>
      <c r="R11" s="91" t="n">
        <v>1.018</v>
      </c>
      <c r="S11" s="91" t="n">
        <v>1.017</v>
      </c>
      <c r="T11" s="91" t="n">
        <v>1.016</v>
      </c>
      <c r="U11" s="91" t="n">
        <v>1.015</v>
      </c>
      <c r="V11" s="91" t="n">
        <v>1.014</v>
      </c>
      <c r="W11" s="91" t="n">
        <v>1.013</v>
      </c>
      <c r="X11" s="91" t="n">
        <v>1.013</v>
      </c>
      <c r="Y11" s="91" t="n">
        <v>1.013</v>
      </c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32" t="n"/>
      <c r="AN11" s="32" t="n"/>
      <c r="AO11" s="32" t="n"/>
      <c r="AP11" s="32" t="n"/>
      <c r="AQ11" s="32" t="n"/>
      <c r="AR11" s="32" t="n"/>
      <c r="AS11" s="32" t="n"/>
      <c r="AT11" s="32" t="n"/>
      <c r="AU11" s="32" t="n"/>
      <c r="AV11" s="32" t="n"/>
      <c r="AW11" s="32" t="n"/>
      <c r="AX11" s="32" t="n"/>
      <c r="AY11" s="32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5"/>
  <sheetData>
    <row r="1" ht="30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18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18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18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18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18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18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18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18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18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18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18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18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18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18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18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18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18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18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18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18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18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18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18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18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18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18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18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18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18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18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18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18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18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18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18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18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18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18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18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18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S35"/>
  <sheetViews>
    <sheetView zoomScaleNormal="100" workbookViewId="0">
      <selection activeCell="F20" sqref="F20"/>
    </sheetView>
  </sheetViews>
  <sheetFormatPr baseColWidth="8" defaultRowHeight="15"/>
  <cols>
    <col width="9.140625" customWidth="1" min="4" max="27"/>
    <col width="9.140625" customWidth="1" style="30" min="28" max="28"/>
  </cols>
  <sheetData>
    <row r="1">
      <c r="J1" s="24" t="n">
        <v>0.5</v>
      </c>
      <c r="K1" s="24" t="n">
        <v>1</v>
      </c>
      <c r="L1" s="24" t="n">
        <v>2</v>
      </c>
      <c r="M1" s="24" t="n">
        <v>4</v>
      </c>
      <c r="N1" s="24" t="n">
        <v>8</v>
      </c>
      <c r="O1" s="24" t="n">
        <v>15</v>
      </c>
      <c r="P1" s="24" t="n">
        <v>30</v>
      </c>
      <c r="Q1" s="24" t="n">
        <v>60</v>
      </c>
      <c r="R1" s="24" t="n">
        <v>120</v>
      </c>
      <c r="S1" s="24" t="n">
        <v>240</v>
      </c>
      <c r="T1" s="24" t="n">
        <v>480</v>
      </c>
      <c r="U1" s="24" t="n">
        <v>960</v>
      </c>
      <c r="V1" s="24" t="n">
        <v>1440</v>
      </c>
      <c r="W1" s="24" t="n">
        <v>4.75</v>
      </c>
      <c r="X1" s="93" t="n">
        <v>2</v>
      </c>
      <c r="Y1" s="27" t="n">
        <v>0.425</v>
      </c>
      <c r="Z1" s="27" t="n">
        <v>0.212</v>
      </c>
      <c r="AA1" s="27" t="n">
        <v>0.15</v>
      </c>
      <c r="AB1" s="24" t="n">
        <v>0.075</v>
      </c>
      <c r="AC1" s="24" t="n">
        <v>0.5</v>
      </c>
      <c r="AD1" s="24" t="n">
        <v>1</v>
      </c>
      <c r="AE1" s="24" t="n">
        <v>2</v>
      </c>
      <c r="AF1" s="24" t="n">
        <v>4</v>
      </c>
      <c r="AG1" s="24" t="n">
        <v>8</v>
      </c>
      <c r="AH1" s="24" t="n">
        <v>15</v>
      </c>
      <c r="AI1" s="24" t="n">
        <v>30</v>
      </c>
      <c r="AJ1" s="24" t="n">
        <v>60</v>
      </c>
      <c r="AK1" s="24" t="n">
        <v>120</v>
      </c>
      <c r="AL1" s="24" t="n">
        <v>240</v>
      </c>
      <c r="AM1" s="24" t="n">
        <v>480</v>
      </c>
      <c r="AN1" s="24" t="n">
        <v>960</v>
      </c>
      <c r="AO1" s="24" t="n">
        <v>1440</v>
      </c>
    </row>
    <row r="2">
      <c r="A2" s="74" t="inlineStr">
        <is>
          <t>SR No.</t>
        </is>
      </c>
      <c r="B2" s="74" t="inlineStr">
        <is>
          <t>BH ID</t>
        </is>
      </c>
      <c r="C2" s="74" t="inlineStr">
        <is>
          <t>Depth</t>
        </is>
      </c>
      <c r="D2" s="73" t="inlineStr">
        <is>
          <t>Particle Size in mm (GSD)</t>
        </is>
      </c>
      <c r="E2" s="79" t="n"/>
      <c r="F2" s="79" t="n"/>
      <c r="G2" s="79" t="n"/>
      <c r="H2" s="79" t="n"/>
      <c r="I2" s="80" t="n"/>
      <c r="J2" s="73" t="inlineStr">
        <is>
          <t>Particle Size in mm (HYD)</t>
        </is>
      </c>
      <c r="K2" s="79" t="n"/>
      <c r="L2" s="79" t="n"/>
      <c r="M2" s="79" t="n"/>
      <c r="N2" s="79" t="n"/>
      <c r="O2" s="79" t="n"/>
      <c r="P2" s="79" t="n"/>
      <c r="Q2" s="79" t="n"/>
      <c r="R2" s="79" t="n"/>
      <c r="S2" s="79" t="n"/>
      <c r="T2" s="79" t="n"/>
      <c r="U2" s="79" t="n"/>
      <c r="V2" s="80" t="n"/>
      <c r="W2" s="74" t="inlineStr">
        <is>
          <t>% Passing (GSD)</t>
        </is>
      </c>
      <c r="X2" s="79" t="n"/>
      <c r="Y2" s="79" t="n"/>
      <c r="Z2" s="79" t="n"/>
      <c r="AA2" s="79" t="n"/>
      <c r="AB2" s="80" t="n"/>
      <c r="AC2" s="73" t="inlineStr">
        <is>
          <t>% Passing (HYD)</t>
        </is>
      </c>
      <c r="AD2" s="79" t="n"/>
      <c r="AE2" s="79" t="n"/>
      <c r="AF2" s="79" t="n"/>
      <c r="AG2" s="79" t="n"/>
      <c r="AH2" s="79" t="n"/>
      <c r="AI2" s="79" t="n"/>
      <c r="AJ2" s="79" t="n"/>
      <c r="AK2" s="79" t="n"/>
      <c r="AL2" s="79" t="n"/>
      <c r="AM2" s="79" t="n"/>
      <c r="AN2" s="79" t="n"/>
      <c r="AO2" s="80" t="n"/>
      <c r="AP2" s="74" t="inlineStr">
        <is>
          <t>% Gravel</t>
        </is>
      </c>
      <c r="AQ2" s="74" t="inlineStr">
        <is>
          <t>% Sand</t>
        </is>
      </c>
      <c r="AR2" s="74" t="inlineStr">
        <is>
          <t>% Silt</t>
        </is>
      </c>
      <c r="AS2" s="74" t="inlineStr">
        <is>
          <t>% Clay</t>
        </is>
      </c>
    </row>
    <row r="3" customFormat="1" s="18">
      <c r="A3" s="18" t="n">
        <v>1</v>
      </c>
      <c r="B3" s="18">
        <f>GSD!B5</f>
        <v/>
      </c>
      <c r="C3" s="26">
        <f>GSD!F5</f>
        <v/>
      </c>
      <c r="D3" s="94" t="n">
        <v>4.75</v>
      </c>
      <c r="E3" s="94" t="n">
        <v>2</v>
      </c>
      <c r="F3" s="94" t="n">
        <v>0.425</v>
      </c>
      <c r="G3" s="94" t="n">
        <v>0.212</v>
      </c>
      <c r="H3" s="94" t="n">
        <v>0.15</v>
      </c>
      <c r="I3" s="94" t="n">
        <v>0.075</v>
      </c>
      <c r="J3" s="95">
        <f>HYD!Z5</f>
        <v/>
      </c>
      <c r="K3" s="95">
        <f>HYD!AA5</f>
        <v/>
      </c>
      <c r="L3" s="95">
        <f>HYD!AB5</f>
        <v/>
      </c>
      <c r="M3" s="95">
        <f>HYD!AC5</f>
        <v/>
      </c>
      <c r="N3" s="95">
        <f>HYD!AD5</f>
        <v/>
      </c>
      <c r="O3" s="95">
        <f>HYD!AE5</f>
        <v/>
      </c>
      <c r="P3" s="95">
        <f>HYD!AF5</f>
        <v/>
      </c>
      <c r="Q3" s="95">
        <f>HYD!AG5</f>
        <v/>
      </c>
      <c r="R3" s="95">
        <f>HYD!AH5</f>
        <v/>
      </c>
      <c r="S3" s="95">
        <f>HYD!AI5</f>
        <v/>
      </c>
      <c r="T3" s="95">
        <f>HYD!AJ5</f>
        <v/>
      </c>
      <c r="U3" s="95">
        <f>HYD!AK5</f>
        <v/>
      </c>
      <c r="V3" s="95">
        <f>HYD!AL5</f>
        <v/>
      </c>
      <c r="W3" s="1">
        <f>GSD!Q5</f>
        <v/>
      </c>
      <c r="X3" s="1">
        <f>GSD!R5</f>
        <v/>
      </c>
      <c r="Y3" s="1">
        <f>GSD!S5</f>
        <v/>
      </c>
      <c r="Z3" s="1">
        <f>GSD!T5</f>
        <v/>
      </c>
      <c r="AA3" s="1">
        <f>GSD!U5</f>
        <v/>
      </c>
      <c r="AB3" s="38">
        <f>GSD!V5</f>
        <v/>
      </c>
      <c r="AC3" s="38">
        <f>HYD!AM5</f>
        <v/>
      </c>
      <c r="AD3" s="1">
        <f>HYD!AN5</f>
        <v/>
      </c>
      <c r="AE3" s="1">
        <f>HYD!AO5</f>
        <v/>
      </c>
      <c r="AF3" s="1">
        <f>HYD!AP5</f>
        <v/>
      </c>
      <c r="AG3" s="1">
        <f>HYD!AQ5</f>
        <v/>
      </c>
      <c r="AH3" s="1">
        <f>HYD!AR5</f>
        <v/>
      </c>
      <c r="AI3" s="1">
        <f>HYD!AS5</f>
        <v/>
      </c>
      <c r="AJ3" s="1">
        <f>HYD!AT5</f>
        <v/>
      </c>
      <c r="AK3" s="1">
        <f>HYD!AU5</f>
        <v/>
      </c>
      <c r="AL3" s="1">
        <f>HYD!AV5</f>
        <v/>
      </c>
      <c r="AM3" s="1">
        <f>HYD!AW5</f>
        <v/>
      </c>
      <c r="AN3" s="1">
        <f>HYD!AX5</f>
        <v/>
      </c>
      <c r="AO3" s="1">
        <f>HYD!AY5</f>
        <v/>
      </c>
      <c r="AP3" s="1" t="n"/>
      <c r="AQ3" s="1" t="n"/>
      <c r="AR3" s="1" t="n"/>
      <c r="AS3" s="1" t="n"/>
    </row>
    <row r="4">
      <c r="A4" s="18" t="n">
        <v>2</v>
      </c>
      <c r="B4" s="18">
        <f>B3</f>
        <v/>
      </c>
      <c r="C4" s="26">
        <f>GSD!F6</f>
        <v/>
      </c>
      <c r="D4" s="94" t="n">
        <v>4.75</v>
      </c>
      <c r="E4" s="94" t="n">
        <v>2</v>
      </c>
      <c r="F4" s="94" t="n">
        <v>0.425</v>
      </c>
      <c r="G4" s="94" t="n">
        <v>0.212</v>
      </c>
      <c r="H4" s="94" t="n">
        <v>0.15</v>
      </c>
      <c r="I4" s="94" t="n">
        <v>0.075</v>
      </c>
      <c r="J4" s="95">
        <f>HYD!Z6</f>
        <v/>
      </c>
      <c r="K4" s="95">
        <f>HYD!AA6</f>
        <v/>
      </c>
      <c r="L4" s="95">
        <f>HYD!AB6</f>
        <v/>
      </c>
      <c r="M4" s="95">
        <f>HYD!AC6</f>
        <v/>
      </c>
      <c r="N4" s="95">
        <f>HYD!AD6</f>
        <v/>
      </c>
      <c r="O4" s="95">
        <f>HYD!AE6</f>
        <v/>
      </c>
      <c r="P4" s="95">
        <f>HYD!AF6</f>
        <v/>
      </c>
      <c r="Q4" s="95">
        <f>HYD!AG6</f>
        <v/>
      </c>
      <c r="R4" s="95">
        <f>HYD!AH6</f>
        <v/>
      </c>
      <c r="S4" s="95">
        <f>HYD!AI6</f>
        <v/>
      </c>
      <c r="T4" s="95">
        <f>HYD!AJ6</f>
        <v/>
      </c>
      <c r="U4" s="95">
        <f>HYD!AK6</f>
        <v/>
      </c>
      <c r="V4" s="95">
        <f>HYD!AL6</f>
        <v/>
      </c>
      <c r="W4" s="1">
        <f>GSD!Q6</f>
        <v/>
      </c>
      <c r="X4" s="1">
        <f>GSD!R6</f>
        <v/>
      </c>
      <c r="Y4" s="1">
        <f>GSD!S6</f>
        <v/>
      </c>
      <c r="Z4" s="1">
        <f>GSD!T6</f>
        <v/>
      </c>
      <c r="AA4" s="1">
        <f>GSD!U6</f>
        <v/>
      </c>
      <c r="AB4" s="38">
        <f>GSD!V6</f>
        <v/>
      </c>
      <c r="AC4" s="38">
        <f>HYD!AM6</f>
        <v/>
      </c>
      <c r="AD4" s="1">
        <f>HYD!AN6</f>
        <v/>
      </c>
      <c r="AE4" s="1">
        <f>HYD!AO6</f>
        <v/>
      </c>
      <c r="AF4" s="1">
        <f>HYD!AP6</f>
        <v/>
      </c>
      <c r="AG4" s="1">
        <f>HYD!AQ6</f>
        <v/>
      </c>
      <c r="AH4" s="1">
        <f>HYD!AR6</f>
        <v/>
      </c>
      <c r="AI4" s="1">
        <f>HYD!AS6</f>
        <v/>
      </c>
      <c r="AJ4" s="1">
        <f>HYD!AT6</f>
        <v/>
      </c>
      <c r="AK4" s="1">
        <f>HYD!AU6</f>
        <v/>
      </c>
      <c r="AL4" s="1">
        <f>HYD!AV6</f>
        <v/>
      </c>
      <c r="AM4" s="1">
        <f>HYD!AW6</f>
        <v/>
      </c>
      <c r="AN4" s="1">
        <f>HYD!AX6</f>
        <v/>
      </c>
      <c r="AO4" s="1">
        <f>HYD!AY6</f>
        <v/>
      </c>
      <c r="AP4" s="1" t="n"/>
      <c r="AQ4" s="1" t="n"/>
      <c r="AR4" s="1" t="n"/>
      <c r="AS4" s="1" t="n"/>
    </row>
    <row r="5">
      <c r="A5" s="18" t="n">
        <v>3</v>
      </c>
      <c r="B5" s="18">
        <f>B4</f>
        <v/>
      </c>
      <c r="C5" s="26">
        <f>GSD!F7</f>
        <v/>
      </c>
      <c r="D5" s="94" t="n">
        <v>4.75</v>
      </c>
      <c r="E5" s="94" t="n">
        <v>2</v>
      </c>
      <c r="F5" s="94" t="n">
        <v>0.425</v>
      </c>
      <c r="G5" s="94" t="n">
        <v>0.212</v>
      </c>
      <c r="H5" s="94" t="n">
        <v>0.15</v>
      </c>
      <c r="I5" s="94" t="n">
        <v>0.075</v>
      </c>
      <c r="J5" s="95">
        <f>HYD!Z7</f>
        <v/>
      </c>
      <c r="K5" s="95">
        <f>HYD!AA7</f>
        <v/>
      </c>
      <c r="L5" s="95">
        <f>HYD!AB7</f>
        <v/>
      </c>
      <c r="M5" s="95">
        <f>HYD!AC7</f>
        <v/>
      </c>
      <c r="N5" s="95">
        <f>HYD!AD7</f>
        <v/>
      </c>
      <c r="O5" s="95">
        <f>HYD!AE7</f>
        <v/>
      </c>
      <c r="P5" s="95">
        <f>HYD!AF7</f>
        <v/>
      </c>
      <c r="Q5" s="95">
        <f>HYD!AG7</f>
        <v/>
      </c>
      <c r="R5" s="95">
        <f>HYD!AH7</f>
        <v/>
      </c>
      <c r="S5" s="95">
        <f>HYD!AI7</f>
        <v/>
      </c>
      <c r="T5" s="95">
        <f>HYD!AJ7</f>
        <v/>
      </c>
      <c r="U5" s="95">
        <f>HYD!AK7</f>
        <v/>
      </c>
      <c r="V5" s="95">
        <f>HYD!AL7</f>
        <v/>
      </c>
      <c r="W5" s="1">
        <f>GSD!Q7</f>
        <v/>
      </c>
      <c r="X5" s="1">
        <f>GSD!R7</f>
        <v/>
      </c>
      <c r="Y5" s="1">
        <f>GSD!S7</f>
        <v/>
      </c>
      <c r="Z5" s="1">
        <f>GSD!T7</f>
        <v/>
      </c>
      <c r="AA5" s="1">
        <f>GSD!U7</f>
        <v/>
      </c>
      <c r="AB5" s="38">
        <f>GSD!V7</f>
        <v/>
      </c>
      <c r="AC5" s="38">
        <f>HYD!AM7</f>
        <v/>
      </c>
      <c r="AD5" s="1">
        <f>HYD!AN7</f>
        <v/>
      </c>
      <c r="AE5" s="1">
        <f>HYD!AO7</f>
        <v/>
      </c>
      <c r="AF5" s="1">
        <f>HYD!AP7</f>
        <v/>
      </c>
      <c r="AG5" s="1">
        <f>HYD!AQ7</f>
        <v/>
      </c>
      <c r="AH5" s="1">
        <f>HYD!AR7</f>
        <v/>
      </c>
      <c r="AI5" s="1">
        <f>HYD!AS7</f>
        <v/>
      </c>
      <c r="AJ5" s="1">
        <f>HYD!AT7</f>
        <v/>
      </c>
      <c r="AK5" s="1">
        <f>HYD!AU7</f>
        <v/>
      </c>
      <c r="AL5" s="1">
        <f>HYD!AV7</f>
        <v/>
      </c>
      <c r="AM5" s="1">
        <f>HYD!AW7</f>
        <v/>
      </c>
      <c r="AN5" s="1">
        <f>HYD!AX7</f>
        <v/>
      </c>
      <c r="AO5" s="1">
        <f>HYD!AY7</f>
        <v/>
      </c>
      <c r="AP5" s="1" t="n"/>
      <c r="AQ5" s="1" t="n"/>
      <c r="AR5" s="1" t="n"/>
      <c r="AS5" s="1" t="n"/>
    </row>
    <row r="6">
      <c r="A6" s="18" t="n">
        <v>4</v>
      </c>
      <c r="B6" s="18">
        <f>B5</f>
        <v/>
      </c>
      <c r="C6" s="26">
        <f>GSD!F8</f>
        <v/>
      </c>
      <c r="D6" s="94" t="n">
        <v>4.75</v>
      </c>
      <c r="E6" s="94" t="n">
        <v>2</v>
      </c>
      <c r="F6" s="94" t="n">
        <v>0.425</v>
      </c>
      <c r="G6" s="94" t="n">
        <v>0.212</v>
      </c>
      <c r="H6" s="94" t="n">
        <v>0.15</v>
      </c>
      <c r="I6" s="94" t="n">
        <v>0.075</v>
      </c>
      <c r="J6" s="95">
        <f>HYD!Z8</f>
        <v/>
      </c>
      <c r="K6" s="95">
        <f>HYD!AA8</f>
        <v/>
      </c>
      <c r="L6" s="95">
        <f>HYD!AB8</f>
        <v/>
      </c>
      <c r="M6" s="95">
        <f>HYD!AC8</f>
        <v/>
      </c>
      <c r="N6" s="95">
        <f>HYD!AD8</f>
        <v/>
      </c>
      <c r="O6" s="95">
        <f>HYD!AE8</f>
        <v/>
      </c>
      <c r="P6" s="95">
        <f>HYD!AF8</f>
        <v/>
      </c>
      <c r="Q6" s="95">
        <f>HYD!AG8</f>
        <v/>
      </c>
      <c r="R6" s="95">
        <f>HYD!AH8</f>
        <v/>
      </c>
      <c r="S6" s="95">
        <f>HYD!AI8</f>
        <v/>
      </c>
      <c r="T6" s="95">
        <f>HYD!AJ8</f>
        <v/>
      </c>
      <c r="U6" s="95">
        <f>HYD!AK8</f>
        <v/>
      </c>
      <c r="V6" s="95">
        <f>HYD!AL8</f>
        <v/>
      </c>
      <c r="W6" s="1">
        <f>GSD!Q8</f>
        <v/>
      </c>
      <c r="X6" s="1">
        <f>GSD!R8</f>
        <v/>
      </c>
      <c r="Y6" s="1">
        <f>GSD!S8</f>
        <v/>
      </c>
      <c r="Z6" s="1">
        <f>GSD!T8</f>
        <v/>
      </c>
      <c r="AA6" s="1">
        <f>GSD!U8</f>
        <v/>
      </c>
      <c r="AB6" s="38">
        <f>GSD!V8</f>
        <v/>
      </c>
      <c r="AC6" s="38">
        <f>HYD!AM8</f>
        <v/>
      </c>
      <c r="AD6" s="1">
        <f>HYD!AN8</f>
        <v/>
      </c>
      <c r="AE6" s="1">
        <f>HYD!AO8</f>
        <v/>
      </c>
      <c r="AF6" s="1">
        <f>HYD!AP8</f>
        <v/>
      </c>
      <c r="AG6" s="1">
        <f>HYD!AQ8</f>
        <v/>
      </c>
      <c r="AH6" s="1">
        <f>HYD!AR8</f>
        <v/>
      </c>
      <c r="AI6" s="1">
        <f>HYD!AS8</f>
        <v/>
      </c>
      <c r="AJ6" s="1">
        <f>HYD!AT8</f>
        <v/>
      </c>
      <c r="AK6" s="1">
        <f>HYD!AU8</f>
        <v/>
      </c>
      <c r="AL6" s="1">
        <f>HYD!AV8</f>
        <v/>
      </c>
      <c r="AM6" s="1">
        <f>HYD!AW8</f>
        <v/>
      </c>
      <c r="AN6" s="1">
        <f>HYD!AX8</f>
        <v/>
      </c>
      <c r="AO6" s="1">
        <f>HYD!AY8</f>
        <v/>
      </c>
      <c r="AP6" s="1" t="n"/>
      <c r="AQ6" s="1" t="n"/>
      <c r="AR6" s="1" t="n"/>
      <c r="AS6" s="1" t="n"/>
    </row>
    <row r="7">
      <c r="A7" s="18" t="n">
        <v>5</v>
      </c>
      <c r="B7" s="18">
        <f>B6</f>
        <v/>
      </c>
      <c r="C7" s="26">
        <f>GSD!F9</f>
        <v/>
      </c>
      <c r="D7" s="94" t="n">
        <v>4.75</v>
      </c>
      <c r="E7" s="94" t="n">
        <v>2</v>
      </c>
      <c r="F7" s="94" t="n">
        <v>0.425</v>
      </c>
      <c r="G7" s="94" t="n">
        <v>0.212</v>
      </c>
      <c r="H7" s="94" t="n">
        <v>0.15</v>
      </c>
      <c r="I7" s="94" t="n">
        <v>0.075</v>
      </c>
      <c r="J7" s="95">
        <f>HYD!Z9</f>
        <v/>
      </c>
      <c r="K7" s="95">
        <f>HYD!AA9</f>
        <v/>
      </c>
      <c r="L7" s="95">
        <f>HYD!AB9</f>
        <v/>
      </c>
      <c r="M7" s="95">
        <f>HYD!AC9</f>
        <v/>
      </c>
      <c r="N7" s="95">
        <f>HYD!AD9</f>
        <v/>
      </c>
      <c r="O7" s="95">
        <f>HYD!AE9</f>
        <v/>
      </c>
      <c r="P7" s="95">
        <f>HYD!AF9</f>
        <v/>
      </c>
      <c r="Q7" s="95">
        <f>HYD!AG9</f>
        <v/>
      </c>
      <c r="R7" s="95">
        <f>HYD!AH9</f>
        <v/>
      </c>
      <c r="S7" s="95">
        <f>HYD!AI9</f>
        <v/>
      </c>
      <c r="T7" s="95">
        <f>HYD!AJ9</f>
        <v/>
      </c>
      <c r="U7" s="95">
        <f>HYD!AK9</f>
        <v/>
      </c>
      <c r="V7" s="95">
        <f>HYD!AL9</f>
        <v/>
      </c>
      <c r="W7" s="1">
        <f>GSD!Q9</f>
        <v/>
      </c>
      <c r="X7" s="1">
        <f>GSD!R9</f>
        <v/>
      </c>
      <c r="Y7" s="1">
        <f>GSD!S9</f>
        <v/>
      </c>
      <c r="Z7" s="1">
        <f>GSD!T9</f>
        <v/>
      </c>
      <c r="AA7" s="1">
        <f>GSD!U9</f>
        <v/>
      </c>
      <c r="AB7" s="38">
        <f>GSD!V9</f>
        <v/>
      </c>
      <c r="AC7" s="38">
        <f>HYD!AM9</f>
        <v/>
      </c>
      <c r="AD7" s="1">
        <f>HYD!AN9</f>
        <v/>
      </c>
      <c r="AE7" s="1">
        <f>HYD!AO9</f>
        <v/>
      </c>
      <c r="AF7" s="1">
        <f>HYD!AP9</f>
        <v/>
      </c>
      <c r="AG7" s="1">
        <f>HYD!AQ9</f>
        <v/>
      </c>
      <c r="AH7" s="1">
        <f>HYD!AR9</f>
        <v/>
      </c>
      <c r="AI7" s="1">
        <f>HYD!AS9</f>
        <v/>
      </c>
      <c r="AJ7" s="1">
        <f>HYD!AT9</f>
        <v/>
      </c>
      <c r="AK7" s="1">
        <f>HYD!AU9</f>
        <v/>
      </c>
      <c r="AL7" s="1">
        <f>HYD!AV9</f>
        <v/>
      </c>
      <c r="AM7" s="1">
        <f>HYD!AW9</f>
        <v/>
      </c>
      <c r="AN7" s="1">
        <f>HYD!AX9</f>
        <v/>
      </c>
      <c r="AO7" s="1">
        <f>HYD!AY9</f>
        <v/>
      </c>
      <c r="AP7" s="1" t="n"/>
      <c r="AQ7" s="1" t="n"/>
      <c r="AR7" s="1" t="n"/>
      <c r="AS7" s="1" t="n"/>
    </row>
    <row r="8">
      <c r="A8" s="18" t="n">
        <v>6</v>
      </c>
      <c r="B8" s="18">
        <f>B7</f>
        <v/>
      </c>
      <c r="C8" s="26">
        <f>GSD!#REF!</f>
        <v/>
      </c>
      <c r="D8" s="94" t="n">
        <v>4.75</v>
      </c>
      <c r="E8" s="94" t="n">
        <v>2</v>
      </c>
      <c r="F8" s="94" t="n">
        <v>0.425</v>
      </c>
      <c r="G8" s="94" t="n">
        <v>0.212</v>
      </c>
      <c r="H8" s="94" t="n">
        <v>0.15</v>
      </c>
      <c r="I8" s="94" t="n">
        <v>0.075</v>
      </c>
      <c r="J8" s="95">
        <f>HYD!#REF!</f>
        <v/>
      </c>
      <c r="K8" s="95">
        <f>HYD!#REF!</f>
        <v/>
      </c>
      <c r="L8" s="95">
        <f>HYD!#REF!</f>
        <v/>
      </c>
      <c r="M8" s="95">
        <f>HYD!#REF!</f>
        <v/>
      </c>
      <c r="N8" s="95">
        <f>HYD!#REF!</f>
        <v/>
      </c>
      <c r="O8" s="95">
        <f>HYD!#REF!</f>
        <v/>
      </c>
      <c r="P8" s="95">
        <f>HYD!#REF!</f>
        <v/>
      </c>
      <c r="Q8" s="95">
        <f>HYD!#REF!</f>
        <v/>
      </c>
      <c r="R8" s="95">
        <f>HYD!#REF!</f>
        <v/>
      </c>
      <c r="S8" s="95">
        <f>HYD!#REF!</f>
        <v/>
      </c>
      <c r="T8" s="95">
        <f>HYD!#REF!</f>
        <v/>
      </c>
      <c r="U8" s="95">
        <f>HYD!#REF!</f>
        <v/>
      </c>
      <c r="V8" s="95">
        <f>HYD!#REF!</f>
        <v/>
      </c>
      <c r="W8" s="1">
        <f>GSD!#REF!</f>
        <v/>
      </c>
      <c r="X8" s="1">
        <f>GSD!#REF!</f>
        <v/>
      </c>
      <c r="Y8" s="1">
        <f>GSD!#REF!</f>
        <v/>
      </c>
      <c r="Z8" s="1">
        <f>GSD!#REF!</f>
        <v/>
      </c>
      <c r="AA8" s="1">
        <f>GSD!#REF!</f>
        <v/>
      </c>
      <c r="AB8" s="38">
        <f>GSD!#REF!</f>
        <v/>
      </c>
      <c r="AC8" s="38">
        <f>HYD!#REF!</f>
        <v/>
      </c>
      <c r="AD8" s="1">
        <f>HYD!#REF!</f>
        <v/>
      </c>
      <c r="AE8" s="1">
        <f>HYD!#REF!</f>
        <v/>
      </c>
      <c r="AF8" s="1">
        <f>HYD!#REF!</f>
        <v/>
      </c>
      <c r="AG8" s="1">
        <f>HYD!#REF!</f>
        <v/>
      </c>
      <c r="AH8" s="1">
        <f>HYD!#REF!</f>
        <v/>
      </c>
      <c r="AI8" s="1">
        <f>HYD!#REF!</f>
        <v/>
      </c>
      <c r="AJ8" s="1">
        <f>HYD!#REF!</f>
        <v/>
      </c>
      <c r="AK8" s="1">
        <f>HYD!#REF!</f>
        <v/>
      </c>
      <c r="AL8" s="1">
        <f>HYD!#REF!</f>
        <v/>
      </c>
      <c r="AM8" s="1">
        <f>HYD!#REF!</f>
        <v/>
      </c>
      <c r="AN8" s="1">
        <f>HYD!#REF!</f>
        <v/>
      </c>
      <c r="AO8" s="1">
        <f>HYD!#REF!</f>
        <v/>
      </c>
      <c r="AP8" s="1" t="n"/>
      <c r="AQ8" s="1" t="n"/>
      <c r="AR8" s="1" t="n"/>
      <c r="AS8" s="1" t="n"/>
    </row>
    <row r="9">
      <c r="A9" s="18" t="n">
        <v>7</v>
      </c>
      <c r="B9" s="18">
        <f>B8</f>
        <v/>
      </c>
      <c r="C9" s="26">
        <f>GSD!#REF!</f>
        <v/>
      </c>
      <c r="D9" s="94" t="n">
        <v>4.75</v>
      </c>
      <c r="E9" s="94" t="n">
        <v>2</v>
      </c>
      <c r="F9" s="94" t="n">
        <v>0.425</v>
      </c>
      <c r="G9" s="94" t="n">
        <v>0.212</v>
      </c>
      <c r="H9" s="94" t="n">
        <v>0.15</v>
      </c>
      <c r="I9" s="94" t="n">
        <v>0.075</v>
      </c>
      <c r="J9" s="95">
        <f>HYD!#REF!</f>
        <v/>
      </c>
      <c r="K9" s="95">
        <f>HYD!#REF!</f>
        <v/>
      </c>
      <c r="L9" s="95">
        <f>HYD!#REF!</f>
        <v/>
      </c>
      <c r="M9" s="95">
        <f>HYD!#REF!</f>
        <v/>
      </c>
      <c r="N9" s="95">
        <f>HYD!#REF!</f>
        <v/>
      </c>
      <c r="O9" s="95">
        <f>HYD!#REF!</f>
        <v/>
      </c>
      <c r="P9" s="95">
        <f>HYD!#REF!</f>
        <v/>
      </c>
      <c r="Q9" s="95">
        <f>HYD!#REF!</f>
        <v/>
      </c>
      <c r="R9" s="95">
        <f>HYD!#REF!</f>
        <v/>
      </c>
      <c r="S9" s="95">
        <f>HYD!#REF!</f>
        <v/>
      </c>
      <c r="T9" s="95">
        <f>HYD!#REF!</f>
        <v/>
      </c>
      <c r="U9" s="95">
        <f>HYD!#REF!</f>
        <v/>
      </c>
      <c r="V9" s="95">
        <f>HYD!#REF!</f>
        <v/>
      </c>
      <c r="W9" s="1">
        <f>GSD!#REF!</f>
        <v/>
      </c>
      <c r="X9" s="1">
        <f>GSD!#REF!</f>
        <v/>
      </c>
      <c r="Y9" s="1">
        <f>GSD!#REF!</f>
        <v/>
      </c>
      <c r="Z9" s="1">
        <f>GSD!#REF!</f>
        <v/>
      </c>
      <c r="AA9" s="1">
        <f>GSD!#REF!</f>
        <v/>
      </c>
      <c r="AB9" s="38">
        <f>GSD!#REF!</f>
        <v/>
      </c>
      <c r="AC9" s="38">
        <f>HYD!#REF!</f>
        <v/>
      </c>
      <c r="AD9" s="1">
        <f>HYD!#REF!</f>
        <v/>
      </c>
      <c r="AE9" s="1">
        <f>HYD!#REF!</f>
        <v/>
      </c>
      <c r="AF9" s="1">
        <f>HYD!#REF!</f>
        <v/>
      </c>
      <c r="AG9" s="1">
        <f>HYD!#REF!</f>
        <v/>
      </c>
      <c r="AH9" s="1">
        <f>HYD!#REF!</f>
        <v/>
      </c>
      <c r="AI9" s="1">
        <f>HYD!#REF!</f>
        <v/>
      </c>
      <c r="AJ9" s="1">
        <f>HYD!#REF!</f>
        <v/>
      </c>
      <c r="AK9" s="1">
        <f>HYD!#REF!</f>
        <v/>
      </c>
      <c r="AL9" s="1">
        <f>HYD!#REF!</f>
        <v/>
      </c>
      <c r="AM9" s="1">
        <f>HYD!#REF!</f>
        <v/>
      </c>
      <c r="AN9" s="1">
        <f>HYD!#REF!</f>
        <v/>
      </c>
      <c r="AO9" s="1">
        <f>HYD!#REF!</f>
        <v/>
      </c>
      <c r="AP9" s="29" t="n"/>
      <c r="AQ9" s="29" t="n"/>
      <c r="AR9" s="29" t="n"/>
      <c r="AS9" s="29" t="n"/>
    </row>
    <row r="10">
      <c r="A10" s="18" t="n">
        <v>8</v>
      </c>
      <c r="B10" s="18">
        <f>B9</f>
        <v/>
      </c>
      <c r="C10" s="26">
        <f>GSD!#REF!</f>
        <v/>
      </c>
      <c r="D10" s="94" t="n">
        <v>4.75</v>
      </c>
      <c r="E10" s="94" t="n">
        <v>2</v>
      </c>
      <c r="F10" s="94" t="n">
        <v>0.425</v>
      </c>
      <c r="G10" s="94" t="n">
        <v>0.212</v>
      </c>
      <c r="H10" s="94" t="n">
        <v>0.15</v>
      </c>
      <c r="I10" s="94" t="n">
        <v>0.075</v>
      </c>
      <c r="J10" s="95">
        <f>HYD!#REF!</f>
        <v/>
      </c>
      <c r="K10" s="95">
        <f>HYD!#REF!</f>
        <v/>
      </c>
      <c r="L10" s="95">
        <f>HYD!#REF!</f>
        <v/>
      </c>
      <c r="M10" s="95">
        <f>HYD!#REF!</f>
        <v/>
      </c>
      <c r="N10" s="95">
        <f>HYD!#REF!</f>
        <v/>
      </c>
      <c r="O10" s="95">
        <f>HYD!#REF!</f>
        <v/>
      </c>
      <c r="P10" s="95">
        <f>HYD!#REF!</f>
        <v/>
      </c>
      <c r="Q10" s="95">
        <f>HYD!#REF!</f>
        <v/>
      </c>
      <c r="R10" s="95">
        <f>HYD!#REF!</f>
        <v/>
      </c>
      <c r="S10" s="95">
        <f>HYD!#REF!</f>
        <v/>
      </c>
      <c r="T10" s="95">
        <f>HYD!#REF!</f>
        <v/>
      </c>
      <c r="U10" s="95">
        <f>HYD!#REF!</f>
        <v/>
      </c>
      <c r="V10" s="95">
        <f>HYD!#REF!</f>
        <v/>
      </c>
      <c r="W10" s="1">
        <f>GSD!#REF!</f>
        <v/>
      </c>
      <c r="X10" s="1">
        <f>GSD!#REF!</f>
        <v/>
      </c>
      <c r="Y10" s="1">
        <f>GSD!#REF!</f>
        <v/>
      </c>
      <c r="Z10" s="1">
        <f>GSD!#REF!</f>
        <v/>
      </c>
      <c r="AA10" s="1">
        <f>GSD!#REF!</f>
        <v/>
      </c>
      <c r="AB10" s="38">
        <f>GSD!#REF!</f>
        <v/>
      </c>
      <c r="AC10" s="38">
        <f>HYD!#REF!</f>
        <v/>
      </c>
      <c r="AD10" s="1">
        <f>HYD!#REF!</f>
        <v/>
      </c>
      <c r="AE10" s="1">
        <f>HYD!#REF!</f>
        <v/>
      </c>
      <c r="AF10" s="1">
        <f>HYD!#REF!</f>
        <v/>
      </c>
      <c r="AG10" s="1">
        <f>HYD!#REF!</f>
        <v/>
      </c>
      <c r="AH10" s="1">
        <f>HYD!#REF!</f>
        <v/>
      </c>
      <c r="AI10" s="1">
        <f>HYD!#REF!</f>
        <v/>
      </c>
      <c r="AJ10" s="1">
        <f>HYD!#REF!</f>
        <v/>
      </c>
      <c r="AK10" s="1">
        <f>HYD!#REF!</f>
        <v/>
      </c>
      <c r="AL10" s="1">
        <f>HYD!#REF!</f>
        <v/>
      </c>
      <c r="AM10" s="1">
        <f>HYD!#REF!</f>
        <v/>
      </c>
      <c r="AN10" s="1">
        <f>HYD!#REF!</f>
        <v/>
      </c>
      <c r="AO10" s="1">
        <f>HYD!#REF!</f>
        <v/>
      </c>
      <c r="AP10" s="29" t="n"/>
      <c r="AQ10" s="29" t="n"/>
      <c r="AR10" s="29" t="n"/>
      <c r="AS10" s="29" t="n"/>
    </row>
    <row r="11">
      <c r="A11" s="18" t="n">
        <v>9</v>
      </c>
      <c r="B11" s="18">
        <f>B10</f>
        <v/>
      </c>
      <c r="C11" s="26">
        <f>GSD!#REF!</f>
        <v/>
      </c>
      <c r="D11" s="94" t="n">
        <v>4.75</v>
      </c>
      <c r="E11" s="94" t="n">
        <v>2</v>
      </c>
      <c r="F11" s="94" t="n">
        <v>0.425</v>
      </c>
      <c r="G11" s="94" t="n">
        <v>0.212</v>
      </c>
      <c r="H11" s="94" t="n">
        <v>0.15</v>
      </c>
      <c r="I11" s="94" t="n">
        <v>0.075</v>
      </c>
      <c r="J11" s="95">
        <f>HYD!#REF!</f>
        <v/>
      </c>
      <c r="K11" s="95">
        <f>HYD!#REF!</f>
        <v/>
      </c>
      <c r="L11" s="95">
        <f>HYD!#REF!</f>
        <v/>
      </c>
      <c r="M11" s="95">
        <f>HYD!#REF!</f>
        <v/>
      </c>
      <c r="N11" s="95">
        <f>HYD!#REF!</f>
        <v/>
      </c>
      <c r="O11" s="95">
        <f>HYD!#REF!</f>
        <v/>
      </c>
      <c r="P11" s="95">
        <f>HYD!#REF!</f>
        <v/>
      </c>
      <c r="Q11" s="95">
        <f>HYD!#REF!</f>
        <v/>
      </c>
      <c r="R11" s="95">
        <f>HYD!#REF!</f>
        <v/>
      </c>
      <c r="S11" s="95">
        <f>HYD!#REF!</f>
        <v/>
      </c>
      <c r="T11" s="95">
        <f>HYD!#REF!</f>
        <v/>
      </c>
      <c r="U11" s="95">
        <f>HYD!#REF!</f>
        <v/>
      </c>
      <c r="V11" s="95">
        <f>HYD!#REF!</f>
        <v/>
      </c>
      <c r="W11" s="1">
        <f>GSD!#REF!</f>
        <v/>
      </c>
      <c r="X11" s="1">
        <f>GSD!#REF!</f>
        <v/>
      </c>
      <c r="Y11" s="1">
        <f>GSD!#REF!</f>
        <v/>
      </c>
      <c r="Z11" s="1">
        <f>GSD!#REF!</f>
        <v/>
      </c>
      <c r="AA11" s="1">
        <f>GSD!#REF!</f>
        <v/>
      </c>
      <c r="AB11" s="38">
        <f>GSD!#REF!</f>
        <v/>
      </c>
      <c r="AC11" s="38">
        <f>HYD!#REF!</f>
        <v/>
      </c>
      <c r="AD11" s="1">
        <f>HYD!#REF!</f>
        <v/>
      </c>
      <c r="AE11" s="1">
        <f>HYD!#REF!</f>
        <v/>
      </c>
      <c r="AF11" s="1">
        <f>HYD!#REF!</f>
        <v/>
      </c>
      <c r="AG11" s="1">
        <f>HYD!#REF!</f>
        <v/>
      </c>
      <c r="AH11" s="1">
        <f>HYD!#REF!</f>
        <v/>
      </c>
      <c r="AI11" s="1">
        <f>HYD!#REF!</f>
        <v/>
      </c>
      <c r="AJ11" s="1">
        <f>HYD!#REF!</f>
        <v/>
      </c>
      <c r="AK11" s="1">
        <f>HYD!#REF!</f>
        <v/>
      </c>
      <c r="AL11" s="1">
        <f>HYD!#REF!</f>
        <v/>
      </c>
      <c r="AM11" s="1">
        <f>HYD!#REF!</f>
        <v/>
      </c>
      <c r="AN11" s="1">
        <f>HYD!#REF!</f>
        <v/>
      </c>
      <c r="AO11" s="1">
        <f>HYD!#REF!</f>
        <v/>
      </c>
      <c r="AP11" s="29" t="n"/>
      <c r="AQ11" s="29" t="n"/>
      <c r="AR11" s="29" t="n"/>
      <c r="AS11" s="29" t="n"/>
    </row>
    <row r="12">
      <c r="A12" s="18" t="n">
        <v>10</v>
      </c>
      <c r="B12" s="18">
        <f>B11</f>
        <v/>
      </c>
      <c r="C12" s="26">
        <f>GSD!#REF!</f>
        <v/>
      </c>
      <c r="D12" s="94" t="n">
        <v>4.75</v>
      </c>
      <c r="E12" s="94" t="n">
        <v>2</v>
      </c>
      <c r="F12" s="94" t="n">
        <v>0.425</v>
      </c>
      <c r="G12" s="94" t="n">
        <v>0.212</v>
      </c>
      <c r="H12" s="94" t="n">
        <v>0.15</v>
      </c>
      <c r="I12" s="94" t="n">
        <v>0.075</v>
      </c>
      <c r="J12" s="95">
        <f>HYD!#REF!</f>
        <v/>
      </c>
      <c r="K12" s="95">
        <f>HYD!#REF!</f>
        <v/>
      </c>
      <c r="L12" s="95">
        <f>HYD!#REF!</f>
        <v/>
      </c>
      <c r="M12" s="95">
        <f>HYD!#REF!</f>
        <v/>
      </c>
      <c r="N12" s="95">
        <f>HYD!#REF!</f>
        <v/>
      </c>
      <c r="O12" s="95">
        <f>HYD!#REF!</f>
        <v/>
      </c>
      <c r="P12" s="95">
        <f>HYD!#REF!</f>
        <v/>
      </c>
      <c r="Q12" s="95">
        <f>HYD!#REF!</f>
        <v/>
      </c>
      <c r="R12" s="95">
        <f>HYD!#REF!</f>
        <v/>
      </c>
      <c r="S12" s="95">
        <f>HYD!#REF!</f>
        <v/>
      </c>
      <c r="T12" s="95">
        <f>HYD!#REF!</f>
        <v/>
      </c>
      <c r="U12" s="95">
        <f>HYD!#REF!</f>
        <v/>
      </c>
      <c r="V12" s="95">
        <f>HYD!#REF!</f>
        <v/>
      </c>
      <c r="W12" s="1">
        <f>GSD!#REF!</f>
        <v/>
      </c>
      <c r="X12" s="1">
        <f>GSD!#REF!</f>
        <v/>
      </c>
      <c r="Y12" s="1">
        <f>GSD!#REF!</f>
        <v/>
      </c>
      <c r="Z12" s="1">
        <f>GSD!#REF!</f>
        <v/>
      </c>
      <c r="AA12" s="1">
        <f>GSD!#REF!</f>
        <v/>
      </c>
      <c r="AB12" s="38">
        <f>GSD!#REF!</f>
        <v/>
      </c>
      <c r="AC12" s="38">
        <f>HYD!#REF!</f>
        <v/>
      </c>
      <c r="AD12" s="1">
        <f>HYD!#REF!</f>
        <v/>
      </c>
      <c r="AE12" s="1">
        <f>HYD!#REF!</f>
        <v/>
      </c>
      <c r="AF12" s="1">
        <f>HYD!#REF!</f>
        <v/>
      </c>
      <c r="AG12" s="1">
        <f>HYD!#REF!</f>
        <v/>
      </c>
      <c r="AH12" s="1">
        <f>HYD!#REF!</f>
        <v/>
      </c>
      <c r="AI12" s="1">
        <f>HYD!#REF!</f>
        <v/>
      </c>
      <c r="AJ12" s="1">
        <f>HYD!#REF!</f>
        <v/>
      </c>
      <c r="AK12" s="1">
        <f>HYD!#REF!</f>
        <v/>
      </c>
      <c r="AL12" s="1">
        <f>HYD!#REF!</f>
        <v/>
      </c>
      <c r="AM12" s="1">
        <f>HYD!#REF!</f>
        <v/>
      </c>
      <c r="AN12" s="1">
        <f>HYD!#REF!</f>
        <v/>
      </c>
      <c r="AO12" s="1">
        <f>HYD!#REF!</f>
        <v/>
      </c>
      <c r="AP12" s="29" t="n"/>
      <c r="AQ12" s="29" t="n"/>
      <c r="AR12" s="29" t="n"/>
      <c r="AS12" s="29" t="n"/>
    </row>
    <row r="13">
      <c r="A13" s="18" t="n">
        <v>11</v>
      </c>
      <c r="B13" s="18">
        <f>B12</f>
        <v/>
      </c>
      <c r="C13" s="26">
        <f>GSD!#REF!</f>
        <v/>
      </c>
      <c r="D13" s="94" t="n">
        <v>4.75</v>
      </c>
      <c r="E13" s="94" t="n">
        <v>2</v>
      </c>
      <c r="F13" s="94" t="n">
        <v>0.425</v>
      </c>
      <c r="G13" s="94" t="n">
        <v>0.212</v>
      </c>
      <c r="H13" s="94" t="n">
        <v>0.15</v>
      </c>
      <c r="I13" s="94" t="n">
        <v>0.075</v>
      </c>
      <c r="J13" s="95">
        <f>HYD!#REF!</f>
        <v/>
      </c>
      <c r="K13" s="95">
        <f>HYD!#REF!</f>
        <v/>
      </c>
      <c r="L13" s="95">
        <f>HYD!#REF!</f>
        <v/>
      </c>
      <c r="M13" s="95">
        <f>HYD!#REF!</f>
        <v/>
      </c>
      <c r="N13" s="95">
        <f>HYD!#REF!</f>
        <v/>
      </c>
      <c r="O13" s="95">
        <f>HYD!#REF!</f>
        <v/>
      </c>
      <c r="P13" s="95">
        <f>HYD!#REF!</f>
        <v/>
      </c>
      <c r="Q13" s="95">
        <f>HYD!#REF!</f>
        <v/>
      </c>
      <c r="R13" s="95">
        <f>HYD!#REF!</f>
        <v/>
      </c>
      <c r="S13" s="95">
        <f>HYD!#REF!</f>
        <v/>
      </c>
      <c r="T13" s="95">
        <f>HYD!#REF!</f>
        <v/>
      </c>
      <c r="U13" s="95">
        <f>HYD!#REF!</f>
        <v/>
      </c>
      <c r="V13" s="95">
        <f>HYD!#REF!</f>
        <v/>
      </c>
      <c r="W13" s="1">
        <f>GSD!#REF!</f>
        <v/>
      </c>
      <c r="X13" s="1">
        <f>GSD!#REF!</f>
        <v/>
      </c>
      <c r="Y13" s="1">
        <f>GSD!#REF!</f>
        <v/>
      </c>
      <c r="Z13" s="1">
        <f>GSD!#REF!</f>
        <v/>
      </c>
      <c r="AA13" s="1">
        <f>GSD!#REF!</f>
        <v/>
      </c>
      <c r="AB13" s="38">
        <f>GSD!#REF!</f>
        <v/>
      </c>
      <c r="AC13" s="38">
        <f>HYD!#REF!</f>
        <v/>
      </c>
      <c r="AD13" s="1">
        <f>HYD!#REF!</f>
        <v/>
      </c>
      <c r="AE13" s="1">
        <f>HYD!#REF!</f>
        <v/>
      </c>
      <c r="AF13" s="1">
        <f>HYD!#REF!</f>
        <v/>
      </c>
      <c r="AG13" s="1">
        <f>HYD!#REF!</f>
        <v/>
      </c>
      <c r="AH13" s="1">
        <f>HYD!#REF!</f>
        <v/>
      </c>
      <c r="AI13" s="1">
        <f>HYD!#REF!</f>
        <v/>
      </c>
      <c r="AJ13" s="1">
        <f>HYD!#REF!</f>
        <v/>
      </c>
      <c r="AK13" s="1">
        <f>HYD!#REF!</f>
        <v/>
      </c>
      <c r="AL13" s="1">
        <f>HYD!#REF!</f>
        <v/>
      </c>
      <c r="AM13" s="1">
        <f>HYD!#REF!</f>
        <v/>
      </c>
      <c r="AN13" s="1">
        <f>HYD!#REF!</f>
        <v/>
      </c>
      <c r="AO13" s="1">
        <f>HYD!#REF!</f>
        <v/>
      </c>
      <c r="AP13" s="29" t="n"/>
      <c r="AQ13" s="29" t="n"/>
      <c r="AR13" s="29" t="n"/>
      <c r="AS13" s="29" t="n"/>
    </row>
    <row r="14">
      <c r="A14" s="18" t="n">
        <v>12</v>
      </c>
      <c r="B14" s="18">
        <f>B13</f>
        <v/>
      </c>
      <c r="C14" s="26">
        <f>GSD!#REF!</f>
        <v/>
      </c>
      <c r="D14" s="94" t="n">
        <v>4.75</v>
      </c>
      <c r="E14" s="94" t="n">
        <v>2</v>
      </c>
      <c r="F14" s="94" t="n">
        <v>0.425</v>
      </c>
      <c r="G14" s="94" t="n">
        <v>0.212</v>
      </c>
      <c r="H14" s="94" t="n">
        <v>0.15</v>
      </c>
      <c r="I14" s="94" t="n">
        <v>0.075</v>
      </c>
      <c r="J14" s="95">
        <f>HYD!#REF!</f>
        <v/>
      </c>
      <c r="K14" s="95">
        <f>HYD!#REF!</f>
        <v/>
      </c>
      <c r="L14" s="95">
        <f>HYD!#REF!</f>
        <v/>
      </c>
      <c r="M14" s="95">
        <f>HYD!#REF!</f>
        <v/>
      </c>
      <c r="N14" s="95">
        <f>HYD!#REF!</f>
        <v/>
      </c>
      <c r="O14" s="95">
        <f>HYD!#REF!</f>
        <v/>
      </c>
      <c r="P14" s="95">
        <f>HYD!#REF!</f>
        <v/>
      </c>
      <c r="Q14" s="95">
        <f>HYD!#REF!</f>
        <v/>
      </c>
      <c r="R14" s="95">
        <f>HYD!#REF!</f>
        <v/>
      </c>
      <c r="S14" s="95">
        <f>HYD!#REF!</f>
        <v/>
      </c>
      <c r="T14" s="95">
        <f>HYD!#REF!</f>
        <v/>
      </c>
      <c r="U14" s="95">
        <f>HYD!#REF!</f>
        <v/>
      </c>
      <c r="V14" s="95">
        <f>HYD!#REF!</f>
        <v/>
      </c>
      <c r="W14" s="1">
        <f>GSD!#REF!</f>
        <v/>
      </c>
      <c r="X14" s="1">
        <f>GSD!#REF!</f>
        <v/>
      </c>
      <c r="Y14" s="1">
        <f>GSD!#REF!</f>
        <v/>
      </c>
      <c r="Z14" s="1">
        <f>GSD!#REF!</f>
        <v/>
      </c>
      <c r="AA14" s="1">
        <f>GSD!#REF!</f>
        <v/>
      </c>
      <c r="AB14" s="38">
        <f>GSD!#REF!</f>
        <v/>
      </c>
      <c r="AC14" s="38">
        <f>HYD!#REF!</f>
        <v/>
      </c>
      <c r="AD14" s="1">
        <f>HYD!#REF!</f>
        <v/>
      </c>
      <c r="AE14" s="1">
        <f>HYD!#REF!</f>
        <v/>
      </c>
      <c r="AF14" s="1">
        <f>HYD!#REF!</f>
        <v/>
      </c>
      <c r="AG14" s="1">
        <f>HYD!#REF!</f>
        <v/>
      </c>
      <c r="AH14" s="1">
        <f>HYD!#REF!</f>
        <v/>
      </c>
      <c r="AI14" s="1">
        <f>HYD!#REF!</f>
        <v/>
      </c>
      <c r="AJ14" s="1">
        <f>HYD!#REF!</f>
        <v/>
      </c>
      <c r="AK14" s="1">
        <f>HYD!#REF!</f>
        <v/>
      </c>
      <c r="AL14" s="1">
        <f>HYD!#REF!</f>
        <v/>
      </c>
      <c r="AM14" s="1">
        <f>HYD!#REF!</f>
        <v/>
      </c>
      <c r="AN14" s="1">
        <f>HYD!#REF!</f>
        <v/>
      </c>
      <c r="AO14" s="1">
        <f>HYD!#REF!</f>
        <v/>
      </c>
      <c r="AP14" s="29" t="n"/>
      <c r="AQ14" s="29" t="n"/>
      <c r="AR14" s="29" t="n"/>
      <c r="AS14" s="29" t="n"/>
    </row>
    <row r="15">
      <c r="A15" s="18" t="n">
        <v>13</v>
      </c>
      <c r="B15" s="18">
        <f>B14</f>
        <v/>
      </c>
      <c r="C15" s="26">
        <f>GSD!#REF!</f>
        <v/>
      </c>
      <c r="D15" s="94" t="n">
        <v>4.75</v>
      </c>
      <c r="E15" s="94" t="n">
        <v>2</v>
      </c>
      <c r="F15" s="94" t="n">
        <v>0.425</v>
      </c>
      <c r="G15" s="94" t="n">
        <v>0.212</v>
      </c>
      <c r="H15" s="94" t="n">
        <v>0.15</v>
      </c>
      <c r="I15" s="94" t="n">
        <v>0.075</v>
      </c>
      <c r="J15" s="95">
        <f>HYD!#REF!</f>
        <v/>
      </c>
      <c r="K15" s="95">
        <f>HYD!#REF!</f>
        <v/>
      </c>
      <c r="L15" s="95">
        <f>HYD!#REF!</f>
        <v/>
      </c>
      <c r="M15" s="95">
        <f>HYD!#REF!</f>
        <v/>
      </c>
      <c r="N15" s="95">
        <f>HYD!#REF!</f>
        <v/>
      </c>
      <c r="O15" s="95">
        <f>HYD!#REF!</f>
        <v/>
      </c>
      <c r="P15" s="95">
        <f>HYD!#REF!</f>
        <v/>
      </c>
      <c r="Q15" s="95">
        <f>HYD!#REF!</f>
        <v/>
      </c>
      <c r="R15" s="95">
        <f>HYD!#REF!</f>
        <v/>
      </c>
      <c r="S15" s="95">
        <f>HYD!#REF!</f>
        <v/>
      </c>
      <c r="T15" s="95">
        <f>HYD!#REF!</f>
        <v/>
      </c>
      <c r="U15" s="95">
        <f>HYD!#REF!</f>
        <v/>
      </c>
      <c r="V15" s="95">
        <f>HYD!#REF!</f>
        <v/>
      </c>
      <c r="W15" s="1">
        <f>GSD!#REF!</f>
        <v/>
      </c>
      <c r="X15" s="1">
        <f>GSD!#REF!</f>
        <v/>
      </c>
      <c r="Y15" s="1">
        <f>GSD!#REF!</f>
        <v/>
      </c>
      <c r="Z15" s="1">
        <f>GSD!#REF!</f>
        <v/>
      </c>
      <c r="AA15" s="1">
        <f>GSD!#REF!</f>
        <v/>
      </c>
      <c r="AB15" s="38">
        <f>GSD!#REF!</f>
        <v/>
      </c>
      <c r="AC15" s="38">
        <f>HYD!#REF!</f>
        <v/>
      </c>
      <c r="AD15" s="1">
        <f>HYD!#REF!</f>
        <v/>
      </c>
      <c r="AE15" s="1">
        <f>HYD!#REF!</f>
        <v/>
      </c>
      <c r="AF15" s="1">
        <f>HYD!#REF!</f>
        <v/>
      </c>
      <c r="AG15" s="1">
        <f>HYD!#REF!</f>
        <v/>
      </c>
      <c r="AH15" s="1">
        <f>HYD!#REF!</f>
        <v/>
      </c>
      <c r="AI15" s="1">
        <f>HYD!#REF!</f>
        <v/>
      </c>
      <c r="AJ15" s="1">
        <f>HYD!#REF!</f>
        <v/>
      </c>
      <c r="AK15" s="1">
        <f>HYD!#REF!</f>
        <v/>
      </c>
      <c r="AL15" s="1">
        <f>HYD!#REF!</f>
        <v/>
      </c>
      <c r="AM15" s="1">
        <f>HYD!#REF!</f>
        <v/>
      </c>
      <c r="AN15" s="1">
        <f>HYD!#REF!</f>
        <v/>
      </c>
      <c r="AO15" s="1">
        <f>HYD!#REF!</f>
        <v/>
      </c>
      <c r="AP15" s="29" t="n"/>
      <c r="AQ15" s="29" t="n"/>
      <c r="AR15" s="29" t="n"/>
      <c r="AS15" s="29" t="n"/>
    </row>
    <row r="16">
      <c r="A16" s="18" t="n">
        <v>14</v>
      </c>
      <c r="B16" s="18">
        <f>B15</f>
        <v/>
      </c>
      <c r="C16" s="26">
        <f>GSD!#REF!</f>
        <v/>
      </c>
      <c r="D16" s="94" t="n">
        <v>4.75</v>
      </c>
      <c r="E16" s="94" t="n">
        <v>2</v>
      </c>
      <c r="F16" s="94" t="n">
        <v>0.425</v>
      </c>
      <c r="G16" s="94" t="n">
        <v>0.212</v>
      </c>
      <c r="H16" s="94" t="n">
        <v>0.15</v>
      </c>
      <c r="I16" s="94" t="n">
        <v>0.075</v>
      </c>
      <c r="J16" s="95">
        <f>HYD!#REF!</f>
        <v/>
      </c>
      <c r="K16" s="95">
        <f>HYD!#REF!</f>
        <v/>
      </c>
      <c r="L16" s="95">
        <f>HYD!#REF!</f>
        <v/>
      </c>
      <c r="M16" s="95">
        <f>HYD!#REF!</f>
        <v/>
      </c>
      <c r="N16" s="95">
        <f>HYD!#REF!</f>
        <v/>
      </c>
      <c r="O16" s="95">
        <f>HYD!#REF!</f>
        <v/>
      </c>
      <c r="P16" s="95">
        <f>HYD!#REF!</f>
        <v/>
      </c>
      <c r="Q16" s="95">
        <f>HYD!#REF!</f>
        <v/>
      </c>
      <c r="R16" s="95">
        <f>HYD!#REF!</f>
        <v/>
      </c>
      <c r="S16" s="95">
        <f>HYD!#REF!</f>
        <v/>
      </c>
      <c r="T16" s="95">
        <f>HYD!#REF!</f>
        <v/>
      </c>
      <c r="U16" s="95">
        <f>HYD!#REF!</f>
        <v/>
      </c>
      <c r="V16" s="95">
        <f>HYD!#REF!</f>
        <v/>
      </c>
      <c r="W16" s="1">
        <f>GSD!#REF!</f>
        <v/>
      </c>
      <c r="X16" s="1">
        <f>GSD!#REF!</f>
        <v/>
      </c>
      <c r="Y16" s="1">
        <f>GSD!#REF!</f>
        <v/>
      </c>
      <c r="Z16" s="1">
        <f>GSD!#REF!</f>
        <v/>
      </c>
      <c r="AA16" s="1">
        <f>GSD!#REF!</f>
        <v/>
      </c>
      <c r="AB16" s="38">
        <f>GSD!#REF!</f>
        <v/>
      </c>
      <c r="AC16" s="38">
        <f>HYD!#REF!</f>
        <v/>
      </c>
      <c r="AD16" s="1">
        <f>HYD!#REF!</f>
        <v/>
      </c>
      <c r="AE16" s="1">
        <f>HYD!#REF!</f>
        <v/>
      </c>
      <c r="AF16" s="1">
        <f>HYD!#REF!</f>
        <v/>
      </c>
      <c r="AG16" s="1">
        <f>HYD!#REF!</f>
        <v/>
      </c>
      <c r="AH16" s="1">
        <f>HYD!#REF!</f>
        <v/>
      </c>
      <c r="AI16" s="1">
        <f>HYD!#REF!</f>
        <v/>
      </c>
      <c r="AJ16" s="1">
        <f>HYD!#REF!</f>
        <v/>
      </c>
      <c r="AK16" s="1">
        <f>HYD!#REF!</f>
        <v/>
      </c>
      <c r="AL16" s="1">
        <f>HYD!#REF!</f>
        <v/>
      </c>
      <c r="AM16" s="1">
        <f>HYD!#REF!</f>
        <v/>
      </c>
      <c r="AN16" s="1">
        <f>HYD!#REF!</f>
        <v/>
      </c>
      <c r="AO16" s="1">
        <f>HYD!#REF!</f>
        <v/>
      </c>
      <c r="AP16" s="29" t="n"/>
      <c r="AQ16" s="29" t="n"/>
      <c r="AR16" s="29" t="n"/>
      <c r="AS16" s="29" t="n"/>
    </row>
    <row r="17">
      <c r="A17" s="18" t="n">
        <v>15</v>
      </c>
      <c r="B17" s="18">
        <f>B16</f>
        <v/>
      </c>
      <c r="C17" s="26">
        <f>GSD!#REF!</f>
        <v/>
      </c>
      <c r="D17" s="94" t="n">
        <v>4.75</v>
      </c>
      <c r="E17" s="94" t="n">
        <v>2</v>
      </c>
      <c r="F17" s="94" t="n">
        <v>0.425</v>
      </c>
      <c r="G17" s="94" t="n">
        <v>0.212</v>
      </c>
      <c r="H17" s="94" t="n">
        <v>0.15</v>
      </c>
      <c r="I17" s="94" t="n">
        <v>0.075</v>
      </c>
      <c r="J17" s="95">
        <f>HYD!#REF!</f>
        <v/>
      </c>
      <c r="K17" s="95">
        <f>HYD!#REF!</f>
        <v/>
      </c>
      <c r="L17" s="95">
        <f>HYD!#REF!</f>
        <v/>
      </c>
      <c r="M17" s="95">
        <f>HYD!#REF!</f>
        <v/>
      </c>
      <c r="N17" s="95">
        <f>HYD!#REF!</f>
        <v/>
      </c>
      <c r="O17" s="95">
        <f>HYD!#REF!</f>
        <v/>
      </c>
      <c r="P17" s="95">
        <f>HYD!#REF!</f>
        <v/>
      </c>
      <c r="Q17" s="95">
        <f>HYD!#REF!</f>
        <v/>
      </c>
      <c r="R17" s="95">
        <f>HYD!#REF!</f>
        <v/>
      </c>
      <c r="S17" s="95">
        <f>HYD!#REF!</f>
        <v/>
      </c>
      <c r="T17" s="95">
        <f>HYD!#REF!</f>
        <v/>
      </c>
      <c r="U17" s="95">
        <f>HYD!#REF!</f>
        <v/>
      </c>
      <c r="V17" s="95">
        <f>HYD!#REF!</f>
        <v/>
      </c>
      <c r="W17" s="1">
        <f>GSD!#REF!</f>
        <v/>
      </c>
      <c r="X17" s="1">
        <f>GSD!#REF!</f>
        <v/>
      </c>
      <c r="Y17" s="1">
        <f>GSD!#REF!</f>
        <v/>
      </c>
      <c r="Z17" s="1">
        <f>GSD!#REF!</f>
        <v/>
      </c>
      <c r="AA17" s="1">
        <f>GSD!#REF!</f>
        <v/>
      </c>
      <c r="AB17" s="38">
        <f>GSD!#REF!</f>
        <v/>
      </c>
      <c r="AC17" s="38">
        <f>HYD!#REF!</f>
        <v/>
      </c>
      <c r="AD17" s="1">
        <f>HYD!#REF!</f>
        <v/>
      </c>
      <c r="AE17" s="1">
        <f>HYD!#REF!</f>
        <v/>
      </c>
      <c r="AF17" s="1">
        <f>HYD!#REF!</f>
        <v/>
      </c>
      <c r="AG17" s="1">
        <f>HYD!#REF!</f>
        <v/>
      </c>
      <c r="AH17" s="1">
        <f>HYD!#REF!</f>
        <v/>
      </c>
      <c r="AI17" s="1">
        <f>HYD!#REF!</f>
        <v/>
      </c>
      <c r="AJ17" s="1">
        <f>HYD!#REF!</f>
        <v/>
      </c>
      <c r="AK17" s="1">
        <f>HYD!#REF!</f>
        <v/>
      </c>
      <c r="AL17" s="1">
        <f>HYD!#REF!</f>
        <v/>
      </c>
      <c r="AM17" s="1">
        <f>HYD!#REF!</f>
        <v/>
      </c>
      <c r="AN17" s="1">
        <f>HYD!#REF!</f>
        <v/>
      </c>
      <c r="AO17" s="1">
        <f>HYD!#REF!</f>
        <v/>
      </c>
      <c r="AP17" s="29" t="n"/>
      <c r="AQ17" s="29" t="n"/>
      <c r="AR17" s="29" t="n"/>
      <c r="AS17" s="29" t="n"/>
    </row>
    <row r="18">
      <c r="A18" s="18" t="n">
        <v>16</v>
      </c>
      <c r="B18" s="18">
        <f>B17</f>
        <v/>
      </c>
      <c r="C18" s="26">
        <f>GSD!#REF!</f>
        <v/>
      </c>
      <c r="D18" s="94" t="n">
        <v>4.75</v>
      </c>
      <c r="E18" s="94" t="n">
        <v>2</v>
      </c>
      <c r="F18" s="94" t="n">
        <v>0.425</v>
      </c>
      <c r="G18" s="94" t="n">
        <v>0.212</v>
      </c>
      <c r="H18" s="94" t="n">
        <v>0.15</v>
      </c>
      <c r="I18" s="94" t="n">
        <v>0.075</v>
      </c>
      <c r="J18" s="95">
        <f>HYD!#REF!</f>
        <v/>
      </c>
      <c r="K18" s="95">
        <f>HYD!#REF!</f>
        <v/>
      </c>
      <c r="L18" s="95">
        <f>HYD!#REF!</f>
        <v/>
      </c>
      <c r="M18" s="95">
        <f>HYD!#REF!</f>
        <v/>
      </c>
      <c r="N18" s="95">
        <f>HYD!#REF!</f>
        <v/>
      </c>
      <c r="O18" s="95">
        <f>HYD!#REF!</f>
        <v/>
      </c>
      <c r="P18" s="95">
        <f>HYD!#REF!</f>
        <v/>
      </c>
      <c r="Q18" s="95">
        <f>HYD!#REF!</f>
        <v/>
      </c>
      <c r="R18" s="95">
        <f>HYD!#REF!</f>
        <v/>
      </c>
      <c r="S18" s="95">
        <f>HYD!#REF!</f>
        <v/>
      </c>
      <c r="T18" s="95">
        <f>HYD!#REF!</f>
        <v/>
      </c>
      <c r="U18" s="95">
        <f>HYD!#REF!</f>
        <v/>
      </c>
      <c r="V18" s="95">
        <f>HYD!#REF!</f>
        <v/>
      </c>
      <c r="W18" s="1">
        <f>GSD!#REF!</f>
        <v/>
      </c>
      <c r="X18" s="1">
        <f>GSD!#REF!</f>
        <v/>
      </c>
      <c r="Y18" s="1">
        <f>GSD!#REF!</f>
        <v/>
      </c>
      <c r="Z18" s="1">
        <f>GSD!#REF!</f>
        <v/>
      </c>
      <c r="AA18" s="1">
        <f>GSD!#REF!</f>
        <v/>
      </c>
      <c r="AB18" s="38">
        <f>GSD!#REF!</f>
        <v/>
      </c>
      <c r="AC18" s="38">
        <f>HYD!#REF!</f>
        <v/>
      </c>
      <c r="AD18" s="1">
        <f>HYD!#REF!</f>
        <v/>
      </c>
      <c r="AE18" s="1">
        <f>HYD!#REF!</f>
        <v/>
      </c>
      <c r="AF18" s="1">
        <f>HYD!#REF!</f>
        <v/>
      </c>
      <c r="AG18" s="1">
        <f>HYD!#REF!</f>
        <v/>
      </c>
      <c r="AH18" s="1">
        <f>HYD!#REF!</f>
        <v/>
      </c>
      <c r="AI18" s="1">
        <f>HYD!#REF!</f>
        <v/>
      </c>
      <c r="AJ18" s="1">
        <f>HYD!#REF!</f>
        <v/>
      </c>
      <c r="AK18" s="1">
        <f>HYD!#REF!</f>
        <v/>
      </c>
      <c r="AL18" s="1">
        <f>HYD!#REF!</f>
        <v/>
      </c>
      <c r="AM18" s="1">
        <f>HYD!#REF!</f>
        <v/>
      </c>
      <c r="AN18" s="1">
        <f>HYD!#REF!</f>
        <v/>
      </c>
      <c r="AO18" s="1">
        <f>HYD!#REF!</f>
        <v/>
      </c>
      <c r="AP18" s="29" t="n"/>
      <c r="AQ18" s="29" t="n"/>
      <c r="AR18" s="29" t="n"/>
      <c r="AS18" s="29" t="n"/>
    </row>
    <row r="19">
      <c r="A19" s="18" t="n">
        <v>17</v>
      </c>
      <c r="B19" s="18">
        <f>B18</f>
        <v/>
      </c>
      <c r="C19" s="26">
        <f>GSD!#REF!</f>
        <v/>
      </c>
      <c r="D19" s="94" t="n">
        <v>4.75</v>
      </c>
      <c r="E19" s="94" t="n">
        <v>2</v>
      </c>
      <c r="F19" s="94" t="n">
        <v>0.425</v>
      </c>
      <c r="G19" s="94" t="n">
        <v>0.212</v>
      </c>
      <c r="H19" s="94" t="n">
        <v>0.15</v>
      </c>
      <c r="I19" s="94" t="n">
        <v>0.075</v>
      </c>
      <c r="J19" s="95">
        <f>HYD!#REF!</f>
        <v/>
      </c>
      <c r="K19" s="95">
        <f>HYD!#REF!</f>
        <v/>
      </c>
      <c r="L19" s="95">
        <f>HYD!#REF!</f>
        <v/>
      </c>
      <c r="M19" s="95">
        <f>HYD!#REF!</f>
        <v/>
      </c>
      <c r="N19" s="95">
        <f>HYD!#REF!</f>
        <v/>
      </c>
      <c r="O19" s="95">
        <f>HYD!#REF!</f>
        <v/>
      </c>
      <c r="P19" s="95">
        <f>HYD!#REF!</f>
        <v/>
      </c>
      <c r="Q19" s="95">
        <f>HYD!#REF!</f>
        <v/>
      </c>
      <c r="R19" s="95">
        <f>HYD!#REF!</f>
        <v/>
      </c>
      <c r="S19" s="95">
        <f>HYD!#REF!</f>
        <v/>
      </c>
      <c r="T19" s="95">
        <f>HYD!#REF!</f>
        <v/>
      </c>
      <c r="U19" s="95">
        <f>HYD!#REF!</f>
        <v/>
      </c>
      <c r="V19" s="95">
        <f>HYD!#REF!</f>
        <v/>
      </c>
      <c r="W19" s="1">
        <f>GSD!#REF!</f>
        <v/>
      </c>
      <c r="X19" s="1">
        <f>GSD!#REF!</f>
        <v/>
      </c>
      <c r="Y19" s="1">
        <f>GSD!#REF!</f>
        <v/>
      </c>
      <c r="Z19" s="1">
        <f>GSD!#REF!</f>
        <v/>
      </c>
      <c r="AA19" s="1">
        <f>GSD!#REF!</f>
        <v/>
      </c>
      <c r="AB19" s="38">
        <f>GSD!#REF!</f>
        <v/>
      </c>
      <c r="AC19" s="38">
        <f>HYD!#REF!</f>
        <v/>
      </c>
      <c r="AD19" s="1">
        <f>HYD!#REF!</f>
        <v/>
      </c>
      <c r="AE19" s="1">
        <f>HYD!#REF!</f>
        <v/>
      </c>
      <c r="AF19" s="1">
        <f>HYD!#REF!</f>
        <v/>
      </c>
      <c r="AG19" s="1">
        <f>HYD!#REF!</f>
        <v/>
      </c>
      <c r="AH19" s="1">
        <f>HYD!#REF!</f>
        <v/>
      </c>
      <c r="AI19" s="1">
        <f>HYD!#REF!</f>
        <v/>
      </c>
      <c r="AJ19" s="1">
        <f>HYD!#REF!</f>
        <v/>
      </c>
      <c r="AK19" s="1">
        <f>HYD!#REF!</f>
        <v/>
      </c>
      <c r="AL19" s="1">
        <f>HYD!#REF!</f>
        <v/>
      </c>
      <c r="AM19" s="1">
        <f>HYD!#REF!</f>
        <v/>
      </c>
      <c r="AN19" s="1">
        <f>HYD!#REF!</f>
        <v/>
      </c>
      <c r="AO19" s="1">
        <f>HYD!#REF!</f>
        <v/>
      </c>
      <c r="AP19" s="29" t="n"/>
      <c r="AQ19" s="29" t="n"/>
      <c r="AR19" s="29" t="n"/>
      <c r="AS19" s="29" t="n"/>
    </row>
    <row r="20">
      <c r="A20" s="18" t="n">
        <v>18</v>
      </c>
      <c r="B20" s="18">
        <f>B19</f>
        <v/>
      </c>
      <c r="C20" s="26">
        <f>GSD!#REF!</f>
        <v/>
      </c>
      <c r="D20" s="94" t="n">
        <v>4.75</v>
      </c>
      <c r="E20" s="94" t="n">
        <v>2</v>
      </c>
      <c r="F20" s="94" t="n">
        <v>0.425</v>
      </c>
      <c r="G20" s="94" t="n">
        <v>0.212</v>
      </c>
      <c r="H20" s="94" t="n">
        <v>0.15</v>
      </c>
      <c r="I20" s="94" t="n">
        <v>0.075</v>
      </c>
      <c r="J20" s="95">
        <f>HYD!#REF!</f>
        <v/>
      </c>
      <c r="K20" s="95">
        <f>HYD!#REF!</f>
        <v/>
      </c>
      <c r="L20" s="95">
        <f>HYD!#REF!</f>
        <v/>
      </c>
      <c r="M20" s="95">
        <f>HYD!#REF!</f>
        <v/>
      </c>
      <c r="N20" s="95">
        <f>HYD!#REF!</f>
        <v/>
      </c>
      <c r="O20" s="95">
        <f>HYD!#REF!</f>
        <v/>
      </c>
      <c r="P20" s="95">
        <f>HYD!#REF!</f>
        <v/>
      </c>
      <c r="Q20" s="95">
        <f>HYD!#REF!</f>
        <v/>
      </c>
      <c r="R20" s="95">
        <f>HYD!#REF!</f>
        <v/>
      </c>
      <c r="S20" s="95">
        <f>HYD!#REF!</f>
        <v/>
      </c>
      <c r="T20" s="95">
        <f>HYD!#REF!</f>
        <v/>
      </c>
      <c r="U20" s="95">
        <f>HYD!#REF!</f>
        <v/>
      </c>
      <c r="V20" s="95">
        <f>HYD!#REF!</f>
        <v/>
      </c>
      <c r="W20" s="1">
        <f>GSD!#REF!</f>
        <v/>
      </c>
      <c r="X20" s="1">
        <f>GSD!#REF!</f>
        <v/>
      </c>
      <c r="Y20" s="1">
        <f>GSD!#REF!</f>
        <v/>
      </c>
      <c r="Z20" s="1">
        <f>GSD!#REF!</f>
        <v/>
      </c>
      <c r="AA20" s="1">
        <f>GSD!#REF!</f>
        <v/>
      </c>
      <c r="AB20" s="38">
        <f>GSD!#REF!</f>
        <v/>
      </c>
      <c r="AC20" s="38">
        <f>HYD!#REF!</f>
        <v/>
      </c>
      <c r="AD20" s="1">
        <f>HYD!#REF!</f>
        <v/>
      </c>
      <c r="AE20" s="1">
        <f>HYD!#REF!</f>
        <v/>
      </c>
      <c r="AF20" s="1">
        <f>HYD!#REF!</f>
        <v/>
      </c>
      <c r="AG20" s="1">
        <f>HYD!#REF!</f>
        <v/>
      </c>
      <c r="AH20" s="1">
        <f>HYD!#REF!</f>
        <v/>
      </c>
      <c r="AI20" s="1">
        <f>HYD!#REF!</f>
        <v/>
      </c>
      <c r="AJ20" s="1">
        <f>HYD!#REF!</f>
        <v/>
      </c>
      <c r="AK20" s="1">
        <f>HYD!#REF!</f>
        <v/>
      </c>
      <c r="AL20" s="1">
        <f>HYD!#REF!</f>
        <v/>
      </c>
      <c r="AM20" s="1">
        <f>HYD!#REF!</f>
        <v/>
      </c>
      <c r="AN20" s="1">
        <f>HYD!#REF!</f>
        <v/>
      </c>
      <c r="AO20" s="1">
        <f>HYD!#REF!</f>
        <v/>
      </c>
      <c r="AP20" s="29" t="n"/>
      <c r="AQ20" s="29" t="n"/>
      <c r="AR20" s="29" t="n"/>
      <c r="AS20" s="29" t="n"/>
    </row>
    <row r="21">
      <c r="A21" s="18" t="n">
        <v>19</v>
      </c>
      <c r="B21" s="18">
        <f>B20</f>
        <v/>
      </c>
      <c r="C21" s="26">
        <f>GSD!#REF!</f>
        <v/>
      </c>
      <c r="D21" s="94" t="n">
        <v>4.75</v>
      </c>
      <c r="E21" s="94" t="n">
        <v>2</v>
      </c>
      <c r="F21" s="94" t="n">
        <v>0.425</v>
      </c>
      <c r="G21" s="94" t="n">
        <v>0.212</v>
      </c>
      <c r="H21" s="94" t="n">
        <v>0.15</v>
      </c>
      <c r="I21" s="94" t="n">
        <v>0.075</v>
      </c>
      <c r="J21" s="95">
        <f>HYD!#REF!</f>
        <v/>
      </c>
      <c r="K21" s="95">
        <f>HYD!#REF!</f>
        <v/>
      </c>
      <c r="L21" s="95">
        <f>HYD!#REF!</f>
        <v/>
      </c>
      <c r="M21" s="95">
        <f>HYD!#REF!</f>
        <v/>
      </c>
      <c r="N21" s="95">
        <f>HYD!#REF!</f>
        <v/>
      </c>
      <c r="O21" s="95">
        <f>HYD!#REF!</f>
        <v/>
      </c>
      <c r="P21" s="95">
        <f>HYD!#REF!</f>
        <v/>
      </c>
      <c r="Q21" s="95">
        <f>HYD!#REF!</f>
        <v/>
      </c>
      <c r="R21" s="95">
        <f>HYD!#REF!</f>
        <v/>
      </c>
      <c r="S21" s="95">
        <f>HYD!#REF!</f>
        <v/>
      </c>
      <c r="T21" s="95">
        <f>HYD!#REF!</f>
        <v/>
      </c>
      <c r="U21" s="95">
        <f>HYD!#REF!</f>
        <v/>
      </c>
      <c r="V21" s="95">
        <f>HYD!#REF!</f>
        <v/>
      </c>
      <c r="W21" s="1">
        <f>GSD!#REF!</f>
        <v/>
      </c>
      <c r="X21" s="1">
        <f>GSD!#REF!</f>
        <v/>
      </c>
      <c r="Y21" s="1">
        <f>GSD!#REF!</f>
        <v/>
      </c>
      <c r="Z21" s="1">
        <f>GSD!#REF!</f>
        <v/>
      </c>
      <c r="AA21" s="1">
        <f>GSD!#REF!</f>
        <v/>
      </c>
      <c r="AB21" s="38">
        <f>GSD!#REF!</f>
        <v/>
      </c>
      <c r="AC21" s="38">
        <f>HYD!#REF!</f>
        <v/>
      </c>
      <c r="AD21" s="1">
        <f>HYD!#REF!</f>
        <v/>
      </c>
      <c r="AE21" s="1">
        <f>HYD!#REF!</f>
        <v/>
      </c>
      <c r="AF21" s="1">
        <f>HYD!#REF!</f>
        <v/>
      </c>
      <c r="AG21" s="1">
        <f>HYD!#REF!</f>
        <v/>
      </c>
      <c r="AH21" s="1">
        <f>HYD!#REF!</f>
        <v/>
      </c>
      <c r="AI21" s="1">
        <f>HYD!#REF!</f>
        <v/>
      </c>
      <c r="AJ21" s="1">
        <f>HYD!#REF!</f>
        <v/>
      </c>
      <c r="AK21" s="1">
        <f>HYD!#REF!</f>
        <v/>
      </c>
      <c r="AL21" s="1">
        <f>HYD!#REF!</f>
        <v/>
      </c>
      <c r="AM21" s="1">
        <f>HYD!#REF!</f>
        <v/>
      </c>
      <c r="AN21" s="1">
        <f>HYD!#REF!</f>
        <v/>
      </c>
      <c r="AO21" s="1">
        <f>HYD!#REF!</f>
        <v/>
      </c>
      <c r="AP21" s="29" t="n"/>
      <c r="AQ21" s="29" t="n"/>
      <c r="AR21" s="29" t="n"/>
      <c r="AS21" s="29" t="n"/>
    </row>
    <row r="22">
      <c r="A22" s="18" t="n">
        <v>20</v>
      </c>
      <c r="B22" s="18">
        <f>B21</f>
        <v/>
      </c>
      <c r="C22" s="26">
        <f>GSD!#REF!</f>
        <v/>
      </c>
      <c r="D22" s="94" t="n">
        <v>4.75</v>
      </c>
      <c r="E22" s="94" t="n">
        <v>2</v>
      </c>
      <c r="F22" s="94" t="n">
        <v>0.425</v>
      </c>
      <c r="G22" s="94" t="n">
        <v>0.212</v>
      </c>
      <c r="H22" s="94" t="n">
        <v>0.15</v>
      </c>
      <c r="I22" s="94" t="n">
        <v>0.075</v>
      </c>
      <c r="J22" s="95">
        <f>HYD!#REF!</f>
        <v/>
      </c>
      <c r="K22" s="95">
        <f>HYD!#REF!</f>
        <v/>
      </c>
      <c r="L22" s="95">
        <f>HYD!#REF!</f>
        <v/>
      </c>
      <c r="M22" s="95">
        <f>HYD!#REF!</f>
        <v/>
      </c>
      <c r="N22" s="95">
        <f>HYD!#REF!</f>
        <v/>
      </c>
      <c r="O22" s="95">
        <f>HYD!#REF!</f>
        <v/>
      </c>
      <c r="P22" s="95">
        <f>HYD!#REF!</f>
        <v/>
      </c>
      <c r="Q22" s="95">
        <f>HYD!#REF!</f>
        <v/>
      </c>
      <c r="R22" s="95">
        <f>HYD!#REF!</f>
        <v/>
      </c>
      <c r="S22" s="95">
        <f>HYD!#REF!</f>
        <v/>
      </c>
      <c r="T22" s="95">
        <f>HYD!#REF!</f>
        <v/>
      </c>
      <c r="U22" s="95">
        <f>HYD!#REF!</f>
        <v/>
      </c>
      <c r="V22" s="95">
        <f>HYD!#REF!</f>
        <v/>
      </c>
      <c r="W22" s="1">
        <f>GSD!#REF!</f>
        <v/>
      </c>
      <c r="X22" s="1">
        <f>GSD!#REF!</f>
        <v/>
      </c>
      <c r="Y22" s="1">
        <f>GSD!#REF!</f>
        <v/>
      </c>
      <c r="Z22" s="1">
        <f>GSD!#REF!</f>
        <v/>
      </c>
      <c r="AA22" s="1">
        <f>GSD!#REF!</f>
        <v/>
      </c>
      <c r="AB22" s="38">
        <f>GSD!#REF!</f>
        <v/>
      </c>
      <c r="AC22" s="38">
        <f>HYD!#REF!</f>
        <v/>
      </c>
      <c r="AD22" s="1">
        <f>HYD!#REF!</f>
        <v/>
      </c>
      <c r="AE22" s="1">
        <f>HYD!#REF!</f>
        <v/>
      </c>
      <c r="AF22" s="1">
        <f>HYD!#REF!</f>
        <v/>
      </c>
      <c r="AG22" s="1">
        <f>HYD!#REF!</f>
        <v/>
      </c>
      <c r="AH22" s="1">
        <f>HYD!#REF!</f>
        <v/>
      </c>
      <c r="AI22" s="1">
        <f>HYD!#REF!</f>
        <v/>
      </c>
      <c r="AJ22" s="1">
        <f>HYD!#REF!</f>
        <v/>
      </c>
      <c r="AK22" s="1">
        <f>HYD!#REF!</f>
        <v/>
      </c>
      <c r="AL22" s="1">
        <f>HYD!#REF!</f>
        <v/>
      </c>
      <c r="AM22" s="1">
        <f>HYD!#REF!</f>
        <v/>
      </c>
      <c r="AN22" s="1">
        <f>HYD!#REF!</f>
        <v/>
      </c>
      <c r="AO22" s="1">
        <f>HYD!#REF!</f>
        <v/>
      </c>
    </row>
    <row r="23">
      <c r="A23" s="18" t="n">
        <v>21</v>
      </c>
      <c r="B23" s="18">
        <f>B22</f>
        <v/>
      </c>
      <c r="C23" s="26">
        <f>GSD!#REF!</f>
        <v/>
      </c>
      <c r="D23" s="94" t="n">
        <v>4.75</v>
      </c>
      <c r="E23" s="94" t="n">
        <v>2</v>
      </c>
      <c r="F23" s="94" t="n">
        <v>0.425</v>
      </c>
      <c r="G23" s="94" t="n">
        <v>0.212</v>
      </c>
      <c r="H23" s="94" t="n">
        <v>0.15</v>
      </c>
      <c r="I23" s="94" t="n">
        <v>0.075</v>
      </c>
      <c r="J23" s="95">
        <f>HYD!#REF!</f>
        <v/>
      </c>
      <c r="K23" s="95">
        <f>HYD!#REF!</f>
        <v/>
      </c>
      <c r="L23" s="95">
        <f>HYD!#REF!</f>
        <v/>
      </c>
      <c r="M23" s="95">
        <f>HYD!#REF!</f>
        <v/>
      </c>
      <c r="N23" s="95">
        <f>HYD!#REF!</f>
        <v/>
      </c>
      <c r="O23" s="95">
        <f>HYD!#REF!</f>
        <v/>
      </c>
      <c r="P23" s="95">
        <f>HYD!#REF!</f>
        <v/>
      </c>
      <c r="Q23" s="95">
        <f>HYD!#REF!</f>
        <v/>
      </c>
      <c r="R23" s="95">
        <f>HYD!#REF!</f>
        <v/>
      </c>
      <c r="S23" s="95">
        <f>HYD!#REF!</f>
        <v/>
      </c>
      <c r="T23" s="95">
        <f>HYD!#REF!</f>
        <v/>
      </c>
      <c r="U23" s="95">
        <f>HYD!#REF!</f>
        <v/>
      </c>
      <c r="V23" s="95">
        <f>HYD!#REF!</f>
        <v/>
      </c>
      <c r="W23" s="1">
        <f>GSD!#REF!</f>
        <v/>
      </c>
      <c r="X23" s="1">
        <f>GSD!#REF!</f>
        <v/>
      </c>
      <c r="Y23" s="1">
        <f>GSD!#REF!</f>
        <v/>
      </c>
      <c r="Z23" s="1">
        <f>GSD!#REF!</f>
        <v/>
      </c>
      <c r="AA23" s="1">
        <f>GSD!#REF!</f>
        <v/>
      </c>
      <c r="AB23" s="38">
        <f>GSD!#REF!</f>
        <v/>
      </c>
      <c r="AC23" s="38">
        <f>HYD!#REF!</f>
        <v/>
      </c>
      <c r="AD23" s="1">
        <f>HYD!#REF!</f>
        <v/>
      </c>
      <c r="AE23" s="1">
        <f>HYD!#REF!</f>
        <v/>
      </c>
      <c r="AF23" s="1">
        <f>HYD!#REF!</f>
        <v/>
      </c>
      <c r="AG23" s="1">
        <f>HYD!#REF!</f>
        <v/>
      </c>
      <c r="AH23" s="1">
        <f>HYD!#REF!</f>
        <v/>
      </c>
      <c r="AI23" s="1">
        <f>HYD!#REF!</f>
        <v/>
      </c>
      <c r="AJ23" s="1">
        <f>HYD!#REF!</f>
        <v/>
      </c>
      <c r="AK23" s="1">
        <f>HYD!#REF!</f>
        <v/>
      </c>
      <c r="AL23" s="1">
        <f>HYD!#REF!</f>
        <v/>
      </c>
      <c r="AM23" s="1">
        <f>HYD!#REF!</f>
        <v/>
      </c>
      <c r="AN23" s="1">
        <f>HYD!#REF!</f>
        <v/>
      </c>
      <c r="AO23" s="1">
        <f>HYD!#REF!</f>
        <v/>
      </c>
    </row>
    <row r="24">
      <c r="AB24" s="1" t="n"/>
      <c r="AC24" s="29" t="n"/>
    </row>
    <row r="25">
      <c r="AB25" s="1" t="n"/>
      <c r="AC25" s="29" t="n"/>
    </row>
    <row r="26">
      <c r="AB26" s="1" t="n"/>
      <c r="AC26" s="29" t="n"/>
    </row>
    <row r="27">
      <c r="AB27" s="1" t="n"/>
      <c r="AC27" s="29" t="n"/>
    </row>
    <row r="28">
      <c r="AB28" s="1" t="n"/>
      <c r="AC28" s="29" t="n"/>
    </row>
    <row r="29">
      <c r="AB29" s="1" t="n"/>
      <c r="AC29" s="29" t="n"/>
    </row>
    <row r="30">
      <c r="AB30" s="1" t="n"/>
      <c r="AC30" s="29" t="n"/>
    </row>
    <row r="31">
      <c r="AB31" s="1" t="n"/>
      <c r="AC31" s="29" t="n"/>
    </row>
    <row r="32">
      <c r="AB32" s="1" t="n"/>
      <c r="AC32" s="29" t="n"/>
    </row>
    <row r="33">
      <c r="AB33" s="1" t="n"/>
      <c r="AC33" s="29" t="n"/>
    </row>
    <row r="34">
      <c r="AB34" s="1" t="n"/>
      <c r="AC34" s="29" t="n"/>
    </row>
    <row r="35">
      <c r="AB35" s="1" t="n"/>
      <c r="AC35" s="29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2026-09-26T11:40:53Z</dcterms:modified>
  <cp:lastModifiedBy>baps</cp:lastModifiedBy>
</cp:coreProperties>
</file>