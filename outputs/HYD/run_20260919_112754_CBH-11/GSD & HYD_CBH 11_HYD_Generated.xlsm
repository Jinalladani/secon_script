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99.73</v>
                </pt>
                <pt idx="1">
                  <v>98.8</v>
                </pt>
                <pt idx="2">
                  <v>98.43000000000001</v>
                </pt>
                <pt idx="3">
                  <v>59.92999999999999</v>
                </pt>
                <pt idx="4">
                  <v>40.26</v>
                </pt>
                <pt idx="5">
                  <v>36.89</v>
                </pt>
                <pt idx="6">
                  <v>27.08</v>
                </pt>
                <pt idx="7">
                  <v>21.5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99.985</v>
                </pt>
                <pt idx="1">
                  <v>99.545</v>
                </pt>
                <pt idx="2">
                  <v>99.075</v>
                </pt>
                <pt idx="3">
                  <v>81.995</v>
                </pt>
                <pt idx="4">
                  <v>74.25</v>
                </pt>
                <pt idx="5">
                  <v>71.75999999999999</v>
                </pt>
                <pt idx="6">
                  <v>57.175</v>
                </pt>
                <pt idx="7">
                  <v>49.555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99.04000000000001</v>
                </pt>
                <pt idx="2">
                  <v>98.19</v>
                </pt>
                <pt idx="3">
                  <v>82.56999999999999</v>
                </pt>
                <pt idx="4">
                  <v>75.14</v>
                </pt>
                <pt idx="5">
                  <v>72.74000000000001</v>
                </pt>
                <pt idx="6">
                  <v>61.3</v>
                </pt>
                <pt idx="7">
                  <v>53.84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99.845</v>
                </pt>
                <pt idx="1">
                  <v>99.36</v>
                </pt>
                <pt idx="2">
                  <v>98.55</v>
                </pt>
                <pt idx="3">
                  <v>80.62</v>
                </pt>
                <pt idx="4">
                  <v>72.655</v>
                </pt>
                <pt idx="5">
                  <v>70.19</v>
                </pt>
                <pt idx="6">
                  <v>56.37000000000001</v>
                </pt>
                <pt idx="7">
                  <v>49.16500000000001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99.52</v>
                </pt>
                <pt idx="1">
                  <v>98.67</v>
                </pt>
                <pt idx="2">
                  <v>97.76000000000001</v>
                </pt>
                <pt idx="3">
                  <v>88.68000000000001</v>
                </pt>
                <pt idx="4">
                  <v>75.5</v>
                </pt>
                <pt idx="5">
                  <v>61.88</v>
                </pt>
                <pt idx="6">
                  <v>26.96000000000001</v>
                </pt>
                <pt idx="7">
                  <v>22.64000000000001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99.91</v>
                </pt>
                <pt idx="1">
                  <v>99.465</v>
                </pt>
                <pt idx="2">
                  <v>98.61499999999999</v>
                </pt>
                <pt idx="3">
                  <v>80.47499999999999</v>
                </pt>
                <pt idx="4">
                  <v>72.42</v>
                </pt>
                <pt idx="5">
                  <v>69.48999999999999</v>
                </pt>
                <pt idx="6">
                  <v>58.245</v>
                </pt>
                <pt idx="7">
                  <v>54.43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98.39</v>
                </pt>
                <pt idx="1">
                  <v>97.42</v>
                </pt>
                <pt idx="2">
                  <v>96.23999999999999</v>
                </pt>
                <pt idx="3">
                  <v>85.75</v>
                </pt>
                <pt idx="4">
                  <v>65.91</v>
                </pt>
                <pt idx="5">
                  <v>54.95</v>
                </pt>
                <pt idx="6">
                  <v>24.44999999999999</v>
                </pt>
                <pt idx="7">
                  <v>21.17999999999999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99.65000000000001</v>
                </pt>
                <pt idx="1">
                  <v>98.72</v>
                </pt>
                <pt idx="2">
                  <v>97.89</v>
                </pt>
                <pt idx="3">
                  <v>83.12</v>
                </pt>
                <pt idx="4">
                  <v>74.78999999999999</v>
                </pt>
                <pt idx="5">
                  <v>72.50999999999999</v>
                </pt>
                <pt idx="6">
                  <v>61.71</v>
                </pt>
                <pt idx="7">
                  <v>51.99999999999999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97.68000000000001</v>
                </pt>
                <pt idx="1">
                  <v>48.99</v>
                </pt>
                <pt idx="2">
                  <v>42.31</v>
                </pt>
                <pt idx="3">
                  <v>33.66</v>
                </pt>
                <pt idx="4">
                  <v>28.13</v>
                </pt>
                <pt idx="5">
                  <v>24.88</v>
                </pt>
                <pt idx="6">
                  <v>16.67999999999999</v>
                </pt>
                <pt idx="7">
                  <v>15.3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99.73</v>
                </pt>
                <pt idx="1">
                  <v>98.8</v>
                </pt>
                <pt idx="2">
                  <v>98.43000000000001</v>
                </pt>
                <pt idx="3">
                  <v>59.92999999999999</v>
                </pt>
                <pt idx="4">
                  <v>40.26</v>
                </pt>
                <pt idx="5">
                  <v>36.89</v>
                </pt>
                <pt idx="6">
                  <v>27.08</v>
                </pt>
                <pt idx="7">
                  <v>21.5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99.985</v>
                </pt>
                <pt idx="1">
                  <v>99.545</v>
                </pt>
                <pt idx="2">
                  <v>99.075</v>
                </pt>
                <pt idx="3">
                  <v>81.995</v>
                </pt>
                <pt idx="4">
                  <v>74.25</v>
                </pt>
                <pt idx="5">
                  <v>71.75999999999999</v>
                </pt>
                <pt idx="6">
                  <v>57.175</v>
                </pt>
                <pt idx="7">
                  <v>49.555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99.04000000000001</v>
                </pt>
                <pt idx="2">
                  <v>98.19</v>
                </pt>
                <pt idx="3">
                  <v>82.56999999999999</v>
                </pt>
                <pt idx="4">
                  <v>75.14</v>
                </pt>
                <pt idx="5">
                  <v>72.74000000000001</v>
                </pt>
                <pt idx="6">
                  <v>61.3</v>
                </pt>
                <pt idx="7">
                  <v>53.84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99.845</v>
                </pt>
                <pt idx="1">
                  <v>99.36</v>
                </pt>
                <pt idx="2">
                  <v>98.55</v>
                </pt>
                <pt idx="3">
                  <v>80.62</v>
                </pt>
                <pt idx="4">
                  <v>72.655</v>
                </pt>
                <pt idx="5">
                  <v>70.19</v>
                </pt>
                <pt idx="6">
                  <v>56.37000000000001</v>
                </pt>
                <pt idx="7">
                  <v>49.16500000000001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99.52</v>
                </pt>
                <pt idx="1">
                  <v>98.67</v>
                </pt>
                <pt idx="2">
                  <v>97.76000000000001</v>
                </pt>
                <pt idx="3">
                  <v>88.68000000000001</v>
                </pt>
                <pt idx="4">
                  <v>75.5</v>
                </pt>
                <pt idx="5">
                  <v>61.88</v>
                </pt>
                <pt idx="6">
                  <v>26.96000000000001</v>
                </pt>
                <pt idx="7">
                  <v>22.64000000000001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99.91</v>
                </pt>
                <pt idx="1">
                  <v>99.465</v>
                </pt>
                <pt idx="2">
                  <v>98.61499999999999</v>
                </pt>
                <pt idx="3">
                  <v>80.47499999999999</v>
                </pt>
                <pt idx="4">
                  <v>72.42</v>
                </pt>
                <pt idx="5">
                  <v>69.48999999999999</v>
                </pt>
                <pt idx="6">
                  <v>58.245</v>
                </pt>
                <pt idx="7">
                  <v>54.43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98.39</v>
                </pt>
                <pt idx="1">
                  <v>97.42</v>
                </pt>
                <pt idx="2">
                  <v>96.23999999999999</v>
                </pt>
                <pt idx="3">
                  <v>85.75</v>
                </pt>
                <pt idx="4">
                  <v>65.91</v>
                </pt>
                <pt idx="5">
                  <v>54.95</v>
                </pt>
                <pt idx="6">
                  <v>24.44999999999999</v>
                </pt>
                <pt idx="7">
                  <v>21.17999999999999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99.65000000000001</v>
                </pt>
                <pt idx="1">
                  <v>98.72</v>
                </pt>
                <pt idx="2">
                  <v>97.89</v>
                </pt>
                <pt idx="3">
                  <v>83.12</v>
                </pt>
                <pt idx="4">
                  <v>74.78999999999999</v>
                </pt>
                <pt idx="5">
                  <v>72.50999999999999</v>
                </pt>
                <pt idx="6">
                  <v>61.71</v>
                </pt>
                <pt idx="7">
                  <v>51.99999999999999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97.68000000000001</v>
                </pt>
                <pt idx="1">
                  <v>48.99</v>
                </pt>
                <pt idx="2">
                  <v>42.31</v>
                </pt>
                <pt idx="3">
                  <v>33.66</v>
                </pt>
                <pt idx="4">
                  <v>28.13</v>
                </pt>
                <pt idx="5">
                  <v>24.88</v>
                </pt>
                <pt idx="6">
                  <v>16.67999999999999</v>
                </pt>
                <pt idx="7">
                  <v>15.3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2" zoomScale="130" zoomScaleNormal="85" zoomScaleSheetLayoutView="130" zoomScalePageLayoutView="85" workbookViewId="0">
      <selection activeCell="R7" sqref="R7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CBH-11</t>
        </is>
      </c>
      <c r="C5" s="57" t="n"/>
      <c r="D5" s="58" t="n"/>
      <c r="E5" s="47" t="inlineStr">
        <is>
          <t>SPT</t>
        </is>
      </c>
      <c r="F5" s="43" t="n">
        <v>0.5</v>
      </c>
      <c r="G5" s="47" t="inlineStr">
        <is>
          <t>A172</t>
        </is>
      </c>
      <c r="H5" s="58" t="n">
        <v>100</v>
      </c>
      <c r="I5" s="43">
        <f>H5-SUM(J5:Q5)</f>
        <v/>
      </c>
      <c r="J5" s="43" t="n">
        <v>0.27</v>
      </c>
      <c r="K5" s="43" t="n">
        <v>0.93</v>
      </c>
      <c r="L5" s="43" t="n">
        <v>0.37</v>
      </c>
      <c r="M5" s="43" t="n">
        <v>38.5</v>
      </c>
      <c r="N5" s="43" t="n">
        <v>19.67</v>
      </c>
      <c r="O5" s="43" t="n">
        <v>3.37</v>
      </c>
      <c r="P5" s="43" t="n">
        <v>9.81</v>
      </c>
      <c r="Q5" s="43" t="n">
        <v>5.58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7" t="inlineStr">
        <is>
          <t>UDS</t>
        </is>
      </c>
      <c r="F6" s="43" t="n">
        <v>1.5</v>
      </c>
      <c r="G6" s="47" t="inlineStr">
        <is>
          <t>A204</t>
        </is>
      </c>
      <c r="H6" s="58" t="n">
        <v>200</v>
      </c>
      <c r="I6" s="43">
        <f>H6-SUM(J6:Q6)</f>
        <v/>
      </c>
      <c r="J6" s="43" t="n">
        <v>0.03</v>
      </c>
      <c r="K6" s="43" t="n">
        <v>0.88</v>
      </c>
      <c r="L6" s="43" t="n">
        <v>0.9399999999999999</v>
      </c>
      <c r="M6" s="43" t="n">
        <v>34.16</v>
      </c>
      <c r="N6" s="43" t="n">
        <v>15.49</v>
      </c>
      <c r="O6" s="43" t="n">
        <v>4.98</v>
      </c>
      <c r="P6" s="43" t="n">
        <v>29.17</v>
      </c>
      <c r="Q6" s="43" t="n">
        <v>15.24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A173</t>
        </is>
      </c>
      <c r="H7" s="58" t="n">
        <v>100</v>
      </c>
      <c r="I7" s="43">
        <f>H7-SUM(J7:Q7)</f>
        <v/>
      </c>
      <c r="J7" s="43" t="n">
        <v>0</v>
      </c>
      <c r="K7" s="43" t="n">
        <v>0.96</v>
      </c>
      <c r="L7" s="43" t="n">
        <v>0.85</v>
      </c>
      <c r="M7" s="43" t="n">
        <v>15.62</v>
      </c>
      <c r="N7" s="43" t="n">
        <v>7.43</v>
      </c>
      <c r="O7" s="43" t="n">
        <v>2.4</v>
      </c>
      <c r="P7" s="43" t="n">
        <v>11.44</v>
      </c>
      <c r="Q7" s="43" t="n">
        <v>7.46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7" t="inlineStr">
        <is>
          <t>UDS</t>
        </is>
      </c>
      <c r="F8" s="43" t="n">
        <v>4.5</v>
      </c>
      <c r="G8" s="47" t="inlineStr">
        <is>
          <t>A190</t>
        </is>
      </c>
      <c r="H8" s="58" t="n">
        <v>200</v>
      </c>
      <c r="I8" s="43">
        <f>H8-SUM(J8:Q8)</f>
        <v/>
      </c>
      <c r="J8" s="43" t="n">
        <v>0.31</v>
      </c>
      <c r="K8" s="43" t="n">
        <v>0.97</v>
      </c>
      <c r="L8" s="43" t="n">
        <v>1.62</v>
      </c>
      <c r="M8" s="43" t="n">
        <v>35.86</v>
      </c>
      <c r="N8" s="43" t="n">
        <v>15.93</v>
      </c>
      <c r="O8" s="43" t="n">
        <v>4.93</v>
      </c>
      <c r="P8" s="43" t="n">
        <v>27.64</v>
      </c>
      <c r="Q8" s="43" t="n">
        <v>14.41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A168</t>
        </is>
      </c>
      <c r="H9" s="58" t="n">
        <v>100</v>
      </c>
      <c r="I9" s="43">
        <f>H9-SUM(J9:Q9)</f>
        <v/>
      </c>
      <c r="J9" s="43" t="n">
        <v>0.48</v>
      </c>
      <c r="K9" s="43" t="n">
        <v>0.85</v>
      </c>
      <c r="L9" s="43" t="n">
        <v>0.91</v>
      </c>
      <c r="M9" s="43" t="n">
        <v>9.08</v>
      </c>
      <c r="N9" s="43" t="n">
        <v>13.18</v>
      </c>
      <c r="O9" s="43" t="n">
        <v>13.62</v>
      </c>
      <c r="P9" s="43" t="n">
        <v>34.92</v>
      </c>
      <c r="Q9" s="43" t="n">
        <v>4.32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99" t="n"/>
      <c r="C10" s="99" t="n"/>
      <c r="D10" s="99" t="n"/>
      <c r="E10" s="47" t="inlineStr">
        <is>
          <t>UDS</t>
        </is>
      </c>
      <c r="F10" s="43" t="n">
        <v>7.5</v>
      </c>
      <c r="G10" s="47" t="inlineStr">
        <is>
          <t>A174</t>
        </is>
      </c>
      <c r="H10" s="58" t="n">
        <v>200</v>
      </c>
      <c r="I10" s="43">
        <f>H10-SUM(J10:Q10)</f>
        <v/>
      </c>
      <c r="J10" s="43" t="n">
        <v>0.18</v>
      </c>
      <c r="K10" s="43" t="n">
        <v>0.89</v>
      </c>
      <c r="L10" s="43" t="n">
        <v>1.7</v>
      </c>
      <c r="M10" s="43" t="n">
        <v>36.28</v>
      </c>
      <c r="N10" s="43" t="n">
        <v>16.11</v>
      </c>
      <c r="O10" s="43" t="n">
        <v>5.86</v>
      </c>
      <c r="P10" s="43" t="n">
        <v>22.49</v>
      </c>
      <c r="Q10" s="43" t="n">
        <v>7.63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A182</t>
        </is>
      </c>
      <c r="H11" s="58" t="n">
        <v>100</v>
      </c>
      <c r="I11" s="43">
        <f>H11-SUM(J11:Q11)</f>
        <v/>
      </c>
      <c r="J11" s="43" t="n">
        <v>1.61</v>
      </c>
      <c r="K11" s="43" t="n">
        <v>0.97</v>
      </c>
      <c r="L11" s="43" t="n">
        <v>1.18</v>
      </c>
      <c r="M11" s="43" t="n">
        <v>10.49</v>
      </c>
      <c r="N11" s="43" t="n">
        <v>19.84</v>
      </c>
      <c r="O11" s="43" t="n">
        <v>10.96</v>
      </c>
      <c r="P11" s="43" t="n">
        <v>30.5</v>
      </c>
      <c r="Q11" s="43" t="n">
        <v>3.27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A056</t>
        </is>
      </c>
      <c r="H12" s="58" t="n">
        <v>100</v>
      </c>
      <c r="I12" s="43">
        <f>H12-SUM(J12:Q12)</f>
        <v/>
      </c>
      <c r="J12" s="43" t="n">
        <v>0.35</v>
      </c>
      <c r="K12" s="43" t="n">
        <v>0.93</v>
      </c>
      <c r="L12" s="43" t="n">
        <v>0.83</v>
      </c>
      <c r="M12" s="43" t="n">
        <v>14.77</v>
      </c>
      <c r="N12" s="43" t="n">
        <v>8.33</v>
      </c>
      <c r="O12" s="43" t="n">
        <v>2.28</v>
      </c>
      <c r="P12" s="43" t="n">
        <v>10.8</v>
      </c>
      <c r="Q12" s="43" t="n">
        <v>9.710000000000001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A188</t>
        </is>
      </c>
      <c r="H13" s="58" t="n">
        <v>100</v>
      </c>
      <c r="I13" s="43">
        <f>H13-SUM(J13:Q13)</f>
        <v/>
      </c>
      <c r="J13" s="43" t="n">
        <v>2.32</v>
      </c>
      <c r="K13" s="43" t="n">
        <v>48.69</v>
      </c>
      <c r="L13" s="43" t="n">
        <v>6.68</v>
      </c>
      <c r="M13" s="43" t="n">
        <v>8.65</v>
      </c>
      <c r="N13" s="43" t="n">
        <v>5.53</v>
      </c>
      <c r="O13" s="43" t="n">
        <v>3.25</v>
      </c>
      <c r="P13" s="43" t="n">
        <v>8.199999999999999</v>
      </c>
      <c r="Q13" s="43" t="n">
        <v>1.38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>
        <f>(0.000000002615*E5^4) - (0.00000030607*E5^3) + (0.000016427499*E5^2) - (0.000618546309*E5) + 0.017919182437</f>
        <v/>
      </c>
      <c r="G5" s="104" t="n"/>
      <c r="H5" s="35" t="n">
        <v>0.0005</v>
      </c>
      <c r="I5" s="35" t="n">
        <v>1</v>
      </c>
      <c r="J5" s="35" t="n">
        <v>2</v>
      </c>
      <c r="K5" s="36">
        <f>(E5-27)*0.25</f>
        <v/>
      </c>
      <c r="L5" s="35" t="n">
        <v>0.3</v>
      </c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2.68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4" t="n">
        <v>1.016</v>
      </c>
      <c r="N6" s="104" t="n">
        <v>1.015</v>
      </c>
      <c r="O6" s="104" t="n">
        <v>1.015</v>
      </c>
      <c r="P6" s="104" t="n">
        <v>1.014</v>
      </c>
      <c r="Q6" s="104" t="n">
        <v>1.014</v>
      </c>
      <c r="R6" s="104" t="n">
        <v>1.013</v>
      </c>
      <c r="S6" s="104" t="n">
        <v>1.012</v>
      </c>
      <c r="T6" s="104" t="n">
        <v>1.012</v>
      </c>
      <c r="U6" s="104" t="n">
        <v>1.011</v>
      </c>
      <c r="V6" s="104" t="n">
        <v>1.011</v>
      </c>
      <c r="W6" s="104" t="n">
        <v>1.01</v>
      </c>
      <c r="X6" s="104" t="n">
        <v>1.01</v>
      </c>
      <c r="Y6" s="104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2.7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1.017</v>
      </c>
      <c r="N7" s="104" t="n">
        <v>1.017</v>
      </c>
      <c r="O7" s="104" t="n">
        <v>1.016</v>
      </c>
      <c r="P7" s="104" t="n">
        <v>1.015</v>
      </c>
      <c r="Q7" s="104" t="n">
        <v>1.015</v>
      </c>
      <c r="R7" s="104" t="n">
        <v>1.014</v>
      </c>
      <c r="S7" s="104" t="n">
        <v>1.013</v>
      </c>
      <c r="T7" s="104" t="n">
        <v>1.013</v>
      </c>
      <c r="U7" s="104" t="n">
        <v>1.012</v>
      </c>
      <c r="V7" s="104" t="n">
        <v>1.011</v>
      </c>
      <c r="W7" s="104" t="n">
        <v>1.011</v>
      </c>
      <c r="X7" s="104" t="n">
        <v>1.011</v>
      </c>
      <c r="Y7" s="104" t="n">
        <v>1.011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2.66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4" t="n">
        <v>1.015</v>
      </c>
      <c r="N8" s="104" t="n">
        <v>1.015</v>
      </c>
      <c r="O8" s="104" t="n">
        <v>1.014</v>
      </c>
      <c r="P8" s="104" t="n">
        <v>1.014</v>
      </c>
      <c r="Q8" s="104" t="n">
        <v>1.013</v>
      </c>
      <c r="R8" s="104" t="n">
        <v>1.013</v>
      </c>
      <c r="S8" s="104" t="n">
        <v>1.012</v>
      </c>
      <c r="T8" s="104" t="n">
        <v>1.012</v>
      </c>
      <c r="U8" s="104" t="n">
        <v>1.011</v>
      </c>
      <c r="V8" s="104" t="n">
        <v>1.01</v>
      </c>
      <c r="W8" s="104" t="n">
        <v>1.01</v>
      </c>
      <c r="X8" s="104" t="n">
        <v>1.009</v>
      </c>
      <c r="Y8" s="104" t="n">
        <v>1.009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1</v>
      </c>
      <c r="J10" s="35" t="n">
        <v>1</v>
      </c>
      <c r="K10" s="36" t="n">
        <v>0</v>
      </c>
      <c r="L10" s="35" t="n">
        <v>0.3</v>
      </c>
      <c r="M10" s="104" t="n">
        <v>1.017</v>
      </c>
      <c r="N10" s="104" t="n">
        <v>1.016</v>
      </c>
      <c r="O10" s="104" t="n">
        <v>1.016</v>
      </c>
      <c r="P10" s="104" t="n">
        <v>1.015</v>
      </c>
      <c r="Q10" s="104" t="n">
        <v>1.015</v>
      </c>
      <c r="R10" s="104" t="n">
        <v>1.014</v>
      </c>
      <c r="S10" s="104" t="n">
        <v>1.013</v>
      </c>
      <c r="T10" s="104" t="n">
        <v>1.013</v>
      </c>
      <c r="U10" s="104" t="n">
        <v>1.012</v>
      </c>
      <c r="V10" s="104" t="n">
        <v>1.011</v>
      </c>
      <c r="W10" s="104" t="n">
        <v>1.01</v>
      </c>
      <c r="X10" s="104" t="n">
        <v>1.01</v>
      </c>
      <c r="Y10" s="104" t="n">
        <v>1.01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>
        <f>(0.000000002615*E11^4) - (0.00000030607*E11^3) + (0.000016427499*E11^2) - (0.000618546309*E11) + 0.017919182437</f>
        <v/>
      </c>
      <c r="G11" s="104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2.68</v>
      </c>
      <c r="H12" s="35" t="n">
        <v>0.0005</v>
      </c>
      <c r="I12" s="35" t="n">
        <v>1</v>
      </c>
      <c r="J12" s="35" t="n">
        <v>2</v>
      </c>
      <c r="K12" s="36" t="n">
        <v>0</v>
      </c>
      <c r="L12" s="35" t="n">
        <v>0.3</v>
      </c>
      <c r="M12" s="104" t="n">
        <v>1.016</v>
      </c>
      <c r="N12" s="104" t="n">
        <v>1.016</v>
      </c>
      <c r="O12" s="104" t="n">
        <v>1.015</v>
      </c>
      <c r="P12" s="104" t="n">
        <v>1.014</v>
      </c>
      <c r="Q12" s="104" t="n">
        <v>1.013</v>
      </c>
      <c r="R12" s="104" t="n">
        <v>1.012</v>
      </c>
      <c r="S12" s="104" t="n">
        <v>1.011</v>
      </c>
      <c r="T12" s="104" t="n">
        <v>1.01</v>
      </c>
      <c r="U12" s="104" t="n">
        <v>1.009</v>
      </c>
      <c r="V12" s="104" t="n">
        <v>1.008</v>
      </c>
      <c r="W12" s="104" t="n">
        <v>1.007</v>
      </c>
      <c r="X12" s="104" t="n">
        <v>1.007</v>
      </c>
      <c r="Y12" s="104" t="n">
        <v>1.007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A1" zoomScale="130" zoomScaleNormal="130" workbookViewId="0">
      <selection activeCell="AJ20" sqref="AJ20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2026-09-19T05:57:58Z</dcterms:modified>
  <cp:lastModifiedBy>Goma EC</cp:lastModifiedBy>
</cp:coreProperties>
</file>