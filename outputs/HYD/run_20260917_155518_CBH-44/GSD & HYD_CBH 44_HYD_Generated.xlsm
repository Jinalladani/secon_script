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99.36</v>
                </pt>
                <pt idx="2">
                  <v>99.03</v>
                </pt>
                <pt idx="3">
                  <v>96.63</v>
                </pt>
                <pt idx="4">
                  <v>87.98</v>
                </pt>
                <pt idx="5">
                  <v>83.75</v>
                </pt>
                <pt idx="6">
                  <v>69.53999999999999</v>
                </pt>
                <pt idx="7">
                  <v>53.12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98.215</v>
                </pt>
                <pt idx="1">
                  <v>96.17</v>
                </pt>
                <pt idx="2">
                  <v>94.61</v>
                </pt>
                <pt idx="3">
                  <v>78.145</v>
                </pt>
                <pt idx="4">
                  <v>73.28999999999999</v>
                </pt>
                <pt idx="5">
                  <v>66.395</v>
                </pt>
                <pt idx="6">
                  <v>51</v>
                </pt>
                <pt idx="7">
                  <v>37.26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79.28</v>
                </pt>
                <pt idx="1">
                  <v>76.92</v>
                </pt>
                <pt idx="2">
                  <v>75.25</v>
                </pt>
                <pt idx="3">
                  <v>73.5</v>
                </pt>
                <pt idx="4">
                  <v>72.3</v>
                </pt>
                <pt idx="5">
                  <v>68.94</v>
                </pt>
                <pt idx="6">
                  <v>57.60000000000001</v>
                </pt>
                <pt idx="7">
                  <v>41.95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98.325</v>
                </pt>
                <pt idx="1">
                  <v>97.575</v>
                </pt>
                <pt idx="2">
                  <v>97.05</v>
                </pt>
                <pt idx="3">
                  <v>84.605</v>
                </pt>
                <pt idx="4">
                  <v>80.015</v>
                </pt>
                <pt idx="5">
                  <v>73.16499999999999</v>
                </pt>
                <pt idx="6">
                  <v>60.645</v>
                </pt>
                <pt idx="7">
                  <v>44.44499999999999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96.19</v>
                </pt>
                <pt idx="1">
                  <v>93.92</v>
                </pt>
                <pt idx="2">
                  <v>92.41</v>
                </pt>
                <pt idx="3">
                  <v>90.2</v>
                </pt>
                <pt idx="4">
                  <v>86.95</v>
                </pt>
                <pt idx="5">
                  <v>72.7</v>
                </pt>
                <pt idx="6">
                  <v>50.08000000000001</v>
                </pt>
                <pt idx="7">
                  <v>24.68000000000001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89.015</v>
                </pt>
                <pt idx="1">
                  <v>85.38500000000001</v>
                </pt>
                <pt idx="2">
                  <v>84.78</v>
                </pt>
                <pt idx="3">
                  <v>83.825</v>
                </pt>
                <pt idx="4">
                  <v>80.79000000000001</v>
                </pt>
                <pt idx="5">
                  <v>77.02500000000001</v>
                </pt>
                <pt idx="6">
                  <v>59.61</v>
                </pt>
                <pt idx="7">
                  <v>43.74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91.76000000000001</v>
                </pt>
                <pt idx="1">
                  <v>88.56999999999999</v>
                </pt>
                <pt idx="2">
                  <v>87.19499999999999</v>
                </pt>
                <pt idx="3">
                  <v>86.66500000000001</v>
                </pt>
                <pt idx="4">
                  <v>86.355</v>
                </pt>
                <pt idx="5">
                  <v>84.985</v>
                </pt>
                <pt idx="6">
                  <v>71.675</v>
                </pt>
                <pt idx="7">
                  <v>64.06999999999999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86.31999999999999</v>
                </pt>
                <pt idx="1">
                  <v>83.34</v>
                </pt>
                <pt idx="2">
                  <v>82.27</v>
                </pt>
                <pt idx="3">
                  <v>81.71000000000001</v>
                </pt>
                <pt idx="4">
                  <v>81.43000000000001</v>
                </pt>
                <pt idx="5">
                  <v>80.05</v>
                </pt>
                <pt idx="6">
                  <v>48.05</v>
                </pt>
                <pt idx="7">
                  <v>29.72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97.08</v>
                </pt>
                <pt idx="1">
                  <v>94.81999999999999</v>
                </pt>
                <pt idx="2">
                  <v>92.86</v>
                </pt>
                <pt idx="3">
                  <v>92.27</v>
                </pt>
                <pt idx="4">
                  <v>92.09999999999999</v>
                </pt>
                <pt idx="5">
                  <v>90.37</v>
                </pt>
                <pt idx="6">
                  <v>47.38</v>
                </pt>
                <pt idx="7">
                  <v>28.55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99.36</v>
                </pt>
                <pt idx="2">
                  <v>99.03</v>
                </pt>
                <pt idx="3">
                  <v>96.63</v>
                </pt>
                <pt idx="4">
                  <v>87.98</v>
                </pt>
                <pt idx="5">
                  <v>83.75</v>
                </pt>
                <pt idx="6">
                  <v>69.53999999999999</v>
                </pt>
                <pt idx="7">
                  <v>53.12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98.215</v>
                </pt>
                <pt idx="1">
                  <v>96.17</v>
                </pt>
                <pt idx="2">
                  <v>94.61</v>
                </pt>
                <pt idx="3">
                  <v>78.145</v>
                </pt>
                <pt idx="4">
                  <v>73.28999999999999</v>
                </pt>
                <pt idx="5">
                  <v>66.395</v>
                </pt>
                <pt idx="6">
                  <v>51</v>
                </pt>
                <pt idx="7">
                  <v>37.26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79.28</v>
                </pt>
                <pt idx="1">
                  <v>76.92</v>
                </pt>
                <pt idx="2">
                  <v>75.25</v>
                </pt>
                <pt idx="3">
                  <v>73.5</v>
                </pt>
                <pt idx="4">
                  <v>72.3</v>
                </pt>
                <pt idx="5">
                  <v>68.94</v>
                </pt>
                <pt idx="6">
                  <v>57.60000000000001</v>
                </pt>
                <pt idx="7">
                  <v>41.95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0.06885760947635967</v>
                </pt>
                <pt idx="9">
                  <formatCode>0.00000</formatCode>
                  <v>0.04868968259702901</v>
                </pt>
                <pt idx="10">
                  <formatCode>0.00000</formatCode>
                  <v>0.0347893256137829</v>
                </pt>
                <pt idx="11">
                  <formatCode>0.00000</formatCode>
                  <v>0.02459976805441274</v>
                </pt>
                <pt idx="12">
                  <formatCode>0.00000</formatCode>
                  <v>0.01815401972636956</v>
                </pt>
                <pt idx="13">
                  <formatCode>0.00000</formatCode>
                  <v>0.01325782148470183</v>
                </pt>
                <pt idx="14">
                  <formatCode>0.00000</formatCode>
                  <v>0.009374695475593364</v>
                </pt>
                <pt idx="15">
                  <formatCode>0.00000</formatCode>
                  <v>0.006628910742350914</v>
                </pt>
                <pt idx="16">
                  <formatCode>0.00000</formatCode>
                  <v>0.004731504887213937</v>
                </pt>
                <pt idx="17">
                  <formatCode>0.00000</formatCode>
                  <v>0.003345679190966266</v>
                </pt>
                <pt idx="18">
                  <formatCode>0.00000</formatCode>
                  <v>0.002365752443606968</v>
                </pt>
                <pt idx="19">
                  <formatCode>0.00000</formatCode>
                  <v>0.001688307146982999</v>
                </pt>
                <pt idx="20">
                  <formatCode>0.00000</formatCode>
                  <v>0.001378497013067462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98.325</v>
                </pt>
                <pt idx="1">
                  <v>97.575</v>
                </pt>
                <pt idx="2">
                  <v>97.05</v>
                </pt>
                <pt idx="3">
                  <v>84.605</v>
                </pt>
                <pt idx="4">
                  <v>80.015</v>
                </pt>
                <pt idx="5">
                  <v>73.16499999999999</v>
                </pt>
                <pt idx="6">
                  <v>60.645</v>
                </pt>
                <pt idx="7">
                  <v>44.44499999999999</v>
                </pt>
                <pt idx="8">
                  <v>21.58231868131834</v>
                </pt>
                <pt idx="9">
                  <v>21.58231868131834</v>
                </pt>
                <pt idx="10">
                  <v>18.36131746031748</v>
                </pt>
                <pt idx="11">
                  <v>18.36131746031748</v>
                </pt>
                <pt idx="12">
                  <v>18.36131746031748</v>
                </pt>
                <pt idx="13">
                  <v>18.36131746031748</v>
                </pt>
                <pt idx="14">
                  <v>18.36131746031748</v>
                </pt>
                <pt idx="15">
                  <v>18.36131746031748</v>
                </pt>
                <pt idx="16">
                  <v>15.1403162393159</v>
                </pt>
                <pt idx="17">
                  <v>15.1403162393159</v>
                </pt>
                <pt idx="18">
                  <v>15.1403162393159</v>
                </pt>
                <pt idx="19">
                  <v>11.91931501831503</v>
                </pt>
                <pt idx="20">
                  <v>11.91931501831503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96.19</v>
                </pt>
                <pt idx="1">
                  <v>93.92</v>
                </pt>
                <pt idx="2">
                  <v>92.41</v>
                </pt>
                <pt idx="3">
                  <v>90.2</v>
                </pt>
                <pt idx="4">
                  <v>86.95</v>
                </pt>
                <pt idx="5">
                  <v>72.7</v>
                </pt>
                <pt idx="6">
                  <v>50.08000000000001</v>
                </pt>
                <pt idx="7">
                  <v>24.68000000000001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89.015</v>
                </pt>
                <pt idx="1">
                  <v>85.38500000000001</v>
                </pt>
                <pt idx="2">
                  <v>84.78</v>
                </pt>
                <pt idx="3">
                  <v>83.825</v>
                </pt>
                <pt idx="4">
                  <v>80.79000000000001</v>
                </pt>
                <pt idx="5">
                  <v>77.02500000000001</v>
                </pt>
                <pt idx="6">
                  <v>59.61</v>
                </pt>
                <pt idx="7">
                  <v>43.74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91.76000000000001</v>
                </pt>
                <pt idx="1">
                  <v>88.56999999999999</v>
                </pt>
                <pt idx="2">
                  <v>87.19499999999999</v>
                </pt>
                <pt idx="3">
                  <v>86.66500000000001</v>
                </pt>
                <pt idx="4">
                  <v>86.355</v>
                </pt>
                <pt idx="5">
                  <v>84.985</v>
                </pt>
                <pt idx="6">
                  <v>71.675</v>
                </pt>
                <pt idx="7">
                  <v>64.06999999999999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86.31999999999999</v>
                </pt>
                <pt idx="1">
                  <v>83.34</v>
                </pt>
                <pt idx="2">
                  <v>82.27</v>
                </pt>
                <pt idx="3">
                  <v>81.71000000000001</v>
                </pt>
                <pt idx="4">
                  <v>81.43000000000001</v>
                </pt>
                <pt idx="5">
                  <v>80.05</v>
                </pt>
                <pt idx="6">
                  <v>48.05</v>
                </pt>
                <pt idx="7">
                  <v>29.72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97.08</v>
                </pt>
                <pt idx="1">
                  <v>94.81999999999999</v>
                </pt>
                <pt idx="2">
                  <v>92.86</v>
                </pt>
                <pt idx="3">
                  <v>92.27</v>
                </pt>
                <pt idx="4">
                  <v>92.09999999999999</v>
                </pt>
                <pt idx="5">
                  <v>90.37</v>
                </pt>
                <pt idx="6">
                  <v>47.38</v>
                </pt>
                <pt idx="7">
                  <v>28.55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A2" zoomScale="130" zoomScaleNormal="85" zoomScaleSheetLayoutView="130" zoomScalePageLayoutView="85" workbookViewId="0">
      <selection activeCell="R8" sqref="R8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CBH-44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A163</t>
        </is>
      </c>
      <c r="H5" s="58" t="n">
        <v>100</v>
      </c>
      <c r="I5" s="44">
        <f>H5-SUM(J5:Q5)</f>
        <v/>
      </c>
      <c r="J5" s="44" t="n">
        <v>0</v>
      </c>
      <c r="K5" s="44" t="n">
        <v>0.64</v>
      </c>
      <c r="L5" s="44" t="n">
        <v>0.33</v>
      </c>
      <c r="M5" s="44" t="n">
        <v>2.4</v>
      </c>
      <c r="N5" s="44" t="n">
        <v>8.65</v>
      </c>
      <c r="O5" s="44" t="n">
        <v>4.23</v>
      </c>
      <c r="P5" s="44" t="n">
        <v>14.21</v>
      </c>
      <c r="Q5" s="44" t="n">
        <v>16.42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A150</t>
        </is>
      </c>
      <c r="H6" s="58" t="n">
        <v>200</v>
      </c>
      <c r="I6" s="44">
        <f>H6-SUM(J6:Q6)</f>
        <v/>
      </c>
      <c r="J6" s="44" t="n">
        <v>3.57</v>
      </c>
      <c r="K6" s="44" t="n">
        <v>4.09</v>
      </c>
      <c r="L6" s="44" t="n">
        <v>3.12</v>
      </c>
      <c r="M6" s="44" t="n">
        <v>32.93</v>
      </c>
      <c r="N6" s="44" t="n">
        <v>9.710000000000001</v>
      </c>
      <c r="O6" s="44" t="n">
        <v>13.79</v>
      </c>
      <c r="P6" s="44" t="n">
        <v>30.79</v>
      </c>
      <c r="Q6" s="44" t="n">
        <v>27.48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A060</t>
        </is>
      </c>
      <c r="H7" s="58" t="n">
        <v>100</v>
      </c>
      <c r="I7" s="44">
        <f>H7-SUM(J7:Q7)</f>
        <v/>
      </c>
      <c r="J7" s="44" t="n">
        <v>20.72</v>
      </c>
      <c r="K7" s="44" t="n">
        <v>2.36</v>
      </c>
      <c r="L7" s="44" t="n">
        <v>1.67</v>
      </c>
      <c r="M7" s="44" t="n">
        <v>1.75</v>
      </c>
      <c r="N7" s="44" t="n">
        <v>1.2</v>
      </c>
      <c r="O7" s="44" t="n">
        <v>3.36</v>
      </c>
      <c r="P7" s="44" t="n">
        <v>11.34</v>
      </c>
      <c r="Q7" s="44" t="n">
        <v>15.65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A133</t>
        </is>
      </c>
      <c r="H8" s="58" t="n">
        <v>200</v>
      </c>
      <c r="I8" s="44">
        <f>H8-SUM(J8:Q8)</f>
        <v/>
      </c>
      <c r="J8" s="44" t="n">
        <v>3.35</v>
      </c>
      <c r="K8" s="44" t="n">
        <v>1.5</v>
      </c>
      <c r="L8" s="44" t="n">
        <v>1.05</v>
      </c>
      <c r="M8" s="44" t="n">
        <v>24.89</v>
      </c>
      <c r="N8" s="44" t="n">
        <v>9.18</v>
      </c>
      <c r="O8" s="44" t="n">
        <v>13.7</v>
      </c>
      <c r="P8" s="44" t="n">
        <v>25.04</v>
      </c>
      <c r="Q8" s="44" t="n">
        <v>32.4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A029</t>
        </is>
      </c>
      <c r="H9" s="58" t="n">
        <v>100</v>
      </c>
      <c r="I9" s="44">
        <f>H9-SUM(J9:Q9)</f>
        <v/>
      </c>
      <c r="J9" s="44" t="n">
        <v>3.81</v>
      </c>
      <c r="K9" s="44" t="n">
        <v>2.27</v>
      </c>
      <c r="L9" s="44" t="n">
        <v>1.51</v>
      </c>
      <c r="M9" s="44" t="n">
        <v>2.21</v>
      </c>
      <c r="N9" s="44" t="n">
        <v>3.25</v>
      </c>
      <c r="O9" s="44" t="n">
        <v>14.25</v>
      </c>
      <c r="P9" s="44" t="n">
        <v>22.62</v>
      </c>
      <c r="Q9" s="44" t="n">
        <v>25.4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UDS</t>
        </is>
      </c>
      <c r="F10" s="44" t="n">
        <v>7.5</v>
      </c>
      <c r="G10" s="48" t="inlineStr">
        <is>
          <t>A103</t>
        </is>
      </c>
      <c r="H10" s="58" t="n">
        <v>200</v>
      </c>
      <c r="I10" s="44">
        <f>H10-SUM(J10:Q10)</f>
        <v/>
      </c>
      <c r="J10" s="44" t="n">
        <v>21.97</v>
      </c>
      <c r="K10" s="44" t="n">
        <v>7.26</v>
      </c>
      <c r="L10" s="44" t="n">
        <v>1.21</v>
      </c>
      <c r="M10" s="44" t="n">
        <v>1.91</v>
      </c>
      <c r="N10" s="44" t="n">
        <v>6.07</v>
      </c>
      <c r="O10" s="44" t="n">
        <v>7.53</v>
      </c>
      <c r="P10" s="44" t="n">
        <v>34.83</v>
      </c>
      <c r="Q10" s="44" t="n">
        <v>31.74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8" t="inlineStr">
        <is>
          <t>UDS</t>
        </is>
      </c>
      <c r="F11" s="44" t="n">
        <v>10.5</v>
      </c>
      <c r="G11" s="48" t="inlineStr">
        <is>
          <t>A144</t>
        </is>
      </c>
      <c r="H11" s="58" t="n">
        <v>200</v>
      </c>
      <c r="I11" s="44">
        <f>H11-SUM(J11:Q11)</f>
        <v/>
      </c>
      <c r="J11" s="44" t="n">
        <v>16.48</v>
      </c>
      <c r="K11" s="44" t="n">
        <v>6.38</v>
      </c>
      <c r="L11" s="44" t="n">
        <v>2.75</v>
      </c>
      <c r="M11" s="44" t="n">
        <v>1.06</v>
      </c>
      <c r="N11" s="44" t="n">
        <v>0.62</v>
      </c>
      <c r="O11" s="44" t="n">
        <v>2.74</v>
      </c>
      <c r="P11" s="44" t="n">
        <v>26.62</v>
      </c>
      <c r="Q11" s="44" t="n">
        <v>15.21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8" t="inlineStr">
        <is>
          <t>SPT</t>
        </is>
      </c>
      <c r="F12" s="44" t="n">
        <v>13.5</v>
      </c>
      <c r="G12" s="48" t="inlineStr">
        <is>
          <t>A129</t>
        </is>
      </c>
      <c r="H12" s="58" t="n">
        <v>100</v>
      </c>
      <c r="I12" s="44">
        <f>H12-SUM(J12:Q12)</f>
        <v/>
      </c>
      <c r="J12" s="44" t="n">
        <v>13.68</v>
      </c>
      <c r="K12" s="44" t="n">
        <v>2.98</v>
      </c>
      <c r="L12" s="44" t="n">
        <v>1.07</v>
      </c>
      <c r="M12" s="44" t="n">
        <v>0.5600000000000001</v>
      </c>
      <c r="N12" s="44" t="n">
        <v>0.28</v>
      </c>
      <c r="O12" s="44" t="n">
        <v>1.38</v>
      </c>
      <c r="P12" s="44" t="n">
        <v>32</v>
      </c>
      <c r="Q12" s="44" t="n">
        <v>18.33</v>
      </c>
      <c r="R12" s="45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8" t="inlineStr">
        <is>
          <t>SPT</t>
        </is>
      </c>
      <c r="F13" s="44" t="n">
        <v>15</v>
      </c>
      <c r="G13" s="48" t="inlineStr">
        <is>
          <t>A033</t>
        </is>
      </c>
      <c r="H13" s="58" t="n">
        <v>100</v>
      </c>
      <c r="I13" s="44">
        <f>H13-SUM(J13:Q13)</f>
        <v/>
      </c>
      <c r="J13" s="44" t="n">
        <v>2.92</v>
      </c>
      <c r="K13" s="44" t="n">
        <v>2.26</v>
      </c>
      <c r="L13" s="44" t="n">
        <v>1.96</v>
      </c>
      <c r="M13" s="44" t="n">
        <v>0.59</v>
      </c>
      <c r="N13" s="44" t="n">
        <v>0.17</v>
      </c>
      <c r="O13" s="44" t="n">
        <v>1.73</v>
      </c>
      <c r="P13" s="44" t="n">
        <v>42.99</v>
      </c>
      <c r="Q13" s="44" t="n">
        <v>18.83</v>
      </c>
      <c r="R13" s="45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J1" zoomScale="145" zoomScaleNormal="145" zoomScaleSheetLayoutView="145" workbookViewId="0">
      <selection activeCell="AR7" sqref="AR7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2.65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4" t="n">
        <v>1.017</v>
      </c>
      <c r="N5" s="104" t="n">
        <v>1.017</v>
      </c>
      <c r="O5" s="104" t="n">
        <v>1.016</v>
      </c>
      <c r="P5" s="104" t="n">
        <v>1.016</v>
      </c>
      <c r="Q5" s="104" t="n">
        <v>1.015</v>
      </c>
      <c r="R5" s="104" t="n">
        <v>1.015</v>
      </c>
      <c r="S5" s="104" t="n">
        <v>1.014</v>
      </c>
      <c r="T5" s="104" t="n">
        <v>1.013</v>
      </c>
      <c r="U5" s="104" t="n">
        <v>1.012</v>
      </c>
      <c r="V5" s="104" t="n">
        <v>1.011</v>
      </c>
      <c r="W5" s="104" t="n">
        <v>1.01</v>
      </c>
      <c r="X5" s="104" t="n">
        <v>1.01</v>
      </c>
      <c r="Y5" s="104" t="n">
        <v>1.01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2.67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4" t="n">
        <v>1.012</v>
      </c>
      <c r="N6" s="104" t="n">
        <v>1.012</v>
      </c>
      <c r="O6" s="104" t="n">
        <v>1.012</v>
      </c>
      <c r="P6" s="104" t="n">
        <v>1.011</v>
      </c>
      <c r="Q6" s="104" t="n">
        <v>1.011</v>
      </c>
      <c r="R6" s="104" t="n">
        <v>1.011</v>
      </c>
      <c r="S6" s="104" t="n">
        <v>1.011</v>
      </c>
      <c r="T6" s="104" t="n">
        <v>1.01</v>
      </c>
      <c r="U6" s="104" t="n">
        <v>1.01</v>
      </c>
      <c r="V6" s="104" t="n">
        <v>1.009</v>
      </c>
      <c r="W6" s="104" t="n">
        <v>1.009</v>
      </c>
      <c r="X6" s="104" t="n">
        <v>1.009</v>
      </c>
      <c r="Y6" s="104" t="n">
        <v>1.009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2.64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4" t="n">
        <v>1.013</v>
      </c>
      <c r="N7" s="104" t="n">
        <v>1.013</v>
      </c>
      <c r="O7" s="104" t="n">
        <v>1.012</v>
      </c>
      <c r="P7" s="104" t="n">
        <v>1.011</v>
      </c>
      <c r="Q7" s="104" t="n">
        <v>1.011</v>
      </c>
      <c r="R7" s="104" t="n">
        <v>1.01</v>
      </c>
      <c r="S7" s="104" t="n">
        <v>1.009</v>
      </c>
      <c r="T7" s="104" t="n">
        <v>1.008</v>
      </c>
      <c r="U7" s="104" t="n">
        <v>1.008</v>
      </c>
      <c r="V7" s="104" t="n">
        <v>1.007</v>
      </c>
      <c r="W7" s="104" t="n">
        <v>1.006</v>
      </c>
      <c r="X7" s="104" t="n">
        <v>1.006</v>
      </c>
      <c r="Y7" s="104" t="n">
        <v>1.006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2.66</v>
      </c>
      <c r="H8" s="35" t="n">
        <v>0.0005</v>
      </c>
      <c r="I8" s="35" t="n">
        <v>1</v>
      </c>
      <c r="J8" s="35" t="n">
        <v>1</v>
      </c>
      <c r="K8" s="36" t="n">
        <v>0</v>
      </c>
      <c r="L8" s="35" t="n">
        <v>0.3</v>
      </c>
      <c r="M8" s="104" t="n">
        <v>1.014</v>
      </c>
      <c r="N8" s="104" t="n">
        <v>1.013</v>
      </c>
      <c r="O8" s="104" t="n">
        <v>1.013</v>
      </c>
      <c r="P8" s="104" t="n">
        <v>1.012</v>
      </c>
      <c r="Q8" s="104" t="n">
        <v>1.011</v>
      </c>
      <c r="R8" s="104" t="n">
        <v>1.011</v>
      </c>
      <c r="S8" s="104" t="n">
        <v>1.01</v>
      </c>
      <c r="T8" s="104" t="n">
        <v>1.009</v>
      </c>
      <c r="U8" s="104" t="n">
        <v>1.008</v>
      </c>
      <c r="V8" s="104" t="n">
        <v>1.007</v>
      </c>
      <c r="W8" s="104" t="n">
        <v>1.006</v>
      </c>
      <c r="X8" s="104" t="n">
        <v>1.006</v>
      </c>
      <c r="Y8" s="104" t="n">
        <v>1.006</v>
      </c>
      <c r="Z8" s="31" t="n">
        <v>0.06885760947635967</v>
      </c>
      <c r="AA8" s="31" t="n">
        <v>0.04868968259702901</v>
      </c>
      <c r="AB8" s="31" t="n">
        <v>0.0347893256137829</v>
      </c>
      <c r="AC8" s="31" t="n">
        <v>0.02459976805441274</v>
      </c>
      <c r="AD8" s="31" t="n">
        <v>0.01815401972636956</v>
      </c>
      <c r="AE8" s="31" t="n">
        <v>0.01325782148470183</v>
      </c>
      <c r="AF8" s="31" t="n">
        <v>0.009374695475593364</v>
      </c>
      <c r="AG8" s="31" t="n">
        <v>0.006628910742350914</v>
      </c>
      <c r="AH8" s="31" t="n">
        <v>0.004731504887213937</v>
      </c>
      <c r="AI8" s="31" t="n">
        <v>0.003345679190966266</v>
      </c>
      <c r="AJ8" s="31" t="n">
        <v>0.002365752443606968</v>
      </c>
      <c r="AK8" s="31" t="n">
        <v>0.001688307146982999</v>
      </c>
      <c r="AL8" s="31" t="n">
        <v>0.001378497013067462</v>
      </c>
      <c r="AM8" s="32" t="n">
        <v>21.58231868131834</v>
      </c>
      <c r="AN8" s="32" t="n">
        <v>21.58231868131834</v>
      </c>
      <c r="AO8" s="32" t="n">
        <v>18.36131746031748</v>
      </c>
      <c r="AP8" s="32" t="n">
        <v>18.36131746031748</v>
      </c>
      <c r="AQ8" s="32" t="n">
        <v>18.36131746031748</v>
      </c>
      <c r="AR8" s="32" t="n">
        <v>18.36131746031748</v>
      </c>
      <c r="AS8" s="32" t="n">
        <v>18.36131746031748</v>
      </c>
      <c r="AT8" s="32" t="n">
        <v>18.36131746031748</v>
      </c>
      <c r="AU8" s="32" t="n">
        <v>15.1403162393159</v>
      </c>
      <c r="AV8" s="32" t="n">
        <v>15.1403162393159</v>
      </c>
      <c r="AW8" s="32" t="n">
        <v>15.1403162393159</v>
      </c>
      <c r="AX8" s="32" t="n">
        <v>11.91931501831503</v>
      </c>
      <c r="AY8" s="32" t="n">
        <v>11.91931501831503</v>
      </c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2.67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4" t="n">
        <v>1.014</v>
      </c>
      <c r="N10" s="104" t="n">
        <v>1.013</v>
      </c>
      <c r="O10" s="104" t="n">
        <v>1.013</v>
      </c>
      <c r="P10" s="104" t="n">
        <v>1.012</v>
      </c>
      <c r="Q10" s="104" t="n">
        <v>1.011</v>
      </c>
      <c r="R10" s="104" t="n">
        <v>1.01</v>
      </c>
      <c r="S10" s="104" t="n">
        <v>1.01</v>
      </c>
      <c r="T10" s="104" t="n">
        <v>1.009</v>
      </c>
      <c r="U10" s="104" t="n">
        <v>1.008</v>
      </c>
      <c r="V10" s="104" t="n">
        <v>1.007</v>
      </c>
      <c r="W10" s="104" t="n">
        <v>1.006</v>
      </c>
      <c r="X10" s="104" t="n">
        <v>1.006</v>
      </c>
      <c r="Y10" s="104" t="n">
        <v>1.006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2.66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1.02</v>
      </c>
      <c r="N11" s="104" t="n">
        <v>1.019</v>
      </c>
      <c r="O11" s="104" t="n">
        <v>1.018</v>
      </c>
      <c r="P11" s="104" t="n">
        <v>1.017</v>
      </c>
      <c r="Q11" s="104" t="n">
        <v>1.016</v>
      </c>
      <c r="R11" s="104" t="n">
        <v>1.014</v>
      </c>
      <c r="S11" s="104" t="n">
        <v>1.013</v>
      </c>
      <c r="T11" s="104" t="n">
        <v>1.012</v>
      </c>
      <c r="U11" s="104" t="n">
        <v>1.011</v>
      </c>
      <c r="V11" s="104" t="n">
        <v>1.009</v>
      </c>
      <c r="W11" s="104" t="n">
        <v>1.008</v>
      </c>
      <c r="X11" s="104" t="n">
        <v>1.007</v>
      </c>
      <c r="Y11" s="104" t="n">
        <v>1.007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>
        <f>(0.000000002615*E12^4) - (0.00000030607*E12^3) + (0.000016427499*E12^2) - (0.000618546309*E12) + 0.017919182437</f>
        <v/>
      </c>
      <c r="G12" s="104" t="n"/>
      <c r="H12" s="35" t="n">
        <v>0.0005</v>
      </c>
      <c r="I12" s="35" t="n">
        <v>1</v>
      </c>
      <c r="J12" s="35" t="n">
        <v>2</v>
      </c>
      <c r="K12" s="36">
        <f>(E12-27)*0.25</f>
        <v/>
      </c>
      <c r="L12" s="35" t="n">
        <v>0.3</v>
      </c>
      <c r="M12" s="104" t="n"/>
      <c r="N12" s="104" t="n"/>
      <c r="O12" s="104" t="n"/>
      <c r="P12" s="104" t="n"/>
      <c r="Q12" s="104" t="n"/>
      <c r="R12" s="104" t="n"/>
      <c r="S12" s="104" t="n"/>
      <c r="T12" s="104" t="n"/>
      <c r="U12" s="104" t="n"/>
      <c r="V12" s="104" t="n"/>
      <c r="W12" s="104" t="n"/>
      <c r="X12" s="104" t="n"/>
      <c r="Y12" s="104" t="n"/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H1" zoomScale="130" zoomScaleNormal="130" workbookViewId="0">
      <selection activeCell="AR20" sqref="AR20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>
        <v>0</v>
      </c>
      <c r="AU3" s="53" t="n">
        <v>46.88</v>
      </c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>
        <v>1.784999999999997</v>
      </c>
      <c r="AU4" s="53" t="n">
        <v>60.95500000000001</v>
      </c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>
        <v>20.72</v>
      </c>
      <c r="AU5" s="53" t="n">
        <v>37.33</v>
      </c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>
        <v>1.674999999999997</v>
      </c>
      <c r="AU6" s="53" t="n">
        <v>53.88000000000001</v>
      </c>
      <c r="AV6" s="53" t="n">
        <v>30.90815800203804</v>
      </c>
      <c r="AW6" s="53" t="n">
        <v>13.53684199796196</v>
      </c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>
        <v>3.810000000000002</v>
      </c>
      <c r="AU7" s="53" t="n">
        <v>71.50999999999999</v>
      </c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>
        <v>10.985</v>
      </c>
      <c r="AU8" s="53" t="n">
        <v>45.275</v>
      </c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>
        <v>8.239999999999995</v>
      </c>
      <c r="AU9" s="55" t="n">
        <v>27.69000000000001</v>
      </c>
      <c r="AV9" s="55" t="n"/>
      <c r="AW9" s="55" t="n"/>
    </row>
    <row r="10" s="41">
      <c r="A10" s="54" t="n">
        <v>8</v>
      </c>
      <c r="B10" s="54">
        <f>B9</f>
        <v/>
      </c>
      <c r="C10" s="50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3">
        <f>GSD!S12</f>
        <v/>
      </c>
      <c r="Z10" s="53">
        <f>GSD!T12</f>
        <v/>
      </c>
      <c r="AA10" s="53">
        <f>GSD!U12</f>
        <v/>
      </c>
      <c r="AB10" s="53">
        <f>GSD!V12</f>
        <v/>
      </c>
      <c r="AC10" s="53">
        <f>GSD!W12</f>
        <v/>
      </c>
      <c r="AD10" s="53">
        <f>GSD!X12</f>
        <v/>
      </c>
      <c r="AE10" s="53">
        <f>GSD!Y12</f>
        <v/>
      </c>
      <c r="AF10" s="53">
        <f>GSD!Z12</f>
        <v/>
      </c>
      <c r="AG10" s="53">
        <f>HYD!AM12</f>
        <v/>
      </c>
      <c r="AH10" s="53">
        <f>HYD!AN12</f>
        <v/>
      </c>
      <c r="AI10" s="53">
        <f>HYD!AO12</f>
        <v/>
      </c>
      <c r="AJ10" s="53">
        <f>HYD!AP12</f>
        <v/>
      </c>
      <c r="AK10" s="53">
        <f>HYD!AQ12</f>
        <v/>
      </c>
      <c r="AL10" s="53">
        <f>HYD!AR12</f>
        <v/>
      </c>
      <c r="AM10" s="53">
        <f>HYD!AS12</f>
        <v/>
      </c>
      <c r="AN10" s="53">
        <f>HYD!AT12</f>
        <v/>
      </c>
      <c r="AO10" s="53">
        <f>HYD!AU12</f>
        <v/>
      </c>
      <c r="AP10" s="53">
        <f>HYD!AV12</f>
        <v/>
      </c>
      <c r="AQ10" s="53">
        <f>HYD!AW12</f>
        <v/>
      </c>
      <c r="AR10" s="53">
        <f>HYD!AX12</f>
        <v/>
      </c>
      <c r="AS10" s="53">
        <f>HYD!AY12</f>
        <v/>
      </c>
      <c r="AT10" s="55" t="n">
        <v>13.68000000000001</v>
      </c>
      <c r="AU10" s="55" t="n">
        <v>56.59999999999999</v>
      </c>
      <c r="AV10" s="55" t="n"/>
      <c r="AW10" s="55" t="n"/>
    </row>
    <row r="11" s="41">
      <c r="A11" s="54" t="n">
        <v>9</v>
      </c>
      <c r="B11" s="54">
        <f>B10</f>
        <v/>
      </c>
      <c r="C11" s="50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3">
        <f>GSD!S13</f>
        <v/>
      </c>
      <c r="Z11" s="53">
        <f>GSD!T13</f>
        <v/>
      </c>
      <c r="AA11" s="53">
        <f>GSD!U13</f>
        <v/>
      </c>
      <c r="AB11" s="53">
        <f>GSD!V13</f>
        <v/>
      </c>
      <c r="AC11" s="53">
        <f>GSD!W13</f>
        <v/>
      </c>
      <c r="AD11" s="53">
        <f>GSD!X13</f>
        <v/>
      </c>
      <c r="AE11" s="53">
        <f>GSD!Y13</f>
        <v/>
      </c>
      <c r="AF11" s="53">
        <f>GSD!Z13</f>
        <v/>
      </c>
      <c r="AG11" s="53">
        <f>HYD!AM13</f>
        <v/>
      </c>
      <c r="AH11" s="53">
        <f>HYD!AN13</f>
        <v/>
      </c>
      <c r="AI11" s="53">
        <f>HYD!AO13</f>
        <v/>
      </c>
      <c r="AJ11" s="53">
        <f>HYD!AP13</f>
        <v/>
      </c>
      <c r="AK11" s="53">
        <f>HYD!AQ13</f>
        <v/>
      </c>
      <c r="AL11" s="53">
        <f>HYD!AR13</f>
        <v/>
      </c>
      <c r="AM11" s="53">
        <f>HYD!AS13</f>
        <v/>
      </c>
      <c r="AN11" s="53">
        <f>HYD!AT13</f>
        <v/>
      </c>
      <c r="AO11" s="53">
        <f>HYD!AU13</f>
        <v/>
      </c>
      <c r="AP11" s="53">
        <f>HYD!AV13</f>
        <v/>
      </c>
      <c r="AQ11" s="53">
        <f>HYD!AW13</f>
        <v/>
      </c>
      <c r="AR11" s="53">
        <f>HYD!AX13</f>
        <v/>
      </c>
      <c r="AS11" s="53">
        <f>HYD!AY13</f>
        <v/>
      </c>
      <c r="AT11" s="55" t="n">
        <v>2.920000000000002</v>
      </c>
      <c r="AU11" s="55" t="n">
        <v>68.53</v>
      </c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2026-09-17T10:25:21Z</dcterms:modified>
  <cp:lastModifiedBy>baps</cp:lastModifiedBy>
</cp:coreProperties>
</file>