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100</v>
                </pt>
                <pt idx="1">
                  <v>99.45999999999999</v>
                </pt>
                <pt idx="2">
                  <v>97.76000000000001</v>
                </pt>
                <pt idx="3">
                  <v>90.87</v>
                </pt>
                <pt idx="4">
                  <v>87.09</v>
                </pt>
                <pt idx="5">
                  <v>70.67</v>
                </pt>
                <pt idx="6">
                  <v>41.99</v>
                </pt>
                <pt idx="7">
                  <v>36.85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99.105</v>
                </pt>
                <pt idx="1">
                  <v>97.52</v>
                </pt>
                <pt idx="2">
                  <v>92.81</v>
                </pt>
                <pt idx="3">
                  <v>82.73</v>
                </pt>
                <pt idx="4">
                  <v>78.41</v>
                </pt>
                <pt idx="5">
                  <v>63.32</v>
                </pt>
                <pt idx="6">
                  <v>43.64</v>
                </pt>
                <pt idx="7">
                  <v>41.57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100</v>
                </pt>
                <pt idx="1">
                  <v>99.65000000000001</v>
                </pt>
                <pt idx="2">
                  <v>97.98999999999999</v>
                </pt>
                <pt idx="3">
                  <v>89.95</v>
                </pt>
                <pt idx="4">
                  <v>85.74000000000001</v>
                </pt>
                <pt idx="5">
                  <v>68.92</v>
                </pt>
                <pt idx="6">
                  <v>42.61</v>
                </pt>
                <pt idx="7">
                  <v>37.58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99.875</v>
                </pt>
                <pt idx="1">
                  <v>98.8</v>
                </pt>
                <pt idx="2">
                  <v>95.655</v>
                </pt>
                <pt idx="3">
                  <v>85.13</v>
                </pt>
                <pt idx="4">
                  <v>81.185</v>
                </pt>
                <pt idx="5">
                  <v>65.11499999999999</v>
                </pt>
                <pt idx="6">
                  <v>44.2</v>
                </pt>
                <pt idx="7">
                  <v>41.42999999999999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100</v>
                </pt>
                <pt idx="1">
                  <v>98.54000000000001</v>
                </pt>
                <pt idx="2">
                  <v>97.53</v>
                </pt>
                <pt idx="3">
                  <v>93.84</v>
                </pt>
                <pt idx="4">
                  <v>84.76000000000001</v>
                </pt>
                <pt idx="5">
                  <v>72.89</v>
                </pt>
                <pt idx="6">
                  <v>38.91</v>
                </pt>
                <pt idx="7">
                  <v>32.66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100</v>
                </pt>
                <pt idx="1">
                  <v>99.485</v>
                </pt>
                <pt idx="2">
                  <v>98.76000000000001</v>
                </pt>
                <pt idx="3">
                  <v>93.55500000000001</v>
                </pt>
                <pt idx="4">
                  <v>81.145</v>
                </pt>
                <pt idx="5">
                  <v>73.265</v>
                </pt>
                <pt idx="6">
                  <v>52.40000000000001</v>
                </pt>
                <pt idx="7">
                  <v>50.4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99.75</v>
                </pt>
                <pt idx="1">
                  <v>96.94</v>
                </pt>
                <pt idx="2">
                  <v>95.68000000000001</v>
                </pt>
                <pt idx="3">
                  <v>92.59999999999999</v>
                </pt>
                <pt idx="4">
                  <v>84.67</v>
                </pt>
                <pt idx="5">
                  <v>70.62</v>
                </pt>
                <pt idx="6">
                  <v>35.84999999999999</v>
                </pt>
                <pt idx="7">
                  <v>30.91999999999999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100</v>
                </pt>
                <pt idx="1">
                  <v>99.41</v>
                </pt>
                <pt idx="2">
                  <v>98.84999999999999</v>
                </pt>
                <pt idx="3">
                  <v>96.88</v>
                </pt>
                <pt idx="4">
                  <v>87.93000000000001</v>
                </pt>
                <pt idx="5">
                  <v>70.53999999999999</v>
                </pt>
                <pt idx="6">
                  <v>27.59</v>
                </pt>
                <pt idx="7">
                  <v>22.11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99.37</v>
                </pt>
                <pt idx="1">
                  <v>96.44</v>
                </pt>
                <pt idx="2">
                  <v>95.06</v>
                </pt>
                <pt idx="3">
                  <v>92.37</v>
                </pt>
                <pt idx="4">
                  <v>83.90000000000001</v>
                </pt>
                <pt idx="5">
                  <v>74.81</v>
                </pt>
                <pt idx="6">
                  <v>41.20999999999999</v>
                </pt>
                <pt idx="7">
                  <v>35.52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99.45999999999999</v>
                </pt>
                <pt idx="2">
                  <v>97.76000000000001</v>
                </pt>
                <pt idx="3">
                  <v>90.87</v>
                </pt>
                <pt idx="4">
                  <v>87.09</v>
                </pt>
                <pt idx="5">
                  <v>70.67</v>
                </pt>
                <pt idx="6">
                  <v>41.99</v>
                </pt>
                <pt idx="7">
                  <v>36.85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99.105</v>
                </pt>
                <pt idx="1">
                  <v>97.52</v>
                </pt>
                <pt idx="2">
                  <v>92.81</v>
                </pt>
                <pt idx="3">
                  <v>82.73</v>
                </pt>
                <pt idx="4">
                  <v>78.41</v>
                </pt>
                <pt idx="5">
                  <v>63.32</v>
                </pt>
                <pt idx="6">
                  <v>43.64</v>
                </pt>
                <pt idx="7">
                  <v>41.57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100</v>
                </pt>
                <pt idx="1">
                  <v>99.65000000000001</v>
                </pt>
                <pt idx="2">
                  <v>97.98999999999999</v>
                </pt>
                <pt idx="3">
                  <v>89.95</v>
                </pt>
                <pt idx="4">
                  <v>85.74000000000001</v>
                </pt>
                <pt idx="5">
                  <v>68.92</v>
                </pt>
                <pt idx="6">
                  <v>42.61</v>
                </pt>
                <pt idx="7">
                  <v>37.58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99.875</v>
                </pt>
                <pt idx="1">
                  <v>98.8</v>
                </pt>
                <pt idx="2">
                  <v>95.655</v>
                </pt>
                <pt idx="3">
                  <v>85.13</v>
                </pt>
                <pt idx="4">
                  <v>81.185</v>
                </pt>
                <pt idx="5">
                  <v>65.11499999999999</v>
                </pt>
                <pt idx="6">
                  <v>44.2</v>
                </pt>
                <pt idx="7">
                  <v>41.42999999999999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100</v>
                </pt>
                <pt idx="1">
                  <v>98.54000000000001</v>
                </pt>
                <pt idx="2">
                  <v>97.53</v>
                </pt>
                <pt idx="3">
                  <v>93.84</v>
                </pt>
                <pt idx="4">
                  <v>84.76000000000001</v>
                </pt>
                <pt idx="5">
                  <v>72.89</v>
                </pt>
                <pt idx="6">
                  <v>38.91</v>
                </pt>
                <pt idx="7">
                  <v>32.66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0.06658194833480617</v>
                </pt>
                <pt idx="9">
                  <formatCode>0.00000</formatCode>
                  <v>0.04758409675972256</v>
                </pt>
                <pt idx="10">
                  <formatCode>0.00000</formatCode>
                  <v>0.03364703749543664</v>
                </pt>
                <pt idx="11">
                  <formatCode>0.00000</formatCode>
                  <v>0.02379204837986128</v>
                </pt>
                <pt idx="12">
                  <formatCode>0.00000</formatCode>
                  <v>0.01757307427304561</v>
                </pt>
                <pt idx="13">
                  <formatCode>0.00000</formatCode>
                  <v>0.01295677906903576</v>
                </pt>
                <pt idx="14">
                  <formatCode>0.00000</formatCode>
                  <v>0.009161826342051111</v>
                </pt>
                <pt idx="15">
                  <formatCode>0.00000</formatCode>
                  <v>0.006539419189380517</v>
                </pt>
                <pt idx="16">
                  <formatCode>0.00000</formatCode>
                  <v>0.0046240676538324</v>
                </pt>
                <pt idx="17">
                  <formatCode>0.00000</formatCode>
                  <v>0.003269709594690258</v>
                </pt>
                <pt idx="18">
                  <formatCode>0.00000</formatCode>
                  <v>0.0023334115503894</v>
                </pt>
                <pt idx="19">
                  <formatCode>0.00000</formatCode>
                  <v>0.00164997113057936</v>
                </pt>
                <pt idx="20">
                  <formatCode>0.00000</formatCode>
                  <v>0.001359426166951406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100</v>
                </pt>
                <pt idx="1">
                  <v>99.485</v>
                </pt>
                <pt idx="2">
                  <v>98.76000000000001</v>
                </pt>
                <pt idx="3">
                  <v>93.55500000000001</v>
                </pt>
                <pt idx="4">
                  <v>81.145</v>
                </pt>
                <pt idx="5">
                  <v>73.265</v>
                </pt>
                <pt idx="6">
                  <v>52.40000000000001</v>
                </pt>
                <pt idx="7">
                  <v>50.4</v>
                </pt>
                <pt idx="8">
                  <v>24.38117492711373</v>
                </pt>
                <pt idx="9">
                  <v>21.21499416909588</v>
                </pt>
                <pt idx="10">
                  <v>21.21499416909588</v>
                </pt>
                <pt idx="11">
                  <v>21.21499416909588</v>
                </pt>
                <pt idx="12">
                  <v>21.21499416909588</v>
                </pt>
                <pt idx="13">
                  <v>18.04881341107873</v>
                </pt>
                <pt idx="14">
                  <v>18.04881341107873</v>
                </pt>
                <pt idx="15">
                  <v>14.88263265306089</v>
                </pt>
                <pt idx="16">
                  <v>14.88263265306089</v>
                </pt>
                <pt idx="17">
                  <v>14.88263265306089</v>
                </pt>
                <pt idx="18">
                  <v>11.71645189504374</v>
                </pt>
                <pt idx="19">
                  <v>11.71645189504374</v>
                </pt>
                <pt idx="20">
                  <v>8.550271137025897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99.75</v>
                </pt>
                <pt idx="1">
                  <v>96.94</v>
                </pt>
                <pt idx="2">
                  <v>95.68000000000001</v>
                </pt>
                <pt idx="3">
                  <v>92.59999999999999</v>
                </pt>
                <pt idx="4">
                  <v>84.67</v>
                </pt>
                <pt idx="5">
                  <v>70.62</v>
                </pt>
                <pt idx="6">
                  <v>35.84999999999999</v>
                </pt>
                <pt idx="7">
                  <v>30.91999999999999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100</v>
                </pt>
                <pt idx="1">
                  <v>99.41</v>
                </pt>
                <pt idx="2">
                  <v>98.84999999999999</v>
                </pt>
                <pt idx="3">
                  <v>96.88</v>
                </pt>
                <pt idx="4">
                  <v>87.93000000000001</v>
                </pt>
                <pt idx="5">
                  <v>70.53999999999999</v>
                </pt>
                <pt idx="6">
                  <v>27.59</v>
                </pt>
                <pt idx="7">
                  <v>22.11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99.37</v>
                </pt>
                <pt idx="1">
                  <v>96.44</v>
                </pt>
                <pt idx="2">
                  <v>95.06</v>
                </pt>
                <pt idx="3">
                  <v>92.37</v>
                </pt>
                <pt idx="4">
                  <v>83.90000000000001</v>
                </pt>
                <pt idx="5">
                  <v>74.81</v>
                </pt>
                <pt idx="6">
                  <v>41.20999999999999</v>
                </pt>
                <pt idx="7">
                  <v>35.52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A4" zoomScale="130" zoomScaleNormal="85" zoomScaleSheetLayoutView="130" zoomScalePageLayoutView="85" workbookViewId="0">
      <selection activeCell="R9" sqref="R9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 s="41">
      <c r="A1" s="57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4" t="inlineStr">
        <is>
          <t>Sample Type</t>
        </is>
      </c>
      <c r="F2" s="64" t="inlineStr">
        <is>
          <t>Depth</t>
        </is>
      </c>
      <c r="G2" s="64" t="inlineStr">
        <is>
          <t>Container No.</t>
        </is>
      </c>
      <c r="H2" s="64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68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68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67" t="inlineStr">
        <is>
          <t xml:space="preserve">Gravel </t>
        </is>
      </c>
      <c r="AB2" s="67" t="inlineStr">
        <is>
          <t>Sand</t>
        </is>
      </c>
      <c r="AC2" s="67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6" t="n">
        <v>4.75</v>
      </c>
      <c r="K3" s="3" t="n">
        <v>2</v>
      </c>
      <c r="L3" s="3" t="n">
        <v>1.18</v>
      </c>
      <c r="M3" s="98" t="n">
        <v>0.6</v>
      </c>
      <c r="N3" s="66" t="n">
        <v>0.425</v>
      </c>
      <c r="O3" s="98" t="n">
        <v>0.3</v>
      </c>
      <c r="P3" s="98" t="n">
        <v>0.15</v>
      </c>
      <c r="Q3" s="66" t="n">
        <v>0.075</v>
      </c>
      <c r="R3" s="66" t="inlineStr">
        <is>
          <t>Pan</t>
        </is>
      </c>
      <c r="S3" s="64" t="n">
        <v>4.75</v>
      </c>
      <c r="T3" s="6" t="n">
        <v>2</v>
      </c>
      <c r="U3" s="6" t="n">
        <v>1.18</v>
      </c>
      <c r="V3" s="99" t="n">
        <v>0.6</v>
      </c>
      <c r="W3" s="64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6" t="inlineStr">
        <is>
          <t>-</t>
        </is>
      </c>
      <c r="F4" s="68" t="inlineStr">
        <is>
          <t>(m)</t>
        </is>
      </c>
      <c r="G4" s="68" t="inlineStr">
        <is>
          <t>-</t>
        </is>
      </c>
      <c r="H4" s="68" t="inlineStr">
        <is>
          <t>(gm)</t>
        </is>
      </c>
      <c r="I4" s="68" t="inlineStr">
        <is>
          <t>(gm)</t>
        </is>
      </c>
      <c r="J4" s="68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68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69" t="inlineStr">
        <is>
          <t>%</t>
        </is>
      </c>
      <c r="AB4" s="93" t="n"/>
      <c r="AC4" s="94" t="n"/>
    </row>
    <row r="5" ht="30" customHeight="1" s="41">
      <c r="A5" s="69" t="n">
        <v>1</v>
      </c>
      <c r="B5" s="71" t="inlineStr">
        <is>
          <t>CBH-17</t>
        </is>
      </c>
      <c r="C5" s="71" t="n"/>
      <c r="D5" s="72" t="n"/>
      <c r="E5" s="47" t="inlineStr">
        <is>
          <t>SPT</t>
        </is>
      </c>
      <c r="F5" s="43" t="n">
        <v>0.5</v>
      </c>
      <c r="G5" s="47" t="inlineStr">
        <is>
          <t>A096</t>
        </is>
      </c>
      <c r="H5" s="72" t="n">
        <v>100</v>
      </c>
      <c r="I5" s="43">
        <f>H5-SUM(J5:Q5)</f>
        <v/>
      </c>
      <c r="J5" s="43" t="n">
        <v>0</v>
      </c>
      <c r="K5" s="43" t="n">
        <v>0.54</v>
      </c>
      <c r="L5" s="43" t="n">
        <v>1.7</v>
      </c>
      <c r="M5" s="43" t="n">
        <v>6.89</v>
      </c>
      <c r="N5" s="43" t="n">
        <v>3.78</v>
      </c>
      <c r="O5" s="43" t="n">
        <v>16.42</v>
      </c>
      <c r="P5" s="43" t="n">
        <v>28.68</v>
      </c>
      <c r="Q5" s="43" t="n">
        <v>5.14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9" t="n">
        <v>2</v>
      </c>
      <c r="B6" s="100" t="n"/>
      <c r="C6" s="100" t="n"/>
      <c r="D6" s="100" t="n"/>
      <c r="E6" s="47" t="inlineStr">
        <is>
          <t>UDS</t>
        </is>
      </c>
      <c r="F6" s="43" t="n">
        <v>1.5</v>
      </c>
      <c r="G6" s="47" t="inlineStr">
        <is>
          <t>A098</t>
        </is>
      </c>
      <c r="H6" s="72" t="n">
        <v>200</v>
      </c>
      <c r="I6" s="43">
        <f>H6-SUM(J6:Q6)</f>
        <v/>
      </c>
      <c r="J6" s="43" t="n">
        <v>1.79</v>
      </c>
      <c r="K6" s="43" t="n">
        <v>3.17</v>
      </c>
      <c r="L6" s="43" t="n">
        <v>9.42</v>
      </c>
      <c r="M6" s="56" t="n">
        <v>20.16</v>
      </c>
      <c r="N6" s="43" t="n">
        <v>8.640000000000001</v>
      </c>
      <c r="O6" s="43" t="n">
        <v>30.18</v>
      </c>
      <c r="P6" s="43" t="n">
        <v>39.36</v>
      </c>
      <c r="Q6" s="56" t="n">
        <v>4.14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9" t="n">
        <v>3</v>
      </c>
      <c r="B7" s="100" t="n"/>
      <c r="C7" s="100" t="n"/>
      <c r="D7" s="100" t="n"/>
      <c r="E7" s="47" t="inlineStr">
        <is>
          <t>SPT</t>
        </is>
      </c>
      <c r="F7" s="43" t="n">
        <v>3.5</v>
      </c>
      <c r="G7" s="47" t="inlineStr">
        <is>
          <t>A170</t>
        </is>
      </c>
      <c r="H7" s="72" t="n">
        <v>100</v>
      </c>
      <c r="I7" s="43">
        <f>H7-SUM(J7:Q7)</f>
        <v/>
      </c>
      <c r="J7" s="43" t="n">
        <v>0</v>
      </c>
      <c r="K7" s="43" t="n">
        <v>0.35</v>
      </c>
      <c r="L7" s="43" t="n">
        <v>1.66</v>
      </c>
      <c r="M7" s="43" t="n">
        <v>8.039999999999999</v>
      </c>
      <c r="N7" s="43" t="n">
        <v>4.21</v>
      </c>
      <c r="O7" s="43" t="n">
        <v>16.82</v>
      </c>
      <c r="P7" s="43" t="n">
        <v>26.31</v>
      </c>
      <c r="Q7" s="43" t="n">
        <v>5.03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9" t="n">
        <v>4</v>
      </c>
      <c r="B8" s="100" t="n"/>
      <c r="C8" s="100" t="n"/>
      <c r="D8" s="100" t="n"/>
      <c r="E8" s="47" t="inlineStr">
        <is>
          <t>UDS</t>
        </is>
      </c>
      <c r="F8" s="43" t="n">
        <v>4.5</v>
      </c>
      <c r="G8" s="47" t="inlineStr">
        <is>
          <t>A196</t>
        </is>
      </c>
      <c r="H8" s="72" t="n">
        <v>200</v>
      </c>
      <c r="I8" s="43">
        <f>H8-SUM(J8:Q8)</f>
        <v/>
      </c>
      <c r="J8" s="43" t="n">
        <v>0.25</v>
      </c>
      <c r="K8" s="43" t="n">
        <v>2.15</v>
      </c>
      <c r="L8" s="43" t="n">
        <v>6.29</v>
      </c>
      <c r="M8" s="43" t="n">
        <v>21.05</v>
      </c>
      <c r="N8" s="43" t="n">
        <v>7.89</v>
      </c>
      <c r="O8" s="43" t="n">
        <v>32.14</v>
      </c>
      <c r="P8" s="43" t="n">
        <v>41.83</v>
      </c>
      <c r="Q8" s="43" t="n">
        <v>5.54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9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n">
        <v>102</v>
      </c>
      <c r="H9" s="72" t="n">
        <v>100</v>
      </c>
      <c r="I9" s="43">
        <f>H9-SUM(J9:Q9)</f>
        <v/>
      </c>
      <c r="J9" s="43" t="n">
        <v>0</v>
      </c>
      <c r="K9" s="43" t="n">
        <v>1.46</v>
      </c>
      <c r="L9" s="43" t="n">
        <v>1.01</v>
      </c>
      <c r="M9" s="43" t="n">
        <v>3.69</v>
      </c>
      <c r="N9" s="43" t="n">
        <v>9.08</v>
      </c>
      <c r="O9" s="43" t="n">
        <v>11.87</v>
      </c>
      <c r="P9" s="43" t="n">
        <v>33.98</v>
      </c>
      <c r="Q9" s="43" t="n">
        <v>6.25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>
        <v>6</v>
      </c>
      <c r="B10" s="100" t="n"/>
      <c r="C10" s="100" t="n"/>
      <c r="D10" s="100" t="n"/>
      <c r="E10" s="47" t="inlineStr">
        <is>
          <t>UDS</t>
        </is>
      </c>
      <c r="F10" s="43" t="n">
        <v>7.5</v>
      </c>
      <c r="G10" s="47" t="n">
        <v>1149</v>
      </c>
      <c r="H10" s="72" t="n">
        <v>200</v>
      </c>
      <c r="I10" s="43">
        <f>H10-SUM(J10:Q10)</f>
        <v/>
      </c>
      <c r="J10" s="43" t="n">
        <v>0</v>
      </c>
      <c r="K10" s="43" t="n">
        <v>1.03</v>
      </c>
      <c r="L10" s="43" t="n">
        <v>1.45</v>
      </c>
      <c r="M10" s="43" t="n">
        <v>10.41</v>
      </c>
      <c r="N10" s="43" t="n">
        <v>24.82</v>
      </c>
      <c r="O10" s="43" t="n">
        <v>15.76</v>
      </c>
      <c r="P10" s="43" t="n">
        <v>41.73</v>
      </c>
      <c r="Q10" s="43" t="n">
        <v>4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69" t="n">
        <v>7</v>
      </c>
      <c r="B11" s="100" t="n"/>
      <c r="C11" s="100" t="n"/>
      <c r="D11" s="100" t="n"/>
      <c r="E11" s="47" t="inlineStr">
        <is>
          <t>SPT</t>
        </is>
      </c>
      <c r="F11" s="43" t="n">
        <v>10.5</v>
      </c>
      <c r="G11" s="47" t="n">
        <v>104</v>
      </c>
      <c r="H11" s="72" t="n">
        <v>100</v>
      </c>
      <c r="I11" s="43">
        <f>H11-SUM(J11:Q11)</f>
        <v/>
      </c>
      <c r="J11" s="43" t="n">
        <v>0.25</v>
      </c>
      <c r="K11" s="43" t="n">
        <v>2.81</v>
      </c>
      <c r="L11" s="43" t="n">
        <v>1.26</v>
      </c>
      <c r="M11" s="43" t="n">
        <v>3.08</v>
      </c>
      <c r="N11" s="43" t="n">
        <v>7.93</v>
      </c>
      <c r="O11" s="43" t="n">
        <v>14.05</v>
      </c>
      <c r="P11" s="43" t="n">
        <v>34.77</v>
      </c>
      <c r="Q11" s="43" t="n">
        <v>4.93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69" t="n">
        <v>8</v>
      </c>
      <c r="B12" s="100" t="n"/>
      <c r="C12" s="100" t="n"/>
      <c r="D12" s="100" t="n"/>
      <c r="E12" s="47" t="inlineStr">
        <is>
          <t>SPT</t>
        </is>
      </c>
      <c r="F12" s="43" t="n">
        <v>13.5</v>
      </c>
      <c r="G12" s="47" t="n">
        <v>198</v>
      </c>
      <c r="H12" s="72" t="n">
        <v>100</v>
      </c>
      <c r="I12" s="43">
        <f>H12-SUM(J12:Q12)</f>
        <v/>
      </c>
      <c r="J12" s="43" t="n">
        <v>0</v>
      </c>
      <c r="K12" s="43" t="n">
        <v>0.59</v>
      </c>
      <c r="L12" s="43" t="n">
        <v>0.5600000000000001</v>
      </c>
      <c r="M12" s="43" t="n">
        <v>1.97</v>
      </c>
      <c r="N12" s="43" t="n">
        <v>8.949999999999999</v>
      </c>
      <c r="O12" s="43" t="n">
        <v>17.39</v>
      </c>
      <c r="P12" s="43" t="n">
        <v>42.95</v>
      </c>
      <c r="Q12" s="43" t="n">
        <v>5.48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69" t="n">
        <v>9</v>
      </c>
      <c r="B13" s="96" t="n"/>
      <c r="C13" s="96" t="n"/>
      <c r="D13" s="96" t="n"/>
      <c r="E13" s="47" t="inlineStr">
        <is>
          <t>SPT</t>
        </is>
      </c>
      <c r="F13" s="43" t="n">
        <v>15</v>
      </c>
      <c r="G13" s="47" t="n">
        <v>119</v>
      </c>
      <c r="H13" s="72" t="n">
        <v>100</v>
      </c>
      <c r="I13" s="43">
        <f>H13-SUM(J13:Q13)</f>
        <v/>
      </c>
      <c r="J13" s="43" t="n">
        <v>0.63</v>
      </c>
      <c r="K13" s="43" t="n">
        <v>2.93</v>
      </c>
      <c r="L13" s="43" t="n">
        <v>1.38</v>
      </c>
      <c r="M13" s="43" t="n">
        <v>2.69</v>
      </c>
      <c r="N13" s="43" t="n">
        <v>8.470000000000001</v>
      </c>
      <c r="O13" s="43" t="n">
        <v>9.09</v>
      </c>
      <c r="P13" s="43" t="n">
        <v>33.6</v>
      </c>
      <c r="Q13" s="43" t="n">
        <v>5.69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AI1" zoomScale="145" zoomScaleNormal="145" zoomScaleSheetLayoutView="145" workbookViewId="0">
      <selection activeCell="AO9" sqref="AO9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82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80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80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1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9" t="n">
        <v>1</v>
      </c>
      <c r="O2" s="79" t="n">
        <v>2</v>
      </c>
      <c r="P2" s="79" t="n">
        <v>4</v>
      </c>
      <c r="Q2" s="79" t="n">
        <v>8</v>
      </c>
      <c r="R2" s="79" t="n">
        <v>15</v>
      </c>
      <c r="S2" s="79" t="n">
        <v>30</v>
      </c>
      <c r="T2" s="79" t="n">
        <v>60</v>
      </c>
      <c r="U2" s="79" t="n">
        <v>120</v>
      </c>
      <c r="V2" s="79" t="n">
        <v>240</v>
      </c>
      <c r="W2" s="79" t="n">
        <v>480</v>
      </c>
      <c r="X2" s="79" t="n">
        <v>960</v>
      </c>
      <c r="Y2" s="79" t="n">
        <v>1440</v>
      </c>
      <c r="Z2" s="103" t="n">
        <v>0.5</v>
      </c>
      <c r="AA2" s="79" t="n">
        <v>1</v>
      </c>
      <c r="AB2" s="79" t="n">
        <v>2</v>
      </c>
      <c r="AC2" s="79" t="n">
        <v>4</v>
      </c>
      <c r="AD2" s="79" t="n">
        <v>8</v>
      </c>
      <c r="AE2" s="79" t="n">
        <v>15</v>
      </c>
      <c r="AF2" s="79" t="n">
        <v>30</v>
      </c>
      <c r="AG2" s="79" t="n">
        <v>60</v>
      </c>
      <c r="AH2" s="79" t="n">
        <v>120</v>
      </c>
      <c r="AI2" s="79" t="n">
        <v>240</v>
      </c>
      <c r="AJ2" s="79" t="n">
        <v>480</v>
      </c>
      <c r="AK2" s="79" t="n">
        <v>960</v>
      </c>
      <c r="AL2" s="79" t="n">
        <v>1440</v>
      </c>
      <c r="AM2" s="103" t="n">
        <v>0.5</v>
      </c>
      <c r="AN2" s="79" t="n">
        <v>1</v>
      </c>
      <c r="AO2" s="79" t="n">
        <v>2</v>
      </c>
      <c r="AP2" s="79" t="n">
        <v>4</v>
      </c>
      <c r="AQ2" s="79" t="n">
        <v>8</v>
      </c>
      <c r="AR2" s="79" t="n">
        <v>15</v>
      </c>
      <c r="AS2" s="79" t="n">
        <v>30</v>
      </c>
      <c r="AT2" s="79" t="n">
        <v>60</v>
      </c>
      <c r="AU2" s="79" t="n">
        <v>120</v>
      </c>
      <c r="AV2" s="79" t="n">
        <v>240</v>
      </c>
      <c r="AW2" s="79" t="n">
        <v>480</v>
      </c>
      <c r="AX2" s="79" t="n">
        <v>960</v>
      </c>
      <c r="AY2" s="79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75" t="inlineStr">
        <is>
          <t>-</t>
        </is>
      </c>
      <c r="E4" s="75" t="inlineStr">
        <is>
          <t>(°C)</t>
        </is>
      </c>
      <c r="F4" s="75" t="inlineStr">
        <is>
          <t>Poise</t>
        </is>
      </c>
      <c r="G4" s="75" t="inlineStr">
        <is>
          <t>-</t>
        </is>
      </c>
      <c r="H4" s="75" t="inlineStr">
        <is>
          <t>-</t>
        </is>
      </c>
      <c r="I4" s="82" t="inlineStr">
        <is>
          <t>-</t>
        </is>
      </c>
      <c r="J4" s="84" t="n"/>
      <c r="K4" s="84" t="inlineStr">
        <is>
          <t>-</t>
        </is>
      </c>
      <c r="L4" s="84" t="inlineStr">
        <is>
          <t>-</t>
        </is>
      </c>
      <c r="M4" s="82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82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82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2.66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5" t="n">
        <v>1.012</v>
      </c>
      <c r="N5" s="105" t="n">
        <v>1.012</v>
      </c>
      <c r="O5" s="105" t="n">
        <v>1.011</v>
      </c>
      <c r="P5" s="105" t="n">
        <v>1.011</v>
      </c>
      <c r="Q5" s="105" t="n">
        <v>1.011</v>
      </c>
      <c r="R5" s="105" t="n">
        <v>1.01</v>
      </c>
      <c r="S5" s="105" t="n">
        <v>1.01</v>
      </c>
      <c r="T5" s="105" t="n">
        <v>1.009</v>
      </c>
      <c r="U5" s="105" t="n">
        <v>1.008</v>
      </c>
      <c r="V5" s="105" t="n">
        <v>1.008</v>
      </c>
      <c r="W5" s="105" t="n">
        <v>1.007</v>
      </c>
      <c r="X5" s="105" t="n">
        <v>1.007</v>
      </c>
      <c r="Y5" s="105" t="n">
        <v>1.007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2.68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5" t="n">
        <v>1.013</v>
      </c>
      <c r="N6" s="105" t="n">
        <v>1.013</v>
      </c>
      <c r="O6" s="105" t="n">
        <v>1.013</v>
      </c>
      <c r="P6" s="105" t="n">
        <v>1.012</v>
      </c>
      <c r="Q6" s="105" t="n">
        <v>1.012</v>
      </c>
      <c r="R6" s="105" t="n">
        <v>1.011</v>
      </c>
      <c r="S6" s="105" t="n">
        <v>1.011</v>
      </c>
      <c r="T6" s="105" t="n">
        <v>1.01</v>
      </c>
      <c r="U6" s="105" t="n">
        <v>1.009</v>
      </c>
      <c r="V6" s="105" t="n">
        <v>1.009</v>
      </c>
      <c r="W6" s="105" t="n">
        <v>1.008</v>
      </c>
      <c r="X6" s="105" t="n">
        <v>1.007</v>
      </c>
      <c r="Y6" s="105" t="n">
        <v>1.007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2.69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5" t="n">
        <v>1.012</v>
      </c>
      <c r="N7" s="105" t="n">
        <v>1.012</v>
      </c>
      <c r="O7" s="105" t="n">
        <v>1.012</v>
      </c>
      <c r="P7" s="105" t="n">
        <v>1.011</v>
      </c>
      <c r="Q7" s="105" t="n">
        <v>1.011</v>
      </c>
      <c r="R7" s="105" t="n">
        <v>1.01</v>
      </c>
      <c r="S7" s="105" t="n">
        <v>1.01</v>
      </c>
      <c r="T7" s="105" t="n">
        <v>1.009</v>
      </c>
      <c r="U7" s="105" t="n">
        <v>1.009</v>
      </c>
      <c r="V7" s="105" t="n">
        <v>1.008</v>
      </c>
      <c r="W7" s="105" t="n">
        <v>1.007</v>
      </c>
      <c r="X7" s="105" t="n">
        <v>1.007</v>
      </c>
      <c r="Y7" s="105" t="n">
        <v>1.007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2.71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5" t="n">
        <v>1.013</v>
      </c>
      <c r="N8" s="105" t="n">
        <v>1.013</v>
      </c>
      <c r="O8" s="105" t="n">
        <v>1.013</v>
      </c>
      <c r="P8" s="105" t="n">
        <v>1.012</v>
      </c>
      <c r="Q8" s="105" t="n">
        <v>1.012</v>
      </c>
      <c r="R8" s="105" t="n">
        <v>1.011</v>
      </c>
      <c r="S8" s="105" t="n">
        <v>1.011</v>
      </c>
      <c r="T8" s="105" t="n">
        <v>1.01</v>
      </c>
      <c r="U8" s="105" t="n">
        <v>1.009</v>
      </c>
      <c r="V8" s="105" t="n">
        <v>1.008</v>
      </c>
      <c r="W8" s="105" t="n">
        <v>1.008</v>
      </c>
      <c r="X8" s="105" t="n">
        <v>1.007</v>
      </c>
      <c r="Y8" s="105" t="n">
        <v>1.007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2.65</v>
      </c>
      <c r="H9" s="35" t="n">
        <v>0.0005</v>
      </c>
      <c r="I9" s="35" t="n">
        <v>2</v>
      </c>
      <c r="J9" s="35" t="n">
        <v>1</v>
      </c>
      <c r="K9" s="36" t="n">
        <v>0</v>
      </c>
      <c r="L9" s="35" t="n">
        <v>0.3</v>
      </c>
      <c r="M9" s="105" t="n">
        <v>1.01</v>
      </c>
      <c r="N9" s="105" t="n">
        <v>1.01</v>
      </c>
      <c r="O9" s="105" t="n">
        <v>1.01</v>
      </c>
      <c r="P9" s="105" t="n">
        <v>1.01</v>
      </c>
      <c r="Q9" s="105" t="n">
        <v>1.01</v>
      </c>
      <c r="R9" s="105" t="n">
        <v>1.009</v>
      </c>
      <c r="S9" s="105" t="n">
        <v>1.009</v>
      </c>
      <c r="T9" s="105" t="n">
        <v>1.008</v>
      </c>
      <c r="U9" s="105" t="n">
        <v>1.008</v>
      </c>
      <c r="V9" s="105" t="n">
        <v>1.007</v>
      </c>
      <c r="W9" s="105" t="n">
        <v>1.007</v>
      </c>
      <c r="X9" s="105" t="n">
        <v>1.006</v>
      </c>
      <c r="Y9" s="105" t="n">
        <v>1.006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2.7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5" t="n">
        <v>1.016</v>
      </c>
      <c r="N10" s="105" t="n">
        <v>1.016</v>
      </c>
      <c r="O10" s="105" t="n">
        <v>1.015</v>
      </c>
      <c r="P10" s="105" t="n">
        <v>1.015</v>
      </c>
      <c r="Q10" s="105" t="n">
        <v>1.014</v>
      </c>
      <c r="R10" s="105" t="n">
        <v>1.014</v>
      </c>
      <c r="S10" s="105" t="n">
        <v>1.013</v>
      </c>
      <c r="T10" s="105" t="n">
        <v>1.012</v>
      </c>
      <c r="U10" s="105" t="n">
        <v>1.012</v>
      </c>
      <c r="V10" s="105" t="n">
        <v>1.011</v>
      </c>
      <c r="W10" s="105" t="n">
        <v>1.01</v>
      </c>
      <c r="X10" s="105" t="n">
        <v>1.009</v>
      </c>
      <c r="Y10" s="105" t="n">
        <v>1.009</v>
      </c>
      <c r="Z10" s="39" t="n">
        <v>0.06658194833480617</v>
      </c>
      <c r="AA10" s="39" t="n">
        <v>0.04758409675972256</v>
      </c>
      <c r="AB10" s="39" t="n">
        <v>0.03364703749543664</v>
      </c>
      <c r="AC10" s="39" t="n">
        <v>0.02379204837986128</v>
      </c>
      <c r="AD10" s="39" t="n">
        <v>0.01757307427304561</v>
      </c>
      <c r="AE10" s="39" t="n">
        <v>0.01295677906903576</v>
      </c>
      <c r="AF10" s="39" t="n">
        <v>0.009161826342051111</v>
      </c>
      <c r="AG10" s="39" t="n">
        <v>0.006539419189380517</v>
      </c>
      <c r="AH10" s="39" t="n">
        <v>0.0046240676538324</v>
      </c>
      <c r="AI10" s="39" t="n">
        <v>0.003269709594690258</v>
      </c>
      <c r="AJ10" s="39" t="n">
        <v>0.0023334115503894</v>
      </c>
      <c r="AK10" s="39" t="n">
        <v>0.00164997113057936</v>
      </c>
      <c r="AL10" s="39" t="n">
        <v>0.001359426166951406</v>
      </c>
      <c r="AM10" s="36" t="n">
        <v>24.38117492711373</v>
      </c>
      <c r="AN10" s="36" t="n">
        <v>21.21499416909588</v>
      </c>
      <c r="AO10" s="36" t="n">
        <v>21.21499416909588</v>
      </c>
      <c r="AP10" s="36" t="n">
        <v>21.21499416909588</v>
      </c>
      <c r="AQ10" s="36" t="n">
        <v>21.21499416909588</v>
      </c>
      <c r="AR10" s="36" t="n">
        <v>18.04881341107873</v>
      </c>
      <c r="AS10" s="36" t="n">
        <v>18.04881341107873</v>
      </c>
      <c r="AT10" s="36" t="n">
        <v>14.88263265306089</v>
      </c>
      <c r="AU10" s="36" t="n">
        <v>14.88263265306089</v>
      </c>
      <c r="AV10" s="36" t="n">
        <v>14.88263265306089</v>
      </c>
      <c r="AW10" s="36" t="n">
        <v>11.71645189504374</v>
      </c>
      <c r="AX10" s="36" t="n">
        <v>11.71645189504374</v>
      </c>
      <c r="AY10" s="36" t="n">
        <v>8.550271137025897</v>
      </c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2.67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5" t="n">
        <v>1.01</v>
      </c>
      <c r="N11" s="105" t="n">
        <v>1.01</v>
      </c>
      <c r="O11" s="105" t="n">
        <v>1.01</v>
      </c>
      <c r="P11" s="105" t="n">
        <v>1.009</v>
      </c>
      <c r="Q11" s="105" t="n">
        <v>1.009</v>
      </c>
      <c r="R11" s="105" t="n">
        <v>1.009</v>
      </c>
      <c r="S11" s="105" t="n">
        <v>1.008</v>
      </c>
      <c r="T11" s="105" t="n">
        <v>1.008</v>
      </c>
      <c r="U11" s="105" t="n">
        <v>1.007</v>
      </c>
      <c r="V11" s="105" t="n">
        <v>1.007</v>
      </c>
      <c r="W11" s="105" t="n">
        <v>1.006</v>
      </c>
      <c r="X11" s="105" t="n">
        <v>1.006</v>
      </c>
      <c r="Y11" s="105" t="n">
        <v>1.006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4" t="n">
        <v>0.008559421270000001</v>
      </c>
      <c r="G12" s="105" t="n">
        <v>2.68</v>
      </c>
      <c r="H12" s="35" t="n">
        <v>0.0005</v>
      </c>
      <c r="I12" s="35" t="n">
        <v>2</v>
      </c>
      <c r="J12" s="35" t="n">
        <v>1</v>
      </c>
      <c r="K12" s="36" t="n">
        <v>0</v>
      </c>
      <c r="L12" s="35" t="n">
        <v>0.3</v>
      </c>
      <c r="M12" s="105" t="n">
        <v>1.007</v>
      </c>
      <c r="N12" s="105" t="n">
        <v>1.007</v>
      </c>
      <c r="O12" s="105" t="n">
        <v>1.007</v>
      </c>
      <c r="P12" s="105" t="n">
        <v>1.007</v>
      </c>
      <c r="Q12" s="105" t="n">
        <v>1.006</v>
      </c>
      <c r="R12" s="105" t="n">
        <v>1.006</v>
      </c>
      <c r="S12" s="105" t="n">
        <v>1.006</v>
      </c>
      <c r="T12" s="105" t="n">
        <v>1.006</v>
      </c>
      <c r="U12" s="105" t="n">
        <v>1.005</v>
      </c>
      <c r="V12" s="105" t="n">
        <v>1.005</v>
      </c>
      <c r="W12" s="105" t="n">
        <v>1.004</v>
      </c>
      <c r="X12" s="105" t="n">
        <v>1.004</v>
      </c>
      <c r="Y12" s="105" t="n">
        <v>1.004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4" t="n">
        <v>0.008559421270000001</v>
      </c>
      <c r="G13" s="105" t="n">
        <v>2.65</v>
      </c>
      <c r="H13" s="35" t="n">
        <v>0.0005</v>
      </c>
      <c r="I13" s="35" t="n">
        <v>2</v>
      </c>
      <c r="J13" s="35" t="n">
        <v>1</v>
      </c>
      <c r="K13" s="36" t="n">
        <v>0</v>
      </c>
      <c r="L13" s="35" t="n">
        <v>0.3</v>
      </c>
      <c r="M13" s="105" t="n">
        <v>1.011</v>
      </c>
      <c r="N13" s="105" t="n">
        <v>1.011</v>
      </c>
      <c r="O13" s="105" t="n">
        <v>1.011</v>
      </c>
      <c r="P13" s="105" t="n">
        <v>1.011</v>
      </c>
      <c r="Q13" s="105" t="n">
        <v>1.01</v>
      </c>
      <c r="R13" s="105" t="n">
        <v>1.01</v>
      </c>
      <c r="S13" s="105" t="n">
        <v>1.009</v>
      </c>
      <c r="T13" s="105" t="n">
        <v>1.009</v>
      </c>
      <c r="U13" s="105" t="n">
        <v>1.008</v>
      </c>
      <c r="V13" s="105" t="n">
        <v>1.008</v>
      </c>
      <c r="W13" s="105" t="n">
        <v>1.007</v>
      </c>
      <c r="X13" s="105" t="n">
        <v>1.007</v>
      </c>
      <c r="Y13" s="105" t="n">
        <v>1.007</v>
      </c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C1" zoomScale="130" zoomScaleNormal="130" workbookViewId="0">
      <selection activeCell="AM14" sqref="AM14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>
        <v>0</v>
      </c>
      <c r="AU3" s="52" t="n">
        <v>63.15</v>
      </c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>
        <v>0.894999999999996</v>
      </c>
      <c r="AU4" s="52" t="n">
        <v>57.535</v>
      </c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>
        <v>0</v>
      </c>
      <c r="AU5" s="52" t="n">
        <v>62.42</v>
      </c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>
        <v>0.125</v>
      </c>
      <c r="AU6" s="52" t="n">
        <v>58.44500000000001</v>
      </c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>
        <v>0</v>
      </c>
      <c r="AU7" s="52" t="n">
        <v>67.34</v>
      </c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>
        <v>0</v>
      </c>
      <c r="AU8" s="52" t="n">
        <v>49.6</v>
      </c>
      <c r="AV8" s="52" t="n">
        <v>38.68354810495626</v>
      </c>
      <c r="AW8" s="52" t="n">
        <v>11.71645189504374</v>
      </c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>
        <v>0.25</v>
      </c>
      <c r="AU9" s="54" t="n">
        <v>68.83000000000001</v>
      </c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6" t="n">
        <v>4.75</v>
      </c>
      <c r="E10" s="106" t="n">
        <v>2</v>
      </c>
      <c r="F10" s="106" t="n">
        <v>1.18</v>
      </c>
      <c r="G10" s="106" t="n">
        <v>0.6</v>
      </c>
      <c r="H10" s="106" t="n">
        <v>0.425</v>
      </c>
      <c r="I10" s="106" t="n">
        <v>0.3</v>
      </c>
      <c r="J10" s="106" t="n">
        <v>0.15</v>
      </c>
      <c r="K10" s="106" t="n">
        <v>0.075</v>
      </c>
      <c r="L10" s="107">
        <f>HYD!Z12</f>
        <v/>
      </c>
      <c r="M10" s="107">
        <f>HYD!AA12</f>
        <v/>
      </c>
      <c r="N10" s="107">
        <f>HYD!AB12</f>
        <v/>
      </c>
      <c r="O10" s="107">
        <f>HYD!AC12</f>
        <v/>
      </c>
      <c r="P10" s="107">
        <f>HYD!AD12</f>
        <v/>
      </c>
      <c r="Q10" s="107">
        <f>HYD!AE12</f>
        <v/>
      </c>
      <c r="R10" s="107">
        <f>HYD!AF12</f>
        <v/>
      </c>
      <c r="S10" s="107">
        <f>HYD!AG12</f>
        <v/>
      </c>
      <c r="T10" s="107">
        <f>HYD!AH12</f>
        <v/>
      </c>
      <c r="U10" s="107">
        <f>HYD!AI12</f>
        <v/>
      </c>
      <c r="V10" s="107">
        <f>HYD!AJ12</f>
        <v/>
      </c>
      <c r="W10" s="107">
        <f>HYD!AK12</f>
        <v/>
      </c>
      <c r="X10" s="107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>
        <v>0</v>
      </c>
      <c r="AU10" s="54" t="n">
        <v>77.89</v>
      </c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6" t="n">
        <v>4.75</v>
      </c>
      <c r="E11" s="106" t="n">
        <v>2</v>
      </c>
      <c r="F11" s="106" t="n">
        <v>1.18</v>
      </c>
      <c r="G11" s="106" t="n">
        <v>0.6</v>
      </c>
      <c r="H11" s="106" t="n">
        <v>0.425</v>
      </c>
      <c r="I11" s="106" t="n">
        <v>0.3</v>
      </c>
      <c r="J11" s="106" t="n">
        <v>0.15</v>
      </c>
      <c r="K11" s="106" t="n">
        <v>0.075</v>
      </c>
      <c r="L11" s="107">
        <f>HYD!Z13</f>
        <v/>
      </c>
      <c r="M11" s="107">
        <f>HYD!AA13</f>
        <v/>
      </c>
      <c r="N11" s="107">
        <f>HYD!AB13</f>
        <v/>
      </c>
      <c r="O11" s="107">
        <f>HYD!AC13</f>
        <v/>
      </c>
      <c r="P11" s="107">
        <f>HYD!AD13</f>
        <v/>
      </c>
      <c r="Q11" s="107">
        <f>HYD!AE13</f>
        <v/>
      </c>
      <c r="R11" s="107">
        <f>HYD!AF13</f>
        <v/>
      </c>
      <c r="S11" s="107">
        <f>HYD!AG13</f>
        <v/>
      </c>
      <c r="T11" s="107">
        <f>HYD!AH13</f>
        <v/>
      </c>
      <c r="U11" s="107">
        <f>HYD!AI13</f>
        <v/>
      </c>
      <c r="V11" s="107">
        <f>HYD!AJ13</f>
        <v/>
      </c>
      <c r="W11" s="107">
        <f>HYD!AK13</f>
        <v/>
      </c>
      <c r="X11" s="107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>
        <v>0.6299999999999955</v>
      </c>
      <c r="AU11" s="54" t="n">
        <v>63.85000000000001</v>
      </c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2026-09-19T06:32:10Z</dcterms:modified>
  <cp:lastModifiedBy>baps</cp:lastModifiedBy>
</cp:coreProperties>
</file>