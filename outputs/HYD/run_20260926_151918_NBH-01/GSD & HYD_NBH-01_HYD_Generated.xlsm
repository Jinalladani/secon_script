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3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94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166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98.78</v>
                </pt>
                <pt idx="1">
                  <v>97.13</v>
                </pt>
                <pt idx="2">
                  <v>92.37</v>
                </pt>
                <pt idx="3">
                  <v>79.34</v>
                </pt>
                <pt idx="4">
                  <v>74.455</v>
                </pt>
                <pt idx="5">
                  <v>60.27</v>
                </pt>
                <pt idx="6">
                  <v>40.41499999999999</v>
                </pt>
                <pt idx="7">
                  <v>32.05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99.64</v>
                </pt>
                <pt idx="1">
                  <v>99.5</v>
                </pt>
                <pt idx="2">
                  <v>97.13</v>
                </pt>
                <pt idx="3">
                  <v>88.73</v>
                </pt>
                <pt idx="4">
                  <v>85.2</v>
                </pt>
                <pt idx="5">
                  <v>71.39</v>
                </pt>
                <pt idx="6">
                  <v>43.90000000000001</v>
                </pt>
                <pt idx="7">
                  <v>32.75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87.325</v>
                </pt>
                <pt idx="1">
                  <v>77.94</v>
                </pt>
                <pt idx="2">
                  <v>66.985</v>
                </pt>
                <pt idx="3">
                  <v>57.82000000000001</v>
                </pt>
                <pt idx="4">
                  <v>55.88999999999999</v>
                </pt>
                <pt idx="5">
                  <v>51.23999999999999</v>
                </pt>
                <pt idx="6">
                  <v>43.15000000000001</v>
                </pt>
                <pt idx="7">
                  <v>37.23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99.25</v>
                </pt>
                <pt idx="1">
                  <v>96.06</v>
                </pt>
                <pt idx="2">
                  <v>82.64</v>
                </pt>
                <pt idx="3">
                  <v>66.74000000000001</v>
                </pt>
                <pt idx="4">
                  <v>62.69</v>
                </pt>
                <pt idx="5">
                  <v>54.7</v>
                </pt>
                <pt idx="6">
                  <v>47.78</v>
                </pt>
                <pt idx="7">
                  <v>44.83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82.61</v>
                </pt>
                <pt idx="1">
                  <v>72.14</v>
                </pt>
                <pt idx="2">
                  <v>60.675</v>
                </pt>
                <pt idx="3">
                  <v>52.16999999999999</v>
                </pt>
                <pt idx="4">
                  <v>50.3</v>
                </pt>
                <pt idx="5">
                  <v>45.94499999999999</v>
                </pt>
                <pt idx="6">
                  <v>39.56</v>
                </pt>
                <pt idx="7">
                  <v>36.36499999999999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99.78</v>
                </pt>
                <pt idx="1">
                  <v>98.40000000000001</v>
                </pt>
                <pt idx="2">
                  <v>97.33</v>
                </pt>
                <pt idx="3">
                  <v>96.73</v>
                </pt>
                <pt idx="4">
                  <v>96.61</v>
                </pt>
                <pt idx="5">
                  <v>96.42</v>
                </pt>
                <pt idx="6">
                  <v>95.93000000000001</v>
                </pt>
                <pt idx="7">
                  <v>94.06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94.93000000000001</v>
                </pt>
                <pt idx="1">
                  <v>91.55</v>
                </pt>
                <pt idx="2">
                  <v>85.54000000000001</v>
                </pt>
                <pt idx="3">
                  <v>80.06</v>
                </pt>
                <pt idx="4">
                  <v>78.42</v>
                </pt>
                <pt idx="5">
                  <v>73.92</v>
                </pt>
                <pt idx="6">
                  <v>66.68000000000001</v>
                </pt>
                <pt idx="7">
                  <v>64.40000000000001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95.34999999999999</v>
                </pt>
                <pt idx="1">
                  <v>93.23</v>
                </pt>
                <pt idx="2">
                  <v>89.53</v>
                </pt>
                <pt idx="3">
                  <v>86.09999999999999</v>
                </pt>
                <pt idx="4">
                  <v>85.18000000000001</v>
                </pt>
                <pt idx="5">
                  <v>82.8</v>
                </pt>
                <pt idx="6">
                  <v>78.47</v>
                </pt>
                <pt idx="7">
                  <v>76.81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14.00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99.20999999999999</v>
                </pt>
                <pt idx="1">
                  <v>98.11</v>
                </pt>
                <pt idx="2">
                  <v>97.25</v>
                </pt>
                <pt idx="3">
                  <v>96.48</v>
                </pt>
                <pt idx="4">
                  <v>96.22</v>
                </pt>
                <pt idx="5">
                  <v>95.69</v>
                </pt>
                <pt idx="6">
                  <v>94.8</v>
                </pt>
                <pt idx="7">
                  <v>93.7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98.78</v>
                </pt>
                <pt idx="1">
                  <v>97.13</v>
                </pt>
                <pt idx="2">
                  <v>92.37</v>
                </pt>
                <pt idx="3">
                  <v>79.34</v>
                </pt>
                <pt idx="4">
                  <v>74.455</v>
                </pt>
                <pt idx="5">
                  <v>60.27</v>
                </pt>
                <pt idx="6">
                  <v>40.41499999999999</v>
                </pt>
                <pt idx="7">
                  <v>32.05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99.64</v>
                </pt>
                <pt idx="1">
                  <v>99.5</v>
                </pt>
                <pt idx="2">
                  <v>97.13</v>
                </pt>
                <pt idx="3">
                  <v>88.73</v>
                </pt>
                <pt idx="4">
                  <v>85.2</v>
                </pt>
                <pt idx="5">
                  <v>71.39</v>
                </pt>
                <pt idx="6">
                  <v>43.90000000000001</v>
                </pt>
                <pt idx="7">
                  <v>32.75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87.325</v>
                </pt>
                <pt idx="1">
                  <v>77.94</v>
                </pt>
                <pt idx="2">
                  <v>66.985</v>
                </pt>
                <pt idx="3">
                  <v>57.82000000000001</v>
                </pt>
                <pt idx="4">
                  <v>55.88999999999999</v>
                </pt>
                <pt idx="5">
                  <v>51.23999999999999</v>
                </pt>
                <pt idx="6">
                  <v>43.15000000000001</v>
                </pt>
                <pt idx="7">
                  <v>37.23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99.25</v>
                </pt>
                <pt idx="1">
                  <v>96.06</v>
                </pt>
                <pt idx="2">
                  <v>82.64</v>
                </pt>
                <pt idx="3">
                  <v>66.74000000000001</v>
                </pt>
                <pt idx="4">
                  <v>62.69</v>
                </pt>
                <pt idx="5">
                  <v>54.7</v>
                </pt>
                <pt idx="6">
                  <v>47.78</v>
                </pt>
                <pt idx="7">
                  <v>44.83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82.61</v>
                </pt>
                <pt idx="1">
                  <v>72.14</v>
                </pt>
                <pt idx="2">
                  <v>60.675</v>
                </pt>
                <pt idx="3">
                  <v>52.16999999999999</v>
                </pt>
                <pt idx="4">
                  <v>50.3</v>
                </pt>
                <pt idx="5">
                  <v>45.94499999999999</v>
                </pt>
                <pt idx="6">
                  <v>39.56</v>
                </pt>
                <pt idx="7">
                  <v>36.36499999999999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99.78</v>
                </pt>
                <pt idx="1">
                  <v>98.40000000000001</v>
                </pt>
                <pt idx="2">
                  <v>97.33</v>
                </pt>
                <pt idx="3">
                  <v>96.73</v>
                </pt>
                <pt idx="4">
                  <v>96.61</v>
                </pt>
                <pt idx="5">
                  <v>96.42</v>
                </pt>
                <pt idx="6">
                  <v>95.93000000000001</v>
                </pt>
                <pt idx="7">
                  <v>94.06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94.93000000000001</v>
                </pt>
                <pt idx="1">
                  <v>91.55</v>
                </pt>
                <pt idx="2">
                  <v>85.54000000000001</v>
                </pt>
                <pt idx="3">
                  <v>80.06</v>
                </pt>
                <pt idx="4">
                  <v>78.42</v>
                </pt>
                <pt idx="5">
                  <v>73.92</v>
                </pt>
                <pt idx="6">
                  <v>66.68000000000001</v>
                </pt>
                <pt idx="7">
                  <v>64.40000000000001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95.34999999999999</v>
                </pt>
                <pt idx="1">
                  <v>93.23</v>
                </pt>
                <pt idx="2">
                  <v>89.53</v>
                </pt>
                <pt idx="3">
                  <v>86.09999999999999</v>
                </pt>
                <pt idx="4">
                  <v>85.18000000000001</v>
                </pt>
                <pt idx="5">
                  <v>82.8</v>
                </pt>
                <pt idx="6">
                  <v>78.47</v>
                </pt>
                <pt idx="7">
                  <v>76.81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14.00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99.20999999999999</v>
                </pt>
                <pt idx="1">
                  <v>98.11</v>
                </pt>
                <pt idx="2">
                  <v>97.25</v>
                </pt>
                <pt idx="3">
                  <v>96.48</v>
                </pt>
                <pt idx="4">
                  <v>96.22</v>
                </pt>
                <pt idx="5">
                  <v>95.69</v>
                </pt>
                <pt idx="6">
                  <v>94.8</v>
                </pt>
                <pt idx="7">
                  <v>93.7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view="pageBreakPreview" zoomScale="95" zoomScaleNormal="85" zoomScaleSheetLayoutView="95" zoomScalePageLayoutView="85" workbookViewId="0">
      <selection activeCell="AC13" sqref="AC13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>
      <c r="A1" s="43" t="inlineStr">
        <is>
          <t>Grain Size Analysis (Sieve Analysis)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</row>
    <row r="2" ht="24.6" customHeight="1">
      <c r="A2" s="76" t="inlineStr">
        <is>
          <t>Sr No.</t>
        </is>
      </c>
      <c r="B2" s="77" t="inlineStr">
        <is>
          <t>BH ID</t>
        </is>
      </c>
      <c r="C2" s="77" t="inlineStr">
        <is>
          <t>Chainage</t>
        </is>
      </c>
      <c r="D2" s="77" t="inlineStr">
        <is>
          <t>Sample ID</t>
        </is>
      </c>
      <c r="E2" s="50" t="inlineStr">
        <is>
          <t>Sample Type</t>
        </is>
      </c>
      <c r="F2" s="50" t="inlineStr">
        <is>
          <t>Depth</t>
        </is>
      </c>
      <c r="G2" s="50" t="inlineStr">
        <is>
          <t>Container No.</t>
        </is>
      </c>
      <c r="H2" s="50" t="inlineStr">
        <is>
          <t>Weight of Sample taken for Sieve Analysis</t>
        </is>
      </c>
      <c r="I2" s="78" t="inlineStr">
        <is>
          <t>Weight of Sample Remain after washing through 75µ sieve</t>
        </is>
      </c>
      <c r="J2" s="54" t="inlineStr">
        <is>
          <t>Weight Retained on IS Sieve</t>
        </is>
      </c>
      <c r="K2" s="79" t="n"/>
      <c r="L2" s="79" t="n"/>
      <c r="M2" s="79" t="n"/>
      <c r="N2" s="79" t="n"/>
      <c r="O2" s="79" t="n"/>
      <c r="P2" s="79" t="n"/>
      <c r="Q2" s="79" t="n"/>
      <c r="R2" s="80" t="n"/>
      <c r="S2" s="54" t="inlineStr">
        <is>
          <t>% Passing</t>
        </is>
      </c>
      <c r="T2" s="79" t="n"/>
      <c r="U2" s="79" t="n"/>
      <c r="V2" s="79" t="n"/>
      <c r="W2" s="79" t="n"/>
      <c r="X2" s="79" t="n"/>
      <c r="Y2" s="79" t="n"/>
      <c r="Z2" s="80" t="n"/>
      <c r="AA2" s="53" t="inlineStr">
        <is>
          <t xml:space="preserve">Gravel </t>
        </is>
      </c>
      <c r="AB2" s="53" t="inlineStr">
        <is>
          <t>Sand</t>
        </is>
      </c>
      <c r="AC2" s="53" t="inlineStr">
        <is>
          <t>Fines</t>
        </is>
      </c>
    </row>
    <row r="3" ht="40.5" customHeight="1">
      <c r="A3" s="81" t="n"/>
      <c r="B3" s="81" t="n"/>
      <c r="C3" s="81" t="n"/>
      <c r="D3" s="81" t="n"/>
      <c r="E3" s="82" t="n"/>
      <c r="F3" s="82" t="n"/>
      <c r="G3" s="82" t="n"/>
      <c r="H3" s="82" t="n"/>
      <c r="I3" s="83" t="n"/>
      <c r="J3" s="52" t="n">
        <v>4.75</v>
      </c>
      <c r="K3" s="3" t="n">
        <v>2</v>
      </c>
      <c r="L3" s="3" t="n">
        <v>1.18</v>
      </c>
      <c r="M3" s="84" t="n">
        <v>0.6</v>
      </c>
      <c r="N3" s="52" t="n">
        <v>0.425</v>
      </c>
      <c r="O3" s="84" t="n">
        <v>0.3</v>
      </c>
      <c r="P3" s="84" t="n">
        <v>0.15</v>
      </c>
      <c r="Q3" s="52" t="n">
        <v>0.075</v>
      </c>
      <c r="R3" s="52" t="inlineStr">
        <is>
          <t>Pan</t>
        </is>
      </c>
      <c r="S3" s="50" t="n">
        <v>4.75</v>
      </c>
      <c r="T3" s="6" t="n">
        <v>2</v>
      </c>
      <c r="U3" s="6" t="n">
        <v>1.18</v>
      </c>
      <c r="V3" s="85" t="n">
        <v>0.6</v>
      </c>
      <c r="W3" s="50" t="n">
        <v>0.425</v>
      </c>
      <c r="X3" s="85" t="n">
        <v>0.3</v>
      </c>
      <c r="Y3" s="85" t="n">
        <v>0.15</v>
      </c>
      <c r="Z3" s="85" t="n">
        <v>0.075</v>
      </c>
      <c r="AA3" s="82" t="n"/>
      <c r="AB3" s="82" t="n"/>
      <c r="AC3" s="82" t="n"/>
    </row>
    <row r="4" ht="21.6" customHeight="1">
      <c r="A4" s="83" t="n"/>
      <c r="B4" s="83" t="n"/>
      <c r="C4" s="83" t="n"/>
      <c r="D4" s="83" t="n"/>
      <c r="E4" s="52" t="inlineStr">
        <is>
          <t>-</t>
        </is>
      </c>
      <c r="F4" s="54" t="inlineStr">
        <is>
          <t>(m)</t>
        </is>
      </c>
      <c r="G4" s="54" t="inlineStr">
        <is>
          <t>-</t>
        </is>
      </c>
      <c r="H4" s="54" t="inlineStr">
        <is>
          <t>(gm)</t>
        </is>
      </c>
      <c r="I4" s="54" t="inlineStr">
        <is>
          <t>(gm)</t>
        </is>
      </c>
      <c r="J4" s="54" t="inlineStr">
        <is>
          <t>(gm)</t>
        </is>
      </c>
      <c r="K4" s="79" t="n"/>
      <c r="L4" s="79" t="n"/>
      <c r="M4" s="79" t="n"/>
      <c r="N4" s="79" t="n"/>
      <c r="O4" s="79" t="n"/>
      <c r="P4" s="79" t="n"/>
      <c r="Q4" s="79" t="n"/>
      <c r="R4" s="80" t="n"/>
      <c r="S4" s="54" t="inlineStr">
        <is>
          <t>(gm)</t>
        </is>
      </c>
      <c r="T4" s="79" t="n"/>
      <c r="U4" s="79" t="n"/>
      <c r="V4" s="79" t="n"/>
      <c r="W4" s="79" t="n"/>
      <c r="X4" s="79" t="n"/>
      <c r="Y4" s="79" t="n"/>
      <c r="Z4" s="80" t="n"/>
      <c r="AA4" s="55" t="inlineStr">
        <is>
          <t>%</t>
        </is>
      </c>
      <c r="AB4" s="79" t="n"/>
      <c r="AC4" s="80" t="n"/>
    </row>
    <row r="5" ht="30" customHeight="1">
      <c r="A5" s="55" t="n">
        <v>1</v>
      </c>
      <c r="B5" s="57" t="inlineStr">
        <is>
          <t>NBH-01</t>
        </is>
      </c>
      <c r="C5" s="57" t="n"/>
      <c r="D5" s="58" t="n"/>
      <c r="E5" s="37" t="inlineStr">
        <is>
          <t>UDS</t>
        </is>
      </c>
      <c r="F5" s="24" t="n">
        <v>1.5</v>
      </c>
      <c r="G5" s="37" t="n"/>
      <c r="H5" s="58" t="n">
        <v>200</v>
      </c>
      <c r="I5" s="24">
        <f>H5-SUM(J5:Q5)</f>
        <v/>
      </c>
      <c r="J5" s="24" t="n">
        <v>2.44</v>
      </c>
      <c r="K5" s="24" t="n">
        <v>3.3</v>
      </c>
      <c r="L5" s="24" t="n">
        <v>9.52</v>
      </c>
      <c r="M5" s="24" t="n">
        <v>26.06</v>
      </c>
      <c r="N5" s="24" t="n">
        <v>9.77</v>
      </c>
      <c r="O5" s="24" t="n">
        <v>28.37</v>
      </c>
      <c r="P5" s="24" t="n">
        <v>39.71</v>
      </c>
      <c r="Q5" s="24" t="n">
        <v>16.73</v>
      </c>
      <c r="R5" s="10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>
      <c r="A6" s="55" t="n">
        <v>2</v>
      </c>
      <c r="B6" s="86" t="n"/>
      <c r="C6" s="86" t="n"/>
      <c r="D6" s="86" t="n"/>
      <c r="E6" s="37" t="inlineStr">
        <is>
          <t>SPT</t>
        </is>
      </c>
      <c r="F6" s="24" t="n">
        <v>2</v>
      </c>
      <c r="G6" s="37" t="n"/>
      <c r="H6" s="58" t="n">
        <v>100</v>
      </c>
      <c r="I6" s="24">
        <f>H6-SUM(J6:Q6)</f>
        <v/>
      </c>
      <c r="J6" s="24" t="n">
        <v>0.36</v>
      </c>
      <c r="K6" s="24" t="n">
        <v>0.14</v>
      </c>
      <c r="L6" s="24" t="n">
        <v>2.37</v>
      </c>
      <c r="M6" s="24" t="n">
        <v>8.4</v>
      </c>
      <c r="N6" s="24" t="n">
        <v>3.53</v>
      </c>
      <c r="O6" s="24" t="n">
        <v>13.81</v>
      </c>
      <c r="P6" s="24" t="n">
        <v>27.49</v>
      </c>
      <c r="Q6" s="24" t="n">
        <v>11.15</v>
      </c>
      <c r="R6" s="10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>
      <c r="A7" s="55" t="n">
        <v>3</v>
      </c>
      <c r="B7" s="86" t="n"/>
      <c r="C7" s="86" t="n"/>
      <c r="D7" s="86" t="n"/>
      <c r="E7" s="37" t="inlineStr">
        <is>
          <t>UDS</t>
        </is>
      </c>
      <c r="F7" s="24" t="n">
        <v>4.5</v>
      </c>
      <c r="G7" s="37" t="n"/>
      <c r="H7" s="58" t="n">
        <v>200</v>
      </c>
      <c r="I7" s="24">
        <f>H7-SUM(J7:Q7)</f>
        <v/>
      </c>
      <c r="J7" s="24" t="n">
        <v>25.35</v>
      </c>
      <c r="K7" s="24" t="n">
        <v>18.77</v>
      </c>
      <c r="L7" s="24" t="n">
        <v>21.91</v>
      </c>
      <c r="M7" s="24" t="n">
        <v>18.33</v>
      </c>
      <c r="N7" s="24" t="n">
        <v>3.86</v>
      </c>
      <c r="O7" s="24" t="n">
        <v>9.300000000000001</v>
      </c>
      <c r="P7" s="24" t="n">
        <v>16.18</v>
      </c>
      <c r="Q7" s="24" t="n">
        <v>11.84</v>
      </c>
      <c r="R7" s="10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>
      <c r="A8" s="55" t="n">
        <v>4</v>
      </c>
      <c r="B8" s="86" t="n"/>
      <c r="C8" s="86" t="n"/>
      <c r="D8" s="86" t="n"/>
      <c r="E8" s="37" t="inlineStr">
        <is>
          <t>SPT</t>
        </is>
      </c>
      <c r="F8" s="24" t="n">
        <v>6.5</v>
      </c>
      <c r="G8" s="37" t="n"/>
      <c r="H8" s="58" t="n">
        <v>100</v>
      </c>
      <c r="I8" s="24">
        <f>H8-SUM(J8:Q8)</f>
        <v/>
      </c>
      <c r="J8" s="24" t="n">
        <v>0.75</v>
      </c>
      <c r="K8" s="24" t="n">
        <v>3.19</v>
      </c>
      <c r="L8" s="24" t="n">
        <v>13.42</v>
      </c>
      <c r="M8" s="24" t="n">
        <v>15.9</v>
      </c>
      <c r="N8" s="24" t="n">
        <v>4.05</v>
      </c>
      <c r="O8" s="24" t="n">
        <v>7.99</v>
      </c>
      <c r="P8" s="24" t="n">
        <v>6.92</v>
      </c>
      <c r="Q8" s="24" t="n">
        <v>2.95</v>
      </c>
      <c r="R8" s="10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>
      <c r="A9" s="55" t="n">
        <v>5</v>
      </c>
      <c r="B9" s="86" t="n"/>
      <c r="C9" s="86" t="n"/>
      <c r="D9" s="86" t="n"/>
      <c r="E9" s="37" t="inlineStr">
        <is>
          <t>UDS</t>
        </is>
      </c>
      <c r="F9" s="24" t="n">
        <v>7.5</v>
      </c>
      <c r="G9" s="37" t="n"/>
      <c r="H9" s="58" t="n">
        <v>200</v>
      </c>
      <c r="I9" s="24">
        <f>H9-SUM(J9:Q9)</f>
        <v/>
      </c>
      <c r="J9" s="24" t="n">
        <v>34.78</v>
      </c>
      <c r="K9" s="24" t="n">
        <v>20.94</v>
      </c>
      <c r="L9" s="24" t="n">
        <v>22.93</v>
      </c>
      <c r="M9" s="24" t="n">
        <v>17.01</v>
      </c>
      <c r="N9" s="24" t="n">
        <v>3.74</v>
      </c>
      <c r="O9" s="24" t="n">
        <v>8.710000000000001</v>
      </c>
      <c r="P9" s="24" t="n">
        <v>12.77</v>
      </c>
      <c r="Q9" s="24" t="n">
        <v>6.39</v>
      </c>
      <c r="R9" s="10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55" t="n">
        <v>6</v>
      </c>
      <c r="B10" s="86" t="n"/>
      <c r="C10" s="86" t="n"/>
      <c r="D10" s="86" t="n"/>
      <c r="E10" s="37" t="inlineStr">
        <is>
          <t>UDS</t>
        </is>
      </c>
      <c r="F10" s="24" t="n">
        <v>10.5</v>
      </c>
      <c r="G10" s="37" t="n"/>
      <c r="H10" s="58" t="n">
        <v>100</v>
      </c>
      <c r="I10" s="24">
        <f>H10-SUM(J10:Q10)</f>
        <v/>
      </c>
      <c r="J10" s="24" t="n">
        <v>0.22</v>
      </c>
      <c r="K10" s="24" t="n">
        <v>1.38</v>
      </c>
      <c r="L10" s="24" t="n">
        <v>1.07</v>
      </c>
      <c r="M10" s="24" t="n">
        <v>0.6</v>
      </c>
      <c r="N10" s="24" t="n">
        <v>0.12</v>
      </c>
      <c r="O10" s="24" t="n">
        <v>0.19</v>
      </c>
      <c r="P10" s="24" t="n">
        <v>0.49</v>
      </c>
      <c r="Q10" s="24" t="n">
        <v>1.87</v>
      </c>
      <c r="R10" s="10" t="n"/>
      <c r="S10" s="36">
        <f>((H10-(SUM(J10)))/H10)*100</f>
        <v/>
      </c>
      <c r="T10" s="36">
        <f>((H10-(SUM(J10:K10)))/H10)*100</f>
        <v/>
      </c>
      <c r="U10" s="36">
        <f>((H10-(SUM(J10:L10)))/H10)*100</f>
        <v/>
      </c>
      <c r="V10" s="36">
        <f>((H10-(SUM(J10:M10)))/H10)*100</f>
        <v/>
      </c>
      <c r="W10" s="36">
        <f>((H10-(SUM(J10:N10)))/H10)*100</f>
        <v/>
      </c>
      <c r="X10" s="36">
        <f>((H10-(SUM(J10:O10)))/H10)*100</f>
        <v/>
      </c>
      <c r="Y10" s="36">
        <f>((H10-(SUM(J10:P10)))/H10)*100</f>
        <v/>
      </c>
      <c r="Z10" s="36">
        <f>((H10-(SUM(J10:Q10)))/H10)*100</f>
        <v/>
      </c>
      <c r="AA10" s="36">
        <f>100-S10</f>
        <v/>
      </c>
      <c r="AB10" s="36">
        <f>S10-Z10</f>
        <v/>
      </c>
      <c r="AC10" s="36">
        <f>Z10</f>
        <v/>
      </c>
    </row>
    <row r="11" ht="30" customHeight="1">
      <c r="A11" s="55" t="n">
        <v>7</v>
      </c>
      <c r="B11" s="86" t="n"/>
      <c r="C11" s="86" t="n"/>
      <c r="D11" s="86" t="n"/>
      <c r="E11" s="37" t="inlineStr">
        <is>
          <t>SPT</t>
        </is>
      </c>
      <c r="F11" s="24" t="n">
        <v>12.5</v>
      </c>
      <c r="G11" s="37" t="n"/>
      <c r="H11" s="58" t="n">
        <v>100</v>
      </c>
      <c r="I11" s="24">
        <f>H11-SUM(J11:Q11)</f>
        <v/>
      </c>
      <c r="J11" s="24" t="n">
        <v>5.07</v>
      </c>
      <c r="K11" s="24" t="n">
        <v>3.38</v>
      </c>
      <c r="L11" s="24" t="n">
        <v>6.01</v>
      </c>
      <c r="M11" s="24" t="n">
        <v>5.48</v>
      </c>
      <c r="N11" s="24" t="n">
        <v>1.64</v>
      </c>
      <c r="O11" s="24" t="n">
        <v>4.5</v>
      </c>
      <c r="P11" s="24" t="n">
        <v>7.24</v>
      </c>
      <c r="Q11" s="24" t="n">
        <v>2.28</v>
      </c>
      <c r="R11" s="10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>
      <c r="A12" s="55" t="n">
        <v>8</v>
      </c>
      <c r="B12" s="86" t="n"/>
      <c r="C12" s="86" t="n"/>
      <c r="D12" s="86" t="n"/>
      <c r="E12" s="37" t="inlineStr">
        <is>
          <t>UDS</t>
        </is>
      </c>
      <c r="F12" s="24" t="n">
        <v>13.5</v>
      </c>
      <c r="G12" s="37" t="n"/>
      <c r="H12" s="58" t="n">
        <v>100</v>
      </c>
      <c r="I12" s="24">
        <f>H12-SUM(J12:Q12)</f>
        <v/>
      </c>
      <c r="J12" s="24" t="n">
        <v>4.65</v>
      </c>
      <c r="K12" s="24" t="n">
        <v>2.12</v>
      </c>
      <c r="L12" s="24" t="n">
        <v>3.7</v>
      </c>
      <c r="M12" s="24" t="n">
        <v>3.43</v>
      </c>
      <c r="N12" s="24" t="n">
        <v>0.92</v>
      </c>
      <c r="O12" s="24" t="n">
        <v>2.38</v>
      </c>
      <c r="P12" s="24" t="n">
        <v>4.33</v>
      </c>
      <c r="Q12" s="24" t="n">
        <v>1.66</v>
      </c>
      <c r="R12" s="10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>
      <c r="A13" s="55" t="n">
        <v>9</v>
      </c>
      <c r="B13" s="82" t="n"/>
      <c r="C13" s="82" t="n"/>
      <c r="D13" s="82" t="n"/>
      <c r="E13" s="37" t="inlineStr">
        <is>
          <t>SPT</t>
        </is>
      </c>
      <c r="F13" s="24" t="n">
        <v>14</v>
      </c>
      <c r="G13" s="37" t="n"/>
      <c r="H13" s="58" t="n">
        <v>100</v>
      </c>
      <c r="I13" s="24">
        <f>H13-SUM(J13:Q13)</f>
        <v/>
      </c>
      <c r="J13" s="24" t="n">
        <v>0.79</v>
      </c>
      <c r="K13" s="24" t="n">
        <v>1.1</v>
      </c>
      <c r="L13" s="24" t="n">
        <v>0.86</v>
      </c>
      <c r="M13" s="24" t="n">
        <v>0.77</v>
      </c>
      <c r="N13" s="24" t="n">
        <v>0.26</v>
      </c>
      <c r="O13" s="24" t="n">
        <v>0.53</v>
      </c>
      <c r="P13" s="24" t="n">
        <v>0.89</v>
      </c>
      <c r="Q13" s="24" t="n">
        <v>1.1</v>
      </c>
      <c r="R13" s="10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D21" sqref="D21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7" t="inlineStr">
        <is>
          <t>Sr No.</t>
        </is>
      </c>
      <c r="B1" s="88" t="inlineStr">
        <is>
          <t>BH ID</t>
        </is>
      </c>
      <c r="C1" s="88" t="inlineStr">
        <is>
          <t>Depth</t>
        </is>
      </c>
      <c r="D1" s="87" t="inlineStr">
        <is>
          <t>Sample Type</t>
        </is>
      </c>
      <c r="E1" s="87" t="inlineStr">
        <is>
          <t xml:space="preserve">Temperature </t>
        </is>
      </c>
      <c r="F1" s="87" t="inlineStr">
        <is>
          <t xml:space="preserve">Coefficent of Viscosity </t>
        </is>
      </c>
      <c r="G1" s="87" t="inlineStr">
        <is>
          <t>SPGR</t>
        </is>
      </c>
      <c r="H1" s="87" t="inlineStr">
        <is>
          <t xml:space="preserve"> Meniscus Correction (Cm)</t>
        </is>
      </c>
      <c r="I1" s="68" t="inlineStr">
        <is>
          <t>Hydrometer No.</t>
        </is>
      </c>
      <c r="J1" s="87" t="inlineStr">
        <is>
          <t>Cylinder Type</t>
        </is>
      </c>
      <c r="K1" s="87" t="inlineStr">
        <is>
          <t>Mt (temperature correction)</t>
        </is>
      </c>
      <c r="L1" s="87" t="inlineStr">
        <is>
          <t>X (dispersion correction)</t>
        </is>
      </c>
      <c r="M1" s="66" t="inlineStr">
        <is>
          <t xml:space="preserve"> Hydrometer Reading at Elapsed Time (min)</t>
        </is>
      </c>
      <c r="N1" s="79" t="n"/>
      <c r="O1" s="79" t="n"/>
      <c r="P1" s="79" t="n"/>
      <c r="Q1" s="79" t="n"/>
      <c r="R1" s="79" t="n"/>
      <c r="S1" s="79" t="n"/>
      <c r="T1" s="79" t="n"/>
      <c r="U1" s="79" t="n"/>
      <c r="V1" s="79" t="n"/>
      <c r="W1" s="79" t="n"/>
      <c r="X1" s="79" t="n"/>
      <c r="Y1" s="80" t="n"/>
      <c r="Z1" s="66" t="inlineStr">
        <is>
          <t>Diameter of the particle at Elapsed Time</t>
        </is>
      </c>
      <c r="AA1" s="79" t="n"/>
      <c r="AB1" s="79" t="n"/>
      <c r="AC1" s="79" t="n"/>
      <c r="AD1" s="79" t="n"/>
      <c r="AE1" s="79" t="n"/>
      <c r="AF1" s="79" t="n"/>
      <c r="AG1" s="79" t="n"/>
      <c r="AH1" s="79" t="n"/>
      <c r="AI1" s="79" t="n"/>
      <c r="AJ1" s="79" t="n"/>
      <c r="AK1" s="79" t="n"/>
      <c r="AL1" s="80" t="n"/>
      <c r="AM1" s="67" t="inlineStr">
        <is>
          <t>Percentge finer than Diameter of the particle at Elapsed Time</t>
        </is>
      </c>
      <c r="AN1" s="79" t="n"/>
      <c r="AO1" s="79" t="n"/>
      <c r="AP1" s="79" t="n"/>
      <c r="AQ1" s="79" t="n"/>
      <c r="AR1" s="79" t="n"/>
      <c r="AS1" s="79" t="n"/>
      <c r="AT1" s="79" t="n"/>
      <c r="AU1" s="79" t="n"/>
      <c r="AV1" s="79" t="n"/>
      <c r="AW1" s="79" t="n"/>
      <c r="AX1" s="79" t="n"/>
      <c r="AY1" s="80" t="n"/>
      <c r="AZ1" s="22" t="n"/>
      <c r="BA1" s="22" t="n"/>
    </row>
    <row r="2">
      <c r="A2" s="81" t="n"/>
      <c r="B2" s="81" t="n"/>
      <c r="C2" s="81" t="n"/>
      <c r="D2" s="81" t="n"/>
      <c r="E2" s="81" t="n"/>
      <c r="F2" s="81" t="n"/>
      <c r="G2" s="81" t="n"/>
      <c r="H2" s="81" t="n"/>
      <c r="I2" s="86" t="n"/>
      <c r="J2" s="81" t="n"/>
      <c r="K2" s="81" t="n"/>
      <c r="L2" s="81" t="n"/>
      <c r="M2" s="89" t="n">
        <v>0.5</v>
      </c>
      <c r="N2" s="65" t="n">
        <v>1</v>
      </c>
      <c r="O2" s="65" t="n">
        <v>2</v>
      </c>
      <c r="P2" s="65" t="n">
        <v>4</v>
      </c>
      <c r="Q2" s="65" t="n">
        <v>8</v>
      </c>
      <c r="R2" s="65" t="n">
        <v>15</v>
      </c>
      <c r="S2" s="65" t="n">
        <v>30</v>
      </c>
      <c r="T2" s="65" t="n">
        <v>60</v>
      </c>
      <c r="U2" s="65" t="n">
        <v>120</v>
      </c>
      <c r="V2" s="65" t="n">
        <v>240</v>
      </c>
      <c r="W2" s="65" t="n">
        <v>480</v>
      </c>
      <c r="X2" s="65" t="n">
        <v>960</v>
      </c>
      <c r="Y2" s="65" t="n">
        <v>1440</v>
      </c>
      <c r="Z2" s="89" t="n">
        <v>0.5</v>
      </c>
      <c r="AA2" s="65" t="n">
        <v>1</v>
      </c>
      <c r="AB2" s="65" t="n">
        <v>2</v>
      </c>
      <c r="AC2" s="65" t="n">
        <v>4</v>
      </c>
      <c r="AD2" s="65" t="n">
        <v>8</v>
      </c>
      <c r="AE2" s="65" t="n">
        <v>15</v>
      </c>
      <c r="AF2" s="65" t="n">
        <v>30</v>
      </c>
      <c r="AG2" s="65" t="n">
        <v>60</v>
      </c>
      <c r="AH2" s="65" t="n">
        <v>120</v>
      </c>
      <c r="AI2" s="65" t="n">
        <v>240</v>
      </c>
      <c r="AJ2" s="65" t="n">
        <v>480</v>
      </c>
      <c r="AK2" s="65" t="n">
        <v>960</v>
      </c>
      <c r="AL2" s="65" t="n">
        <v>1440</v>
      </c>
      <c r="AM2" s="89" t="n">
        <v>0.5</v>
      </c>
      <c r="AN2" s="65" t="n">
        <v>1</v>
      </c>
      <c r="AO2" s="65" t="n">
        <v>2</v>
      </c>
      <c r="AP2" s="65" t="n">
        <v>4</v>
      </c>
      <c r="AQ2" s="65" t="n">
        <v>8</v>
      </c>
      <c r="AR2" s="65" t="n">
        <v>15</v>
      </c>
      <c r="AS2" s="65" t="n">
        <v>30</v>
      </c>
      <c r="AT2" s="65" t="n">
        <v>60</v>
      </c>
      <c r="AU2" s="65" t="n">
        <v>120</v>
      </c>
      <c r="AV2" s="65" t="n">
        <v>240</v>
      </c>
      <c r="AW2" s="65" t="n">
        <v>480</v>
      </c>
      <c r="AX2" s="65" t="n">
        <v>960</v>
      </c>
      <c r="AY2" s="65" t="n">
        <v>1440</v>
      </c>
      <c r="AZ2" s="22" t="n"/>
      <c r="BA2" s="22" t="n"/>
    </row>
    <row r="3">
      <c r="A3" s="81" t="n"/>
      <c r="B3" s="81" t="n"/>
      <c r="C3" s="81" t="n"/>
      <c r="D3" s="83" t="n"/>
      <c r="E3" s="83" t="n"/>
      <c r="F3" s="83" t="n"/>
      <c r="G3" s="83" t="n"/>
      <c r="H3" s="83" t="n"/>
      <c r="I3" s="82" t="n"/>
      <c r="J3" s="83" t="n"/>
      <c r="K3" s="83" t="n"/>
      <c r="L3" s="83" t="n"/>
      <c r="M3" s="82" t="n"/>
      <c r="N3" s="82" t="n"/>
      <c r="O3" s="82" t="n"/>
      <c r="P3" s="82" t="n"/>
      <c r="Q3" s="82" t="n"/>
      <c r="R3" s="82" t="n"/>
      <c r="S3" s="82" t="n"/>
      <c r="T3" s="82" t="n"/>
      <c r="U3" s="82" t="n"/>
      <c r="V3" s="82" t="n"/>
      <c r="W3" s="82" t="n"/>
      <c r="X3" s="82" t="n"/>
      <c r="Y3" s="82" t="n"/>
      <c r="Z3" s="82" t="n"/>
      <c r="AA3" s="82" t="n"/>
      <c r="AB3" s="82" t="n"/>
      <c r="AC3" s="82" t="n"/>
      <c r="AD3" s="82" t="n"/>
      <c r="AE3" s="82" t="n"/>
      <c r="AF3" s="82" t="n"/>
      <c r="AG3" s="82" t="n"/>
      <c r="AH3" s="82" t="n"/>
      <c r="AI3" s="82" t="n"/>
      <c r="AJ3" s="82" t="n"/>
      <c r="AK3" s="82" t="n"/>
      <c r="AL3" s="82" t="n"/>
      <c r="AM3" s="82" t="n"/>
      <c r="AN3" s="82" t="n"/>
      <c r="AO3" s="82" t="n"/>
      <c r="AP3" s="82" t="n"/>
      <c r="AQ3" s="82" t="n"/>
      <c r="AR3" s="82" t="n"/>
      <c r="AS3" s="82" t="n"/>
      <c r="AT3" s="82" t="n"/>
      <c r="AU3" s="82" t="n"/>
      <c r="AV3" s="82" t="n"/>
      <c r="AW3" s="82" t="n"/>
      <c r="AX3" s="82" t="n"/>
      <c r="AY3" s="82" t="n"/>
      <c r="AZ3" s="22" t="n"/>
      <c r="BA3" s="22" t="n"/>
    </row>
    <row r="4">
      <c r="A4" s="83" t="n"/>
      <c r="B4" s="83" t="n"/>
      <c r="C4" s="83" t="n"/>
      <c r="D4" s="61" t="inlineStr">
        <is>
          <t>-</t>
        </is>
      </c>
      <c r="E4" s="61" t="inlineStr">
        <is>
          <t>(°C)</t>
        </is>
      </c>
      <c r="F4" s="61" t="inlineStr">
        <is>
          <t>Poise</t>
        </is>
      </c>
      <c r="G4" s="61" t="inlineStr">
        <is>
          <t>-</t>
        </is>
      </c>
      <c r="H4" s="61" t="inlineStr">
        <is>
          <t>-</t>
        </is>
      </c>
      <c r="I4" s="68" t="inlineStr">
        <is>
          <t>-</t>
        </is>
      </c>
      <c r="J4" s="70" t="n"/>
      <c r="K4" s="70" t="inlineStr">
        <is>
          <t>-</t>
        </is>
      </c>
      <c r="L4" s="70" t="inlineStr">
        <is>
          <t>-</t>
        </is>
      </c>
      <c r="M4" s="68" t="n"/>
      <c r="N4" s="79" t="n"/>
      <c r="O4" s="79" t="n"/>
      <c r="P4" s="79" t="n"/>
      <c r="Q4" s="79" t="n"/>
      <c r="R4" s="79" t="n"/>
      <c r="S4" s="79" t="n"/>
      <c r="T4" s="79" t="n"/>
      <c r="U4" s="79" t="n"/>
      <c r="V4" s="79" t="n"/>
      <c r="W4" s="79" t="n"/>
      <c r="X4" s="79" t="n"/>
      <c r="Y4" s="80" t="n"/>
      <c r="Z4" s="68" t="inlineStr">
        <is>
          <t>(mm)</t>
        </is>
      </c>
      <c r="AA4" s="79" t="n"/>
      <c r="AB4" s="79" t="n"/>
      <c r="AC4" s="79" t="n"/>
      <c r="AD4" s="79" t="n"/>
      <c r="AE4" s="79" t="n"/>
      <c r="AF4" s="79" t="n"/>
      <c r="AG4" s="79" t="n"/>
      <c r="AH4" s="79" t="n"/>
      <c r="AI4" s="79" t="n"/>
      <c r="AJ4" s="79" t="n"/>
      <c r="AK4" s="79" t="n"/>
      <c r="AL4" s="80" t="n"/>
      <c r="AM4" s="68" t="inlineStr">
        <is>
          <t>(%)</t>
        </is>
      </c>
      <c r="AN4" s="79" t="n"/>
      <c r="AO4" s="79" t="n"/>
      <c r="AP4" s="79" t="n"/>
      <c r="AQ4" s="79" t="n"/>
      <c r="AR4" s="79" t="n"/>
      <c r="AS4" s="79" t="n"/>
      <c r="AT4" s="79" t="n"/>
      <c r="AU4" s="79" t="n"/>
      <c r="AV4" s="79" t="n"/>
      <c r="AW4" s="79" t="n"/>
      <c r="AX4" s="79" t="n"/>
      <c r="AY4" s="80" t="n"/>
      <c r="AZ4" s="20" t="n"/>
      <c r="BA4" s="20" t="n"/>
    </row>
    <row r="5">
      <c r="A5" s="27" t="n">
        <v>1</v>
      </c>
      <c r="B5" s="27">
        <f>GSD!B5</f>
        <v/>
      </c>
      <c r="C5" s="32">
        <f>GSD!F5</f>
        <v/>
      </c>
      <c r="D5" s="27">
        <f>GSD!E5</f>
        <v/>
      </c>
      <c r="E5" s="28" t="n">
        <v>27</v>
      </c>
      <c r="F5" s="90" t="n">
        <v>0.008559421270000001</v>
      </c>
      <c r="G5" s="91" t="n">
        <v>2.68</v>
      </c>
      <c r="H5" s="27" t="n">
        <v>0.0005</v>
      </c>
      <c r="I5" s="27" t="n">
        <v>1</v>
      </c>
      <c r="J5" s="27" t="n">
        <v>1</v>
      </c>
      <c r="K5" s="28" t="n">
        <v>0</v>
      </c>
      <c r="L5" s="27" t="n">
        <v>0.3</v>
      </c>
      <c r="M5" s="91" t="n">
        <v>1.01</v>
      </c>
      <c r="N5" s="91" t="n">
        <v>1.01</v>
      </c>
      <c r="O5" s="91" t="n">
        <v>1.01</v>
      </c>
      <c r="P5" s="91" t="n">
        <v>1.01</v>
      </c>
      <c r="Q5" s="91" t="n">
        <v>1.01</v>
      </c>
      <c r="R5" s="91" t="n">
        <v>1.009</v>
      </c>
      <c r="S5" s="91" t="n">
        <v>1.009</v>
      </c>
      <c r="T5" s="91" t="n">
        <v>1.009</v>
      </c>
      <c r="U5" s="91" t="n">
        <v>1.009</v>
      </c>
      <c r="V5" s="91" t="n">
        <v>1.008</v>
      </c>
      <c r="W5" s="91" t="n">
        <v>1.008</v>
      </c>
      <c r="X5" s="91" t="n">
        <v>1.008</v>
      </c>
      <c r="Y5" s="91" t="n">
        <v>1.008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21" t="n"/>
      <c r="BA5" s="21" t="n"/>
    </row>
    <row r="6">
      <c r="A6" s="27" t="n">
        <v>2</v>
      </c>
      <c r="B6" s="27">
        <f>B5</f>
        <v/>
      </c>
      <c r="C6" s="32">
        <f>GSD!F6</f>
        <v/>
      </c>
      <c r="D6" s="27">
        <f>GSD!E6</f>
        <v/>
      </c>
      <c r="E6" s="28" t="n">
        <v>27</v>
      </c>
      <c r="F6" s="90" t="n">
        <v>0.008559421270000001</v>
      </c>
      <c r="G6" s="91" t="n">
        <v>2.63</v>
      </c>
      <c r="H6" s="27" t="n">
        <v>0.0005</v>
      </c>
      <c r="I6" s="27" t="n">
        <v>1</v>
      </c>
      <c r="J6" s="27" t="n">
        <v>1</v>
      </c>
      <c r="K6" s="28" t="n">
        <v>0</v>
      </c>
      <c r="L6" s="27" t="n">
        <v>0.3</v>
      </c>
      <c r="M6" s="91" t="n">
        <v>1.01</v>
      </c>
      <c r="N6" s="91" t="n">
        <v>1.01</v>
      </c>
      <c r="O6" s="91" t="n">
        <v>1.01</v>
      </c>
      <c r="P6" s="91" t="n">
        <v>1.01</v>
      </c>
      <c r="Q6" s="91" t="n">
        <v>1.009</v>
      </c>
      <c r="R6" s="91" t="n">
        <v>1.009</v>
      </c>
      <c r="S6" s="91" t="n">
        <v>1.009</v>
      </c>
      <c r="T6" s="91" t="n">
        <v>1.009</v>
      </c>
      <c r="U6" s="91" t="n">
        <v>1.008</v>
      </c>
      <c r="V6" s="91" t="n">
        <v>1.008</v>
      </c>
      <c r="W6" s="91" t="n">
        <v>1.008</v>
      </c>
      <c r="X6" s="91" t="n">
        <v>1.007</v>
      </c>
      <c r="Y6" s="91" t="n">
        <v>1.007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21" t="n"/>
      <c r="BA6" s="21" t="n"/>
    </row>
    <row r="7">
      <c r="A7" s="27" t="n">
        <v>3</v>
      </c>
      <c r="B7" s="27">
        <f>B6</f>
        <v/>
      </c>
      <c r="C7" s="32">
        <f>GSD!F7</f>
        <v/>
      </c>
      <c r="D7" s="27">
        <f>GSD!E7</f>
        <v/>
      </c>
      <c r="E7" s="28" t="n">
        <v>27</v>
      </c>
      <c r="F7" s="90" t="n">
        <v>0.008559421270000001</v>
      </c>
      <c r="G7" s="91" t="n">
        <v>2.69</v>
      </c>
      <c r="H7" s="27" t="n">
        <v>0.0005</v>
      </c>
      <c r="I7" s="27" t="n">
        <v>1</v>
      </c>
      <c r="J7" s="27" t="n">
        <v>1</v>
      </c>
      <c r="K7" s="28" t="n">
        <v>0</v>
      </c>
      <c r="L7" s="27" t="n">
        <v>0.3</v>
      </c>
      <c r="M7" s="91" t="n">
        <v>1.012</v>
      </c>
      <c r="N7" s="91" t="n">
        <v>1.012</v>
      </c>
      <c r="O7" s="91" t="n">
        <v>1.011</v>
      </c>
      <c r="P7" s="91" t="n">
        <v>1.011</v>
      </c>
      <c r="Q7" s="91" t="n">
        <v>1.011</v>
      </c>
      <c r="R7" s="91" t="n">
        <v>1.011</v>
      </c>
      <c r="S7" s="91" t="n">
        <v>1.01</v>
      </c>
      <c r="T7" s="91" t="n">
        <v>1.01</v>
      </c>
      <c r="U7" s="91" t="n">
        <v>1.01</v>
      </c>
      <c r="V7" s="91" t="n">
        <v>1.009</v>
      </c>
      <c r="W7" s="91" t="n">
        <v>1.009</v>
      </c>
      <c r="X7" s="91" t="n">
        <v>1.009</v>
      </c>
      <c r="Y7" s="91" t="n">
        <v>1.009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21" t="n"/>
      <c r="BA7" s="21" t="n"/>
    </row>
    <row r="8">
      <c r="A8" s="27" t="n">
        <v>4</v>
      </c>
      <c r="B8" s="27">
        <f>B7</f>
        <v/>
      </c>
      <c r="C8" s="32">
        <f>GSD!F8</f>
        <v/>
      </c>
      <c r="D8" s="27">
        <f>GSD!E8</f>
        <v/>
      </c>
      <c r="E8" s="28" t="n">
        <v>27</v>
      </c>
      <c r="F8" s="90" t="n">
        <v>0.008559421270000001</v>
      </c>
      <c r="G8" s="91" t="n">
        <v>2.67</v>
      </c>
      <c r="H8" s="27" t="n">
        <v>0.0005</v>
      </c>
      <c r="I8" s="27" t="n">
        <v>1</v>
      </c>
      <c r="J8" s="27" t="n">
        <v>1</v>
      </c>
      <c r="K8" s="28" t="n">
        <v>0</v>
      </c>
      <c r="L8" s="27" t="n">
        <v>0.3</v>
      </c>
      <c r="M8" s="91" t="n">
        <v>1.014</v>
      </c>
      <c r="N8" s="91" t="n">
        <v>1.014</v>
      </c>
      <c r="O8" s="91" t="n">
        <v>1.014</v>
      </c>
      <c r="P8" s="91" t="n">
        <v>1.013</v>
      </c>
      <c r="Q8" s="91" t="n">
        <v>1.013</v>
      </c>
      <c r="R8" s="91" t="n">
        <v>1.013</v>
      </c>
      <c r="S8" s="91" t="n">
        <v>1.012</v>
      </c>
      <c r="T8" s="91" t="n">
        <v>1.012</v>
      </c>
      <c r="U8" s="91" t="n">
        <v>1.011</v>
      </c>
      <c r="V8" s="91" t="n">
        <v>1.011</v>
      </c>
      <c r="W8" s="91" t="n">
        <v>1.01</v>
      </c>
      <c r="X8" s="91" t="n">
        <v>1.01</v>
      </c>
      <c r="Y8" s="91" t="n">
        <v>1.01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21" t="n"/>
      <c r="BA8" s="21" t="n"/>
    </row>
    <row r="9">
      <c r="A9" s="27" t="n">
        <v>5</v>
      </c>
      <c r="B9" s="27">
        <f>B8</f>
        <v/>
      </c>
      <c r="C9" s="32">
        <f>GSD!F9</f>
        <v/>
      </c>
      <c r="D9" s="27">
        <f>GSD!E9</f>
        <v/>
      </c>
      <c r="E9" s="28" t="n">
        <v>27</v>
      </c>
      <c r="F9" s="90" t="n">
        <v>0.008559421270000001</v>
      </c>
      <c r="G9" s="91" t="n">
        <v>2.67</v>
      </c>
      <c r="H9" s="27" t="n">
        <v>0.0005</v>
      </c>
      <c r="I9" s="27" t="n">
        <v>2</v>
      </c>
      <c r="J9" s="27" t="n">
        <v>2</v>
      </c>
      <c r="K9" s="28" t="n">
        <v>0</v>
      </c>
      <c r="L9" s="27" t="n">
        <v>0.3</v>
      </c>
      <c r="M9" s="91" t="n">
        <v>1.012</v>
      </c>
      <c r="N9" s="91" t="n">
        <v>1.011</v>
      </c>
      <c r="O9" s="91" t="n">
        <v>1.011</v>
      </c>
      <c r="P9" s="91" t="n">
        <v>1.011</v>
      </c>
      <c r="Q9" s="91" t="n">
        <v>1.01</v>
      </c>
      <c r="R9" s="91" t="n">
        <v>1.01</v>
      </c>
      <c r="S9" s="91" t="n">
        <v>1.01</v>
      </c>
      <c r="T9" s="91" t="n">
        <v>1.01</v>
      </c>
      <c r="U9" s="91" t="n">
        <v>1.009</v>
      </c>
      <c r="V9" s="91" t="n">
        <v>1.009</v>
      </c>
      <c r="W9" s="91" t="n">
        <v>1.009</v>
      </c>
      <c r="X9" s="91" t="n">
        <v>1.008</v>
      </c>
      <c r="Y9" s="91" t="n">
        <v>1.008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21" t="n"/>
      <c r="BA9" s="21" t="n"/>
    </row>
    <row r="10">
      <c r="A10" s="27" t="n">
        <v>6</v>
      </c>
      <c r="B10" s="27">
        <f>B9</f>
        <v/>
      </c>
      <c r="C10" s="28">
        <f>GSD!F10</f>
        <v/>
      </c>
      <c r="D10" s="27">
        <f>GSD!E10</f>
        <v/>
      </c>
      <c r="E10" s="28" t="n">
        <v>27</v>
      </c>
      <c r="F10" s="90" t="n">
        <v>0.008559421270000001</v>
      </c>
      <c r="G10" s="91" t="n">
        <v>2.64</v>
      </c>
      <c r="H10" s="27" t="n">
        <v>0.0005</v>
      </c>
      <c r="I10" s="27" t="n">
        <v>2</v>
      </c>
      <c r="J10" s="27" t="n">
        <v>2</v>
      </c>
      <c r="K10" s="28" t="n">
        <v>0</v>
      </c>
      <c r="L10" s="27" t="n">
        <v>0.3</v>
      </c>
      <c r="M10" s="91" t="n">
        <v>1.029</v>
      </c>
      <c r="N10" s="91" t="n">
        <v>1.029</v>
      </c>
      <c r="O10" s="91" t="n">
        <v>1.028</v>
      </c>
      <c r="P10" s="91" t="n">
        <v>1.027</v>
      </c>
      <c r="Q10" s="91" t="n">
        <v>1.027</v>
      </c>
      <c r="R10" s="91" t="n">
        <v>1.026</v>
      </c>
      <c r="S10" s="91" t="n">
        <v>1.024</v>
      </c>
      <c r="T10" s="91" t="n">
        <v>1.023</v>
      </c>
      <c r="U10" s="91" t="n">
        <v>1.022</v>
      </c>
      <c r="V10" s="91" t="n">
        <v>1.021</v>
      </c>
      <c r="W10" s="91" t="n">
        <v>1.019</v>
      </c>
      <c r="X10" s="91" t="n">
        <v>1.019</v>
      </c>
      <c r="Y10" s="91" t="n">
        <v>1.019</v>
      </c>
      <c r="Z10" s="35" t="n"/>
      <c r="AA10" s="35" t="n"/>
      <c r="AB10" s="35" t="n"/>
      <c r="AC10" s="35" t="n"/>
      <c r="AD10" s="35" t="n"/>
      <c r="AE10" s="35" t="n"/>
      <c r="AF10" s="35" t="n"/>
      <c r="AG10" s="35" t="n"/>
      <c r="AH10" s="35" t="n"/>
      <c r="AI10" s="35" t="n"/>
      <c r="AJ10" s="35" t="n"/>
      <c r="AK10" s="35" t="n"/>
      <c r="AL10" s="35" t="n"/>
      <c r="AM10" s="28" t="n"/>
      <c r="AN10" s="28" t="n"/>
      <c r="AO10" s="28" t="n"/>
      <c r="AP10" s="28" t="n"/>
      <c r="AQ10" s="28" t="n"/>
      <c r="AR10" s="28" t="n"/>
      <c r="AS10" s="28" t="n"/>
      <c r="AT10" s="28" t="n"/>
      <c r="AU10" s="28" t="n"/>
      <c r="AV10" s="28" t="n"/>
      <c r="AW10" s="28" t="n"/>
      <c r="AX10" s="28" t="n"/>
      <c r="AY10" s="28" t="n"/>
      <c r="AZ10" s="21" t="n"/>
      <c r="BA10" s="21" t="n"/>
    </row>
    <row r="11">
      <c r="A11" s="27" t="n">
        <v>7</v>
      </c>
      <c r="B11" s="27">
        <f>B10</f>
        <v/>
      </c>
      <c r="C11" s="28">
        <f>GSD!F11</f>
        <v/>
      </c>
      <c r="D11" s="27">
        <f>GSD!E11</f>
        <v/>
      </c>
      <c r="E11" s="28" t="n">
        <v>27</v>
      </c>
      <c r="F11" s="90" t="n">
        <v>0.008559421270000001</v>
      </c>
      <c r="G11" s="91" t="n">
        <v>2.69</v>
      </c>
      <c r="H11" s="27" t="n">
        <v>0.0005</v>
      </c>
      <c r="I11" s="27" t="n">
        <v>2</v>
      </c>
      <c r="J11" s="27" t="n">
        <v>2</v>
      </c>
      <c r="K11" s="28" t="n">
        <v>0</v>
      </c>
      <c r="L11" s="27" t="n">
        <v>0.3</v>
      </c>
      <c r="M11" s="91" t="n">
        <v>1.02</v>
      </c>
      <c r="N11" s="91" t="n">
        <v>1.02</v>
      </c>
      <c r="O11" s="91" t="n">
        <v>1.02</v>
      </c>
      <c r="P11" s="91" t="n">
        <v>1.019</v>
      </c>
      <c r="Q11" s="91" t="n">
        <v>1.019</v>
      </c>
      <c r="R11" s="91" t="n">
        <v>1.018</v>
      </c>
      <c r="S11" s="91" t="n">
        <v>1.017</v>
      </c>
      <c r="T11" s="91" t="n">
        <v>1.017</v>
      </c>
      <c r="U11" s="91" t="n">
        <v>1.016</v>
      </c>
      <c r="V11" s="91" t="n">
        <v>1.015</v>
      </c>
      <c r="W11" s="91" t="n">
        <v>1.014</v>
      </c>
      <c r="X11" s="91" t="n">
        <v>1.014</v>
      </c>
      <c r="Y11" s="91" t="n">
        <v>1.014</v>
      </c>
      <c r="Z11" s="35" t="n"/>
      <c r="AA11" s="35" t="n"/>
      <c r="AB11" s="35" t="n"/>
      <c r="AC11" s="35" t="n"/>
      <c r="AD11" s="35" t="n"/>
      <c r="AE11" s="35" t="n"/>
      <c r="AF11" s="35" t="n"/>
      <c r="AG11" s="35" t="n"/>
      <c r="AH11" s="35" t="n"/>
      <c r="AI11" s="35" t="n"/>
      <c r="AJ11" s="35" t="n"/>
      <c r="AK11" s="35" t="n"/>
      <c r="AL11" s="35" t="n"/>
      <c r="AM11" s="28" t="n"/>
      <c r="AN11" s="28" t="n"/>
      <c r="AO11" s="28" t="n"/>
      <c r="AP11" s="28" t="n"/>
      <c r="AQ11" s="28" t="n"/>
      <c r="AR11" s="28" t="n"/>
      <c r="AS11" s="28" t="n"/>
      <c r="AT11" s="28" t="n"/>
      <c r="AU11" s="28" t="n"/>
      <c r="AV11" s="28" t="n"/>
      <c r="AW11" s="28" t="n"/>
      <c r="AX11" s="28" t="n"/>
      <c r="AY11" s="28" t="n"/>
      <c r="AZ11" s="21" t="n"/>
      <c r="BA11" s="21" t="n"/>
    </row>
    <row r="12">
      <c r="A12" s="27" t="n">
        <v>8</v>
      </c>
      <c r="B12" s="27">
        <f>B11</f>
        <v/>
      </c>
      <c r="C12" s="28">
        <f>GSD!F12</f>
        <v/>
      </c>
      <c r="D12" s="27">
        <f>GSD!E12</f>
        <v/>
      </c>
      <c r="E12" s="28" t="n">
        <v>27</v>
      </c>
      <c r="F12" s="90" t="n">
        <v>0.008559421270000001</v>
      </c>
      <c r="G12" s="91" t="n">
        <v>2.67</v>
      </c>
      <c r="H12" s="27" t="n">
        <v>0.0005</v>
      </c>
      <c r="I12" s="27" t="n">
        <v>3</v>
      </c>
      <c r="J12" s="27" t="n">
        <v>3</v>
      </c>
      <c r="K12" s="28" t="n">
        <v>0</v>
      </c>
      <c r="L12" s="27" t="n">
        <v>0.3</v>
      </c>
      <c r="M12" s="91" t="n">
        <v>1.024</v>
      </c>
      <c r="N12" s="91" t="n">
        <v>1.024</v>
      </c>
      <c r="O12" s="91" t="n">
        <v>1.023</v>
      </c>
      <c r="P12" s="91" t="n">
        <v>1.023</v>
      </c>
      <c r="Q12" s="91" t="n">
        <v>1.022</v>
      </c>
      <c r="R12" s="91" t="n">
        <v>1.021</v>
      </c>
      <c r="S12" s="91" t="n">
        <v>1.02</v>
      </c>
      <c r="T12" s="91" t="n">
        <v>1.019</v>
      </c>
      <c r="U12" s="91" t="n">
        <v>1.018</v>
      </c>
      <c r="V12" s="91" t="n">
        <v>1.017</v>
      </c>
      <c r="W12" s="91" t="n">
        <v>1.016</v>
      </c>
      <c r="X12" s="91" t="n">
        <v>1.016</v>
      </c>
      <c r="Y12" s="91" t="n">
        <v>1.016</v>
      </c>
      <c r="Z12" s="35" t="n"/>
      <c r="AA12" s="35" t="n"/>
      <c r="AB12" s="35" t="n"/>
      <c r="AC12" s="35" t="n"/>
      <c r="AD12" s="35" t="n"/>
      <c r="AE12" s="35" t="n"/>
      <c r="AF12" s="35" t="n"/>
      <c r="AG12" s="35" t="n"/>
      <c r="AH12" s="35" t="n"/>
      <c r="AI12" s="35" t="n"/>
      <c r="AJ12" s="35" t="n"/>
      <c r="AK12" s="35" t="n"/>
      <c r="AL12" s="35" t="n"/>
      <c r="AM12" s="28" t="n"/>
      <c r="AN12" s="28" t="n"/>
      <c r="AO12" s="28" t="n"/>
      <c r="AP12" s="28" t="n"/>
      <c r="AQ12" s="28" t="n"/>
      <c r="AR12" s="28" t="n"/>
      <c r="AS12" s="28" t="n"/>
      <c r="AT12" s="28" t="n"/>
      <c r="AU12" s="28" t="n"/>
      <c r="AV12" s="28" t="n"/>
      <c r="AW12" s="28" t="n"/>
      <c r="AX12" s="28" t="n"/>
      <c r="AY12" s="28" t="n"/>
      <c r="AZ12" s="21" t="n"/>
      <c r="BA12" s="21" t="n"/>
    </row>
    <row r="13">
      <c r="A13" s="27" t="n">
        <v>9</v>
      </c>
      <c r="B13" s="27">
        <f>B12</f>
        <v/>
      </c>
      <c r="C13" s="28">
        <f>GSD!F13</f>
        <v/>
      </c>
      <c r="D13" s="27">
        <f>GSD!E13</f>
        <v/>
      </c>
      <c r="E13" s="28" t="n">
        <v>27</v>
      </c>
      <c r="F13" s="90" t="n">
        <v>0.008559421270000001</v>
      </c>
      <c r="G13" s="91" t="n">
        <v>2.65</v>
      </c>
      <c r="H13" s="27" t="n">
        <v>0.0005</v>
      </c>
      <c r="I13" s="27" t="n">
        <v>3</v>
      </c>
      <c r="J13" s="27" t="n">
        <v>3</v>
      </c>
      <c r="K13" s="28" t="n">
        <v>0</v>
      </c>
      <c r="L13" s="27" t="n">
        <v>0.3</v>
      </c>
      <c r="M13" s="91" t="n">
        <v>1.029</v>
      </c>
      <c r="N13" s="91" t="n">
        <v>1.029</v>
      </c>
      <c r="O13" s="91" t="n">
        <v>1.028</v>
      </c>
      <c r="P13" s="91" t="n">
        <v>1.027</v>
      </c>
      <c r="Q13" s="91" t="n">
        <v>1.026</v>
      </c>
      <c r="R13" s="91" t="n">
        <v>1.025</v>
      </c>
      <c r="S13" s="91" t="n">
        <v>1.024</v>
      </c>
      <c r="T13" s="91" t="n">
        <v>1.023</v>
      </c>
      <c r="U13" s="91" t="n">
        <v>1.021</v>
      </c>
      <c r="V13" s="91" t="n">
        <v>1.02</v>
      </c>
      <c r="W13" s="91" t="n">
        <v>1.018</v>
      </c>
      <c r="X13" s="91" t="n">
        <v>1.018</v>
      </c>
      <c r="Y13" s="91" t="n">
        <v>1.018</v>
      </c>
      <c r="Z13" s="35" t="n"/>
      <c r="AA13" s="35" t="n"/>
      <c r="AB13" s="35" t="n"/>
      <c r="AC13" s="35" t="n"/>
      <c r="AD13" s="35" t="n"/>
      <c r="AE13" s="35" t="n"/>
      <c r="AF13" s="35" t="n"/>
      <c r="AG13" s="35" t="n"/>
      <c r="AH13" s="35" t="n"/>
      <c r="AI13" s="35" t="n"/>
      <c r="AJ13" s="35" t="n"/>
      <c r="AK13" s="35" t="n"/>
      <c r="AL13" s="35" t="n"/>
      <c r="AM13" s="28" t="n"/>
      <c r="AN13" s="28" t="n"/>
      <c r="AO13" s="28" t="n"/>
      <c r="AP13" s="28" t="n"/>
      <c r="AQ13" s="28" t="n"/>
      <c r="AR13" s="28" t="n"/>
      <c r="AS13" s="28" t="n"/>
      <c r="AT13" s="28" t="n"/>
      <c r="AU13" s="28" t="n"/>
      <c r="AV13" s="28" t="n"/>
      <c r="AW13" s="28" t="n"/>
      <c r="AX13" s="28" t="n"/>
      <c r="AY13" s="28" t="n"/>
      <c r="AZ13" s="21" t="n"/>
      <c r="BA13" s="21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abSelected="1" topLeftCell="X1" zoomScale="130" zoomScaleNormal="130" workbookViewId="0">
      <selection activeCell="AI23" sqref="AI23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>
      <c r="A2" s="74" t="inlineStr">
        <is>
          <t>SR No.</t>
        </is>
      </c>
      <c r="B2" s="74" t="inlineStr">
        <is>
          <t>BH ID</t>
        </is>
      </c>
      <c r="C2" s="74" t="inlineStr">
        <is>
          <t>Depth</t>
        </is>
      </c>
      <c r="D2" s="73" t="inlineStr">
        <is>
          <t>Particle Size in mm (GSD)</t>
        </is>
      </c>
      <c r="E2" s="79" t="n"/>
      <c r="F2" s="79" t="n"/>
      <c r="G2" s="79" t="n"/>
      <c r="H2" s="79" t="n"/>
      <c r="I2" s="79" t="n"/>
      <c r="J2" s="79" t="n"/>
      <c r="K2" s="80" t="n"/>
      <c r="L2" s="73" t="inlineStr">
        <is>
          <t>Particle Size in mm (HYD)</t>
        </is>
      </c>
      <c r="M2" s="79" t="n"/>
      <c r="N2" s="79" t="n"/>
      <c r="O2" s="79" t="n"/>
      <c r="P2" s="79" t="n"/>
      <c r="Q2" s="79" t="n"/>
      <c r="R2" s="79" t="n"/>
      <c r="S2" s="79" t="n"/>
      <c r="T2" s="79" t="n"/>
      <c r="U2" s="79" t="n"/>
      <c r="V2" s="79" t="n"/>
      <c r="W2" s="79" t="n"/>
      <c r="X2" s="80" t="n"/>
      <c r="Y2" s="74" t="inlineStr">
        <is>
          <t>% Passing (GSD)</t>
        </is>
      </c>
      <c r="Z2" s="79" t="n"/>
      <c r="AA2" s="79" t="n"/>
      <c r="AB2" s="79" t="n"/>
      <c r="AC2" s="79" t="n"/>
      <c r="AD2" s="79" t="n"/>
      <c r="AE2" s="79" t="n"/>
      <c r="AF2" s="80" t="n"/>
      <c r="AG2" s="73" t="inlineStr">
        <is>
          <t>% Passing (HYD)</t>
        </is>
      </c>
      <c r="AH2" s="79" t="n"/>
      <c r="AI2" s="79" t="n"/>
      <c r="AJ2" s="79" t="n"/>
      <c r="AK2" s="79" t="n"/>
      <c r="AL2" s="79" t="n"/>
      <c r="AM2" s="79" t="n"/>
      <c r="AN2" s="79" t="n"/>
      <c r="AO2" s="79" t="n"/>
      <c r="AP2" s="79" t="n"/>
      <c r="AQ2" s="79" t="n"/>
      <c r="AR2" s="79" t="n"/>
      <c r="AS2" s="80" t="n"/>
      <c r="AT2" s="74" t="inlineStr">
        <is>
          <t>% Gravel</t>
        </is>
      </c>
      <c r="AU2" s="74" t="inlineStr">
        <is>
          <t>% Sand</t>
        </is>
      </c>
      <c r="AV2" s="74" t="inlineStr">
        <is>
          <t>% Silt</t>
        </is>
      </c>
      <c r="AW2" s="74" t="inlineStr">
        <is>
          <t>% Clay</t>
        </is>
      </c>
    </row>
    <row r="3" customFormat="1" s="18">
      <c r="A3" s="18" t="n">
        <v>1</v>
      </c>
      <c r="B3" s="18">
        <f>GSD!B5</f>
        <v/>
      </c>
      <c r="C3" s="38">
        <f>GSD!F5</f>
        <v/>
      </c>
      <c r="D3" s="92" t="n">
        <v>4.75</v>
      </c>
      <c r="E3" s="92" t="n">
        <v>2</v>
      </c>
      <c r="F3" s="92" t="n">
        <v>1.18</v>
      </c>
      <c r="G3" s="92" t="n">
        <v>0.6</v>
      </c>
      <c r="H3" s="92" t="n">
        <v>0.425</v>
      </c>
      <c r="I3" s="92" t="n">
        <v>0.3</v>
      </c>
      <c r="J3" s="92" t="n">
        <v>0.15</v>
      </c>
      <c r="K3" s="92" t="n">
        <v>0.075</v>
      </c>
      <c r="L3" s="93">
        <f>HYD!Z5</f>
        <v/>
      </c>
      <c r="M3" s="93">
        <f>HYD!AA5</f>
        <v/>
      </c>
      <c r="N3" s="93">
        <f>HYD!AB5</f>
        <v/>
      </c>
      <c r="O3" s="93">
        <f>HYD!AC5</f>
        <v/>
      </c>
      <c r="P3" s="93">
        <f>HYD!AD5</f>
        <v/>
      </c>
      <c r="Q3" s="93">
        <f>HYD!AE5</f>
        <v/>
      </c>
      <c r="R3" s="93">
        <f>HYD!AF5</f>
        <v/>
      </c>
      <c r="S3" s="93">
        <f>HYD!AG5</f>
        <v/>
      </c>
      <c r="T3" s="93">
        <f>HYD!AH5</f>
        <v/>
      </c>
      <c r="U3" s="93">
        <f>HYD!AI5</f>
        <v/>
      </c>
      <c r="V3" s="93">
        <f>HYD!AJ5</f>
        <v/>
      </c>
      <c r="W3" s="93">
        <f>HYD!AK5</f>
        <v/>
      </c>
      <c r="X3" s="93">
        <f>HYD!AL5</f>
        <v/>
      </c>
      <c r="Y3" s="41">
        <f>GSD!S5</f>
        <v/>
      </c>
      <c r="Z3" s="41">
        <f>GSD!T5</f>
        <v/>
      </c>
      <c r="AA3" s="41">
        <f>GSD!U5</f>
        <v/>
      </c>
      <c r="AB3" s="41">
        <f>GSD!V5</f>
        <v/>
      </c>
      <c r="AC3" s="41">
        <f>GSD!W5</f>
        <v/>
      </c>
      <c r="AD3" s="41">
        <f>GSD!X5</f>
        <v/>
      </c>
      <c r="AE3" s="41">
        <f>GSD!Y5</f>
        <v/>
      </c>
      <c r="AF3" s="41">
        <f>GSD!Z5</f>
        <v/>
      </c>
      <c r="AG3" s="41">
        <f>HYD!AM5</f>
        <v/>
      </c>
      <c r="AH3" s="41">
        <f>HYD!AN5</f>
        <v/>
      </c>
      <c r="AI3" s="41">
        <f>HYD!AO5</f>
        <v/>
      </c>
      <c r="AJ3" s="41">
        <f>HYD!AP5</f>
        <v/>
      </c>
      <c r="AK3" s="41">
        <f>HYD!AQ5</f>
        <v/>
      </c>
      <c r="AL3" s="41">
        <f>HYD!AR5</f>
        <v/>
      </c>
      <c r="AM3" s="41">
        <f>HYD!AS5</f>
        <v/>
      </c>
      <c r="AN3" s="41">
        <f>HYD!AT5</f>
        <v/>
      </c>
      <c r="AO3" s="41">
        <f>HYD!AU5</f>
        <v/>
      </c>
      <c r="AP3" s="41">
        <f>HYD!AV5</f>
        <v/>
      </c>
      <c r="AQ3" s="41">
        <f>HYD!AW5</f>
        <v/>
      </c>
      <c r="AR3" s="41">
        <f>HYD!AX5</f>
        <v/>
      </c>
      <c r="AS3" s="41">
        <f>HYD!AY5</f>
        <v/>
      </c>
      <c r="AT3" s="41" t="n"/>
      <c r="AU3" s="41" t="n"/>
      <c r="AV3" s="41" t="n"/>
      <c r="AW3" s="41" t="n"/>
    </row>
    <row r="4">
      <c r="A4" s="18" t="n">
        <v>2</v>
      </c>
      <c r="B4" s="18">
        <f>B3</f>
        <v/>
      </c>
      <c r="C4" s="38">
        <f>GSD!F6</f>
        <v/>
      </c>
      <c r="D4" s="92" t="n">
        <v>4.75</v>
      </c>
      <c r="E4" s="92" t="n">
        <v>2</v>
      </c>
      <c r="F4" s="92" t="n">
        <v>1.18</v>
      </c>
      <c r="G4" s="92" t="n">
        <v>0.6</v>
      </c>
      <c r="H4" s="92" t="n">
        <v>0.425</v>
      </c>
      <c r="I4" s="92" t="n">
        <v>0.3</v>
      </c>
      <c r="J4" s="92" t="n">
        <v>0.15</v>
      </c>
      <c r="K4" s="92" t="n">
        <v>0.075</v>
      </c>
      <c r="L4" s="93">
        <f>HYD!Z6</f>
        <v/>
      </c>
      <c r="M4" s="93">
        <f>HYD!AA6</f>
        <v/>
      </c>
      <c r="N4" s="93">
        <f>HYD!AB6</f>
        <v/>
      </c>
      <c r="O4" s="93">
        <f>HYD!AC6</f>
        <v/>
      </c>
      <c r="P4" s="93">
        <f>HYD!AD6</f>
        <v/>
      </c>
      <c r="Q4" s="93">
        <f>HYD!AE6</f>
        <v/>
      </c>
      <c r="R4" s="93">
        <f>HYD!AF6</f>
        <v/>
      </c>
      <c r="S4" s="93">
        <f>HYD!AG6</f>
        <v/>
      </c>
      <c r="T4" s="93">
        <f>HYD!AH6</f>
        <v/>
      </c>
      <c r="U4" s="93">
        <f>HYD!AI6</f>
        <v/>
      </c>
      <c r="V4" s="93">
        <f>HYD!AJ6</f>
        <v/>
      </c>
      <c r="W4" s="93">
        <f>HYD!AK6</f>
        <v/>
      </c>
      <c r="X4" s="93">
        <f>HYD!AL6</f>
        <v/>
      </c>
      <c r="Y4" s="41">
        <f>GSD!S6</f>
        <v/>
      </c>
      <c r="Z4" s="41">
        <f>GSD!T6</f>
        <v/>
      </c>
      <c r="AA4" s="41">
        <f>GSD!U6</f>
        <v/>
      </c>
      <c r="AB4" s="41">
        <f>GSD!V6</f>
        <v/>
      </c>
      <c r="AC4" s="41">
        <f>GSD!W6</f>
        <v/>
      </c>
      <c r="AD4" s="41">
        <f>GSD!X6</f>
        <v/>
      </c>
      <c r="AE4" s="41">
        <f>GSD!Y6</f>
        <v/>
      </c>
      <c r="AF4" s="41">
        <f>GSD!Z6</f>
        <v/>
      </c>
      <c r="AG4" s="41">
        <f>HYD!AM6</f>
        <v/>
      </c>
      <c r="AH4" s="41">
        <f>HYD!AN6</f>
        <v/>
      </c>
      <c r="AI4" s="41">
        <f>HYD!AO6</f>
        <v/>
      </c>
      <c r="AJ4" s="41">
        <f>HYD!AP6</f>
        <v/>
      </c>
      <c r="AK4" s="41">
        <f>HYD!AQ6</f>
        <v/>
      </c>
      <c r="AL4" s="41">
        <f>HYD!AR6</f>
        <v/>
      </c>
      <c r="AM4" s="41">
        <f>HYD!AS6</f>
        <v/>
      </c>
      <c r="AN4" s="41">
        <f>HYD!AT6</f>
        <v/>
      </c>
      <c r="AO4" s="41">
        <f>HYD!AU6</f>
        <v/>
      </c>
      <c r="AP4" s="41">
        <f>HYD!AV6</f>
        <v/>
      </c>
      <c r="AQ4" s="41">
        <f>HYD!AW6</f>
        <v/>
      </c>
      <c r="AR4" s="41">
        <f>HYD!AX6</f>
        <v/>
      </c>
      <c r="AS4" s="41">
        <f>HYD!AY6</f>
        <v/>
      </c>
      <c r="AT4" s="41" t="n"/>
      <c r="AU4" s="41" t="n"/>
      <c r="AV4" s="41" t="n"/>
      <c r="AW4" s="41" t="n"/>
    </row>
    <row r="5">
      <c r="A5" s="18" t="n">
        <v>3</v>
      </c>
      <c r="B5" s="18">
        <f>B4</f>
        <v/>
      </c>
      <c r="C5" s="38">
        <f>GSD!F7</f>
        <v/>
      </c>
      <c r="D5" s="92" t="n">
        <v>4.75</v>
      </c>
      <c r="E5" s="92" t="n">
        <v>2</v>
      </c>
      <c r="F5" s="92" t="n">
        <v>1.18</v>
      </c>
      <c r="G5" s="92" t="n">
        <v>0.6</v>
      </c>
      <c r="H5" s="92" t="n">
        <v>0.425</v>
      </c>
      <c r="I5" s="92" t="n">
        <v>0.3</v>
      </c>
      <c r="J5" s="92" t="n">
        <v>0.15</v>
      </c>
      <c r="K5" s="92" t="n">
        <v>0.075</v>
      </c>
      <c r="L5" s="93">
        <f>HYD!Z7</f>
        <v/>
      </c>
      <c r="M5" s="93">
        <f>HYD!AA7</f>
        <v/>
      </c>
      <c r="N5" s="93">
        <f>HYD!AB7</f>
        <v/>
      </c>
      <c r="O5" s="93">
        <f>HYD!AC7</f>
        <v/>
      </c>
      <c r="P5" s="93">
        <f>HYD!AD7</f>
        <v/>
      </c>
      <c r="Q5" s="93">
        <f>HYD!AE7</f>
        <v/>
      </c>
      <c r="R5" s="93">
        <f>HYD!AF7</f>
        <v/>
      </c>
      <c r="S5" s="93">
        <f>HYD!AG7</f>
        <v/>
      </c>
      <c r="T5" s="93">
        <f>HYD!AH7</f>
        <v/>
      </c>
      <c r="U5" s="93">
        <f>HYD!AI7</f>
        <v/>
      </c>
      <c r="V5" s="93">
        <f>HYD!AJ7</f>
        <v/>
      </c>
      <c r="W5" s="93">
        <f>HYD!AK7</f>
        <v/>
      </c>
      <c r="X5" s="93">
        <f>HYD!AL7</f>
        <v/>
      </c>
      <c r="Y5" s="41">
        <f>GSD!S7</f>
        <v/>
      </c>
      <c r="Z5" s="41">
        <f>GSD!T7</f>
        <v/>
      </c>
      <c r="AA5" s="41">
        <f>GSD!U7</f>
        <v/>
      </c>
      <c r="AB5" s="41">
        <f>GSD!V7</f>
        <v/>
      </c>
      <c r="AC5" s="41">
        <f>GSD!W7</f>
        <v/>
      </c>
      <c r="AD5" s="41">
        <f>GSD!X7</f>
        <v/>
      </c>
      <c r="AE5" s="41">
        <f>GSD!Y7</f>
        <v/>
      </c>
      <c r="AF5" s="41">
        <f>GSD!Z7</f>
        <v/>
      </c>
      <c r="AG5" s="41">
        <f>HYD!AM7</f>
        <v/>
      </c>
      <c r="AH5" s="41">
        <f>HYD!AN7</f>
        <v/>
      </c>
      <c r="AI5" s="41">
        <f>HYD!AO7</f>
        <v/>
      </c>
      <c r="AJ5" s="41">
        <f>HYD!AP7</f>
        <v/>
      </c>
      <c r="AK5" s="41">
        <f>HYD!AQ7</f>
        <v/>
      </c>
      <c r="AL5" s="41">
        <f>HYD!AR7</f>
        <v/>
      </c>
      <c r="AM5" s="41">
        <f>HYD!AS7</f>
        <v/>
      </c>
      <c r="AN5" s="41">
        <f>HYD!AT7</f>
        <v/>
      </c>
      <c r="AO5" s="41">
        <f>HYD!AU7</f>
        <v/>
      </c>
      <c r="AP5" s="41">
        <f>HYD!AV7</f>
        <v/>
      </c>
      <c r="AQ5" s="41">
        <f>HYD!AW7</f>
        <v/>
      </c>
      <c r="AR5" s="41">
        <f>HYD!AX7</f>
        <v/>
      </c>
      <c r="AS5" s="41">
        <f>HYD!AY7</f>
        <v/>
      </c>
      <c r="AT5" s="41" t="n"/>
      <c r="AU5" s="41" t="n"/>
      <c r="AV5" s="41" t="n"/>
      <c r="AW5" s="41" t="n"/>
    </row>
    <row r="6">
      <c r="A6" s="18" t="n">
        <v>4</v>
      </c>
      <c r="B6" s="18">
        <f>B5</f>
        <v/>
      </c>
      <c r="C6" s="38">
        <f>GSD!F8</f>
        <v/>
      </c>
      <c r="D6" s="92" t="n">
        <v>4.75</v>
      </c>
      <c r="E6" s="92" t="n">
        <v>2</v>
      </c>
      <c r="F6" s="92" t="n">
        <v>1.18</v>
      </c>
      <c r="G6" s="92" t="n">
        <v>0.6</v>
      </c>
      <c r="H6" s="92" t="n">
        <v>0.425</v>
      </c>
      <c r="I6" s="92" t="n">
        <v>0.3</v>
      </c>
      <c r="J6" s="92" t="n">
        <v>0.15</v>
      </c>
      <c r="K6" s="92" t="n">
        <v>0.075</v>
      </c>
      <c r="L6" s="93">
        <f>HYD!Z8</f>
        <v/>
      </c>
      <c r="M6" s="93">
        <f>HYD!AA8</f>
        <v/>
      </c>
      <c r="N6" s="93">
        <f>HYD!AB8</f>
        <v/>
      </c>
      <c r="O6" s="93">
        <f>HYD!AC8</f>
        <v/>
      </c>
      <c r="P6" s="93">
        <f>HYD!AD8</f>
        <v/>
      </c>
      <c r="Q6" s="93">
        <f>HYD!AE8</f>
        <v/>
      </c>
      <c r="R6" s="93">
        <f>HYD!AF8</f>
        <v/>
      </c>
      <c r="S6" s="93">
        <f>HYD!AG8</f>
        <v/>
      </c>
      <c r="T6" s="93">
        <f>HYD!AH8</f>
        <v/>
      </c>
      <c r="U6" s="93">
        <f>HYD!AI8</f>
        <v/>
      </c>
      <c r="V6" s="93">
        <f>HYD!AJ8</f>
        <v/>
      </c>
      <c r="W6" s="93">
        <f>HYD!AK8</f>
        <v/>
      </c>
      <c r="X6" s="93">
        <f>HYD!AL8</f>
        <v/>
      </c>
      <c r="Y6" s="41">
        <f>GSD!S8</f>
        <v/>
      </c>
      <c r="Z6" s="41">
        <f>GSD!T8</f>
        <v/>
      </c>
      <c r="AA6" s="41">
        <f>GSD!U8</f>
        <v/>
      </c>
      <c r="AB6" s="41">
        <f>GSD!V8</f>
        <v/>
      </c>
      <c r="AC6" s="41">
        <f>GSD!W8</f>
        <v/>
      </c>
      <c r="AD6" s="41">
        <f>GSD!X8</f>
        <v/>
      </c>
      <c r="AE6" s="41">
        <f>GSD!Y8</f>
        <v/>
      </c>
      <c r="AF6" s="41">
        <f>GSD!Z8</f>
        <v/>
      </c>
      <c r="AG6" s="41">
        <f>HYD!AM8</f>
        <v/>
      </c>
      <c r="AH6" s="41">
        <f>HYD!AN8</f>
        <v/>
      </c>
      <c r="AI6" s="41">
        <f>HYD!AO8</f>
        <v/>
      </c>
      <c r="AJ6" s="41">
        <f>HYD!AP8</f>
        <v/>
      </c>
      <c r="AK6" s="41">
        <f>HYD!AQ8</f>
        <v/>
      </c>
      <c r="AL6" s="41">
        <f>HYD!AR8</f>
        <v/>
      </c>
      <c r="AM6" s="41">
        <f>HYD!AS8</f>
        <v/>
      </c>
      <c r="AN6" s="41">
        <f>HYD!AT8</f>
        <v/>
      </c>
      <c r="AO6" s="41">
        <f>HYD!AU8</f>
        <v/>
      </c>
      <c r="AP6" s="41">
        <f>HYD!AV8</f>
        <v/>
      </c>
      <c r="AQ6" s="41">
        <f>HYD!AW8</f>
        <v/>
      </c>
      <c r="AR6" s="41">
        <f>HYD!AX8</f>
        <v/>
      </c>
      <c r="AS6" s="41">
        <f>HYD!AY8</f>
        <v/>
      </c>
      <c r="AT6" s="41" t="n"/>
      <c r="AU6" s="41" t="n"/>
      <c r="AV6" s="41" t="n"/>
      <c r="AW6" s="41" t="n"/>
    </row>
    <row r="7">
      <c r="A7" s="18" t="n">
        <v>5</v>
      </c>
      <c r="B7" s="18">
        <f>B6</f>
        <v/>
      </c>
      <c r="C7" s="38">
        <f>GSD!F9</f>
        <v/>
      </c>
      <c r="D7" s="92" t="n">
        <v>4.75</v>
      </c>
      <c r="E7" s="92" t="n">
        <v>2</v>
      </c>
      <c r="F7" s="92" t="n">
        <v>1.18</v>
      </c>
      <c r="G7" s="92" t="n">
        <v>0.6</v>
      </c>
      <c r="H7" s="92" t="n">
        <v>0.425</v>
      </c>
      <c r="I7" s="92" t="n">
        <v>0.3</v>
      </c>
      <c r="J7" s="92" t="n">
        <v>0.15</v>
      </c>
      <c r="K7" s="92" t="n">
        <v>0.075</v>
      </c>
      <c r="L7" s="93">
        <f>HYD!Z9</f>
        <v/>
      </c>
      <c r="M7" s="93">
        <f>HYD!AA9</f>
        <v/>
      </c>
      <c r="N7" s="93">
        <f>HYD!AB9</f>
        <v/>
      </c>
      <c r="O7" s="93">
        <f>HYD!AC9</f>
        <v/>
      </c>
      <c r="P7" s="93">
        <f>HYD!AD9</f>
        <v/>
      </c>
      <c r="Q7" s="93">
        <f>HYD!AE9</f>
        <v/>
      </c>
      <c r="R7" s="93">
        <f>HYD!AF9</f>
        <v/>
      </c>
      <c r="S7" s="93">
        <f>HYD!AG9</f>
        <v/>
      </c>
      <c r="T7" s="93">
        <f>HYD!AH9</f>
        <v/>
      </c>
      <c r="U7" s="93">
        <f>HYD!AI9</f>
        <v/>
      </c>
      <c r="V7" s="93">
        <f>HYD!AJ9</f>
        <v/>
      </c>
      <c r="W7" s="93">
        <f>HYD!AK9</f>
        <v/>
      </c>
      <c r="X7" s="93">
        <f>HYD!AL9</f>
        <v/>
      </c>
      <c r="Y7" s="41">
        <f>GSD!S9</f>
        <v/>
      </c>
      <c r="Z7" s="41">
        <f>GSD!T9</f>
        <v/>
      </c>
      <c r="AA7" s="41">
        <f>GSD!U9</f>
        <v/>
      </c>
      <c r="AB7" s="41">
        <f>GSD!V9</f>
        <v/>
      </c>
      <c r="AC7" s="41">
        <f>GSD!W9</f>
        <v/>
      </c>
      <c r="AD7" s="41">
        <f>GSD!X9</f>
        <v/>
      </c>
      <c r="AE7" s="41">
        <f>GSD!Y9</f>
        <v/>
      </c>
      <c r="AF7" s="41">
        <f>GSD!Z9</f>
        <v/>
      </c>
      <c r="AG7" s="41">
        <f>HYD!AM9</f>
        <v/>
      </c>
      <c r="AH7" s="41">
        <f>HYD!AN9</f>
        <v/>
      </c>
      <c r="AI7" s="41">
        <f>HYD!AO9</f>
        <v/>
      </c>
      <c r="AJ7" s="41">
        <f>HYD!AP9</f>
        <v/>
      </c>
      <c r="AK7" s="41">
        <f>HYD!AQ9</f>
        <v/>
      </c>
      <c r="AL7" s="41">
        <f>HYD!AR9</f>
        <v/>
      </c>
      <c r="AM7" s="41">
        <f>HYD!AS9</f>
        <v/>
      </c>
      <c r="AN7" s="41">
        <f>HYD!AT9</f>
        <v/>
      </c>
      <c r="AO7" s="41">
        <f>HYD!AU9</f>
        <v/>
      </c>
      <c r="AP7" s="41">
        <f>HYD!AV9</f>
        <v/>
      </c>
      <c r="AQ7" s="41">
        <f>HYD!AW9</f>
        <v/>
      </c>
      <c r="AR7" s="41">
        <f>HYD!AX9</f>
        <v/>
      </c>
      <c r="AS7" s="41">
        <f>HYD!AY9</f>
        <v/>
      </c>
      <c r="AT7" s="41" t="n"/>
      <c r="AU7" s="41" t="n"/>
      <c r="AV7" s="41" t="n"/>
      <c r="AW7" s="41" t="n"/>
    </row>
    <row r="8">
      <c r="A8" s="18" t="n">
        <v>6</v>
      </c>
      <c r="B8" s="18">
        <f>B7</f>
        <v/>
      </c>
      <c r="C8" s="38">
        <f>GSD!F10</f>
        <v/>
      </c>
      <c r="D8" s="92" t="n">
        <v>4.75</v>
      </c>
      <c r="E8" s="92" t="n">
        <v>2</v>
      </c>
      <c r="F8" s="92" t="n">
        <v>1.18</v>
      </c>
      <c r="G8" s="92" t="n">
        <v>0.6</v>
      </c>
      <c r="H8" s="92" t="n">
        <v>0.425</v>
      </c>
      <c r="I8" s="92" t="n">
        <v>0.3</v>
      </c>
      <c r="J8" s="92" t="n">
        <v>0.15</v>
      </c>
      <c r="K8" s="92" t="n">
        <v>0.075</v>
      </c>
      <c r="L8" s="93">
        <f>HYD!Z10</f>
        <v/>
      </c>
      <c r="M8" s="93">
        <f>HYD!AA10</f>
        <v/>
      </c>
      <c r="N8" s="93">
        <f>HYD!AB10</f>
        <v/>
      </c>
      <c r="O8" s="93">
        <f>HYD!AC10</f>
        <v/>
      </c>
      <c r="P8" s="93">
        <f>HYD!AD10</f>
        <v/>
      </c>
      <c r="Q8" s="93">
        <f>HYD!AE10</f>
        <v/>
      </c>
      <c r="R8" s="93">
        <f>HYD!AF10</f>
        <v/>
      </c>
      <c r="S8" s="93">
        <f>HYD!AG10</f>
        <v/>
      </c>
      <c r="T8" s="93">
        <f>HYD!AH10</f>
        <v/>
      </c>
      <c r="U8" s="93">
        <f>HYD!AI10</f>
        <v/>
      </c>
      <c r="V8" s="93">
        <f>HYD!AJ10</f>
        <v/>
      </c>
      <c r="W8" s="93">
        <f>HYD!AK10</f>
        <v/>
      </c>
      <c r="X8" s="93">
        <f>HYD!AL10</f>
        <v/>
      </c>
      <c r="Y8" s="41">
        <f>GSD!S10</f>
        <v/>
      </c>
      <c r="Z8" s="41">
        <f>GSD!T10</f>
        <v/>
      </c>
      <c r="AA8" s="41">
        <f>GSD!U10</f>
        <v/>
      </c>
      <c r="AB8" s="41">
        <f>GSD!V10</f>
        <v/>
      </c>
      <c r="AC8" s="41">
        <f>GSD!W10</f>
        <v/>
      </c>
      <c r="AD8" s="41">
        <f>GSD!X10</f>
        <v/>
      </c>
      <c r="AE8" s="41">
        <f>GSD!Y10</f>
        <v/>
      </c>
      <c r="AF8" s="41">
        <f>GSD!Z10</f>
        <v/>
      </c>
      <c r="AG8" s="41">
        <f>HYD!AM10</f>
        <v/>
      </c>
      <c r="AH8" s="41">
        <f>HYD!AN10</f>
        <v/>
      </c>
      <c r="AI8" s="41">
        <f>HYD!AO10</f>
        <v/>
      </c>
      <c r="AJ8" s="41">
        <f>HYD!AP10</f>
        <v/>
      </c>
      <c r="AK8" s="41">
        <f>HYD!AQ10</f>
        <v/>
      </c>
      <c r="AL8" s="41">
        <f>HYD!AR10</f>
        <v/>
      </c>
      <c r="AM8" s="41">
        <f>HYD!AS10</f>
        <v/>
      </c>
      <c r="AN8" s="41">
        <f>HYD!AT10</f>
        <v/>
      </c>
      <c r="AO8" s="41">
        <f>HYD!AU10</f>
        <v/>
      </c>
      <c r="AP8" s="41">
        <f>HYD!AV10</f>
        <v/>
      </c>
      <c r="AQ8" s="41">
        <f>HYD!AW10</f>
        <v/>
      </c>
      <c r="AR8" s="41">
        <f>HYD!AX10</f>
        <v/>
      </c>
      <c r="AS8" s="41">
        <f>HYD!AY10</f>
        <v/>
      </c>
      <c r="AT8" s="41" t="n"/>
      <c r="AU8" s="41" t="n"/>
      <c r="AV8" s="41" t="n"/>
      <c r="AW8" s="41" t="n"/>
    </row>
    <row r="9">
      <c r="A9" s="18" t="n">
        <v>7</v>
      </c>
      <c r="B9" s="18">
        <f>B8</f>
        <v/>
      </c>
      <c r="C9" s="38">
        <f>GSD!F11</f>
        <v/>
      </c>
      <c r="D9" s="92" t="n">
        <v>4.75</v>
      </c>
      <c r="E9" s="92" t="n">
        <v>2</v>
      </c>
      <c r="F9" s="92" t="n">
        <v>1.18</v>
      </c>
      <c r="G9" s="92" t="n">
        <v>0.6</v>
      </c>
      <c r="H9" s="92" t="n">
        <v>0.425</v>
      </c>
      <c r="I9" s="92" t="n">
        <v>0.3</v>
      </c>
      <c r="J9" s="92" t="n">
        <v>0.15</v>
      </c>
      <c r="K9" s="92" t="n">
        <v>0.075</v>
      </c>
      <c r="L9" s="93">
        <f>HYD!Z11</f>
        <v/>
      </c>
      <c r="M9" s="93">
        <f>HYD!AA11</f>
        <v/>
      </c>
      <c r="N9" s="93">
        <f>HYD!AB11</f>
        <v/>
      </c>
      <c r="O9" s="93">
        <f>HYD!AC11</f>
        <v/>
      </c>
      <c r="P9" s="93">
        <f>HYD!AD11</f>
        <v/>
      </c>
      <c r="Q9" s="93">
        <f>HYD!AE11</f>
        <v/>
      </c>
      <c r="R9" s="93">
        <f>HYD!AF11</f>
        <v/>
      </c>
      <c r="S9" s="93">
        <f>HYD!AG11</f>
        <v/>
      </c>
      <c r="T9" s="93">
        <f>HYD!AH11</f>
        <v/>
      </c>
      <c r="U9" s="93">
        <f>HYD!AI11</f>
        <v/>
      </c>
      <c r="V9" s="93">
        <f>HYD!AJ11</f>
        <v/>
      </c>
      <c r="W9" s="93">
        <f>HYD!AK11</f>
        <v/>
      </c>
      <c r="X9" s="93">
        <f>HYD!AL11</f>
        <v/>
      </c>
      <c r="Y9" s="41">
        <f>GSD!S11</f>
        <v/>
      </c>
      <c r="Z9" s="41">
        <f>GSD!T11</f>
        <v/>
      </c>
      <c r="AA9" s="41">
        <f>GSD!U11</f>
        <v/>
      </c>
      <c r="AB9" s="41">
        <f>GSD!V11</f>
        <v/>
      </c>
      <c r="AC9" s="41">
        <f>GSD!W11</f>
        <v/>
      </c>
      <c r="AD9" s="41">
        <f>GSD!X11</f>
        <v/>
      </c>
      <c r="AE9" s="41">
        <f>GSD!Y11</f>
        <v/>
      </c>
      <c r="AF9" s="41">
        <f>GSD!Z11</f>
        <v/>
      </c>
      <c r="AG9" s="41">
        <f>HYD!AM11</f>
        <v/>
      </c>
      <c r="AH9" s="41">
        <f>HYD!AN11</f>
        <v/>
      </c>
      <c r="AI9" s="41">
        <f>HYD!AO11</f>
        <v/>
      </c>
      <c r="AJ9" s="41">
        <f>HYD!AP11</f>
        <v/>
      </c>
      <c r="AK9" s="41">
        <f>HYD!AQ11</f>
        <v/>
      </c>
      <c r="AL9" s="41">
        <f>HYD!AR11</f>
        <v/>
      </c>
      <c r="AM9" s="41">
        <f>HYD!AS11</f>
        <v/>
      </c>
      <c r="AN9" s="41">
        <f>HYD!AT11</f>
        <v/>
      </c>
      <c r="AO9" s="41">
        <f>HYD!AU11</f>
        <v/>
      </c>
      <c r="AP9" s="41">
        <f>HYD!AV11</f>
        <v/>
      </c>
      <c r="AQ9" s="41">
        <f>HYD!AW11</f>
        <v/>
      </c>
      <c r="AR9" s="41">
        <f>HYD!AX11</f>
        <v/>
      </c>
      <c r="AS9" s="41">
        <f>HYD!AY11</f>
        <v/>
      </c>
      <c r="AT9" s="42" t="n"/>
      <c r="AU9" s="42" t="n"/>
      <c r="AV9" s="42" t="n"/>
      <c r="AW9" s="42" t="n"/>
    </row>
    <row r="10">
      <c r="A10" s="18" t="n">
        <v>8</v>
      </c>
      <c r="B10" s="18">
        <f>B9</f>
        <v/>
      </c>
      <c r="C10" s="38">
        <f>GSD!F12</f>
        <v/>
      </c>
      <c r="D10" s="92" t="n">
        <v>4.75</v>
      </c>
      <c r="E10" s="92" t="n">
        <v>2</v>
      </c>
      <c r="F10" s="92" t="n">
        <v>1.18</v>
      </c>
      <c r="G10" s="92" t="n">
        <v>0.6</v>
      </c>
      <c r="H10" s="92" t="n">
        <v>0.425</v>
      </c>
      <c r="I10" s="92" t="n">
        <v>0.3</v>
      </c>
      <c r="J10" s="92" t="n">
        <v>0.15</v>
      </c>
      <c r="K10" s="92" t="n">
        <v>0.075</v>
      </c>
      <c r="L10" s="93">
        <f>HYD!Z12</f>
        <v/>
      </c>
      <c r="M10" s="93">
        <f>HYD!AA12</f>
        <v/>
      </c>
      <c r="N10" s="93">
        <f>HYD!AB12</f>
        <v/>
      </c>
      <c r="O10" s="93">
        <f>HYD!AC12</f>
        <v/>
      </c>
      <c r="P10" s="93">
        <f>HYD!AD12</f>
        <v/>
      </c>
      <c r="Q10" s="93">
        <f>HYD!AE12</f>
        <v/>
      </c>
      <c r="R10" s="93">
        <f>HYD!AF12</f>
        <v/>
      </c>
      <c r="S10" s="93">
        <f>HYD!AG12</f>
        <v/>
      </c>
      <c r="T10" s="93">
        <f>HYD!AH12</f>
        <v/>
      </c>
      <c r="U10" s="93">
        <f>HYD!AI12</f>
        <v/>
      </c>
      <c r="V10" s="93">
        <f>HYD!AJ12</f>
        <v/>
      </c>
      <c r="W10" s="93">
        <f>HYD!AK12</f>
        <v/>
      </c>
      <c r="X10" s="93">
        <f>HYD!AL12</f>
        <v/>
      </c>
      <c r="Y10" s="41">
        <f>GSD!S12</f>
        <v/>
      </c>
      <c r="Z10" s="41">
        <f>GSD!T12</f>
        <v/>
      </c>
      <c r="AA10" s="41">
        <f>GSD!U12</f>
        <v/>
      </c>
      <c r="AB10" s="41">
        <f>GSD!V12</f>
        <v/>
      </c>
      <c r="AC10" s="41">
        <f>GSD!W12</f>
        <v/>
      </c>
      <c r="AD10" s="41">
        <f>GSD!X12</f>
        <v/>
      </c>
      <c r="AE10" s="41">
        <f>GSD!Y12</f>
        <v/>
      </c>
      <c r="AF10" s="41">
        <f>GSD!Z12</f>
        <v/>
      </c>
      <c r="AG10" s="41">
        <f>HYD!AM12</f>
        <v/>
      </c>
      <c r="AH10" s="41">
        <f>HYD!AN12</f>
        <v/>
      </c>
      <c r="AI10" s="41">
        <f>HYD!AO12</f>
        <v/>
      </c>
      <c r="AJ10" s="41">
        <f>HYD!AP12</f>
        <v/>
      </c>
      <c r="AK10" s="41">
        <f>HYD!AQ12</f>
        <v/>
      </c>
      <c r="AL10" s="41">
        <f>HYD!AR12</f>
        <v/>
      </c>
      <c r="AM10" s="41">
        <f>HYD!AS12</f>
        <v/>
      </c>
      <c r="AN10" s="41">
        <f>HYD!AT12</f>
        <v/>
      </c>
      <c r="AO10" s="41">
        <f>HYD!AU12</f>
        <v/>
      </c>
      <c r="AP10" s="41">
        <f>HYD!AV12</f>
        <v/>
      </c>
      <c r="AQ10" s="41">
        <f>HYD!AW12</f>
        <v/>
      </c>
      <c r="AR10" s="41">
        <f>HYD!AX12</f>
        <v/>
      </c>
      <c r="AS10" s="41">
        <f>HYD!AY12</f>
        <v/>
      </c>
      <c r="AT10" s="42" t="n"/>
      <c r="AU10" s="42" t="n"/>
      <c r="AV10" s="42" t="n"/>
      <c r="AW10" s="42" t="n"/>
    </row>
    <row r="11">
      <c r="A11" s="18" t="n">
        <v>9</v>
      </c>
      <c r="B11" s="18">
        <f>B10</f>
        <v/>
      </c>
      <c r="C11" s="38">
        <f>GSD!F13</f>
        <v/>
      </c>
      <c r="D11" s="92" t="n">
        <v>4.75</v>
      </c>
      <c r="E11" s="92" t="n">
        <v>2</v>
      </c>
      <c r="F11" s="92" t="n">
        <v>1.18</v>
      </c>
      <c r="G11" s="92" t="n">
        <v>0.6</v>
      </c>
      <c r="H11" s="92" t="n">
        <v>0.425</v>
      </c>
      <c r="I11" s="92" t="n">
        <v>0.3</v>
      </c>
      <c r="J11" s="92" t="n">
        <v>0.15</v>
      </c>
      <c r="K11" s="92" t="n">
        <v>0.075</v>
      </c>
      <c r="L11" s="93">
        <f>HYD!Z13</f>
        <v/>
      </c>
      <c r="M11" s="93">
        <f>HYD!AA13</f>
        <v/>
      </c>
      <c r="N11" s="93">
        <f>HYD!AB13</f>
        <v/>
      </c>
      <c r="O11" s="93">
        <f>HYD!AC13</f>
        <v/>
      </c>
      <c r="P11" s="93">
        <f>HYD!AD13</f>
        <v/>
      </c>
      <c r="Q11" s="93">
        <f>HYD!AE13</f>
        <v/>
      </c>
      <c r="R11" s="93">
        <f>HYD!AF13</f>
        <v/>
      </c>
      <c r="S11" s="93">
        <f>HYD!AG13</f>
        <v/>
      </c>
      <c r="T11" s="93">
        <f>HYD!AH13</f>
        <v/>
      </c>
      <c r="U11" s="93">
        <f>HYD!AI13</f>
        <v/>
      </c>
      <c r="V11" s="93">
        <f>HYD!AJ13</f>
        <v/>
      </c>
      <c r="W11" s="93">
        <f>HYD!AK13</f>
        <v/>
      </c>
      <c r="X11" s="93">
        <f>HYD!AL13</f>
        <v/>
      </c>
      <c r="Y11" s="41">
        <f>GSD!S13</f>
        <v/>
      </c>
      <c r="Z11" s="41">
        <f>GSD!T13</f>
        <v/>
      </c>
      <c r="AA11" s="41">
        <f>GSD!U13</f>
        <v/>
      </c>
      <c r="AB11" s="41">
        <f>GSD!V13</f>
        <v/>
      </c>
      <c r="AC11" s="41">
        <f>GSD!W13</f>
        <v/>
      </c>
      <c r="AD11" s="41">
        <f>GSD!X13</f>
        <v/>
      </c>
      <c r="AE11" s="41">
        <f>GSD!Y13</f>
        <v/>
      </c>
      <c r="AF11" s="41">
        <f>GSD!Z13</f>
        <v/>
      </c>
      <c r="AG11" s="41">
        <f>HYD!AM13</f>
        <v/>
      </c>
      <c r="AH11" s="41">
        <f>HYD!AN13</f>
        <v/>
      </c>
      <c r="AI11" s="41">
        <f>HYD!AO13</f>
        <v/>
      </c>
      <c r="AJ11" s="41">
        <f>HYD!AP13</f>
        <v/>
      </c>
      <c r="AK11" s="41">
        <f>HYD!AQ13</f>
        <v/>
      </c>
      <c r="AL11" s="41">
        <f>HYD!AR13</f>
        <v/>
      </c>
      <c r="AM11" s="41">
        <f>HYD!AS13</f>
        <v/>
      </c>
      <c r="AN11" s="41">
        <f>HYD!AT13</f>
        <v/>
      </c>
      <c r="AO11" s="41">
        <f>HYD!AU13</f>
        <v/>
      </c>
      <c r="AP11" s="41">
        <f>HYD!AV13</f>
        <v/>
      </c>
      <c r="AQ11" s="41">
        <f>HYD!AW13</f>
        <v/>
      </c>
      <c r="AR11" s="41">
        <f>HYD!AX13</f>
        <v/>
      </c>
      <c r="AS11" s="41">
        <f>HYD!AY13</f>
        <v/>
      </c>
      <c r="AT11" s="42" t="n"/>
      <c r="AU11" s="42" t="n"/>
      <c r="AV11" s="42" t="n"/>
      <c r="AW11" s="42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2026-09-26T09:49:21Z</dcterms:modified>
  <cp:lastModifiedBy>baps</cp:lastModifiedBy>
</cp:coreProperties>
</file>