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4710" windowWidth="12555" windowHeight="1077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GSD!$S$5:$Z$5</f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GSD!$S$6:$Z$6</f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GSD!$S$7:$Z$7</f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GSD!$S$8:$Z$8</f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GSD!$S$9:$Z$9</f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GSD!$S$10:$Z$10</f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GSD!$S$11:$Z$11</f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GSD!$S$12:$Z$12</f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GSD!$S$13:$Z$13</f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98.18000000000001</v>
                </pt>
                <pt idx="1">
                  <v>97.15000000000001</v>
                </pt>
                <pt idx="2">
                  <v>96.55</v>
                </pt>
                <pt idx="3">
                  <v>95.59</v>
                </pt>
                <pt idx="4">
                  <v>94.17</v>
                </pt>
                <pt idx="5">
                  <v>76.00999999999999</v>
                </pt>
                <pt idx="6">
                  <v>25.94</v>
                </pt>
                <pt idx="7">
                  <v>20.28999999999999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91.345</v>
                </pt>
                <pt idx="1">
                  <v>90.455</v>
                </pt>
                <pt idx="2">
                  <v>89.03</v>
                </pt>
                <pt idx="3">
                  <v>85.745</v>
                </pt>
                <pt idx="4">
                  <v>84.52</v>
                </pt>
                <pt idx="5">
                  <v>79.255</v>
                </pt>
                <pt idx="6">
                  <v>62.715</v>
                </pt>
                <pt idx="7">
                  <v>53.76000000000001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99.66</v>
                </pt>
                <pt idx="1">
                  <v>99.13</v>
                </pt>
                <pt idx="2">
                  <v>98.73999999999999</v>
                </pt>
                <pt idx="3">
                  <v>95.48</v>
                </pt>
                <pt idx="4">
                  <v>90.02</v>
                </pt>
                <pt idx="5">
                  <v>54.02</v>
                </pt>
                <pt idx="6">
                  <v>25.08</v>
                </pt>
                <pt idx="7">
                  <v>21.98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98.61499999999999</v>
                </pt>
                <pt idx="1">
                  <v>97.535</v>
                </pt>
                <pt idx="2">
                  <v>94.935</v>
                </pt>
                <pt idx="3">
                  <v>78.03999999999999</v>
                </pt>
                <pt idx="4">
                  <v>75.62</v>
                </pt>
                <pt idx="5">
                  <v>70.905</v>
                </pt>
                <pt idx="6">
                  <v>57.89</v>
                </pt>
                <pt idx="7">
                  <v>50.6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100</v>
                </pt>
                <pt idx="1">
                  <v>100</v>
                </pt>
                <pt idx="2">
                  <v>99.77</v>
                </pt>
                <pt idx="3">
                  <v>98.5</v>
                </pt>
                <pt idx="4">
                  <v>96.76000000000001</v>
                </pt>
                <pt idx="5">
                  <v>78.37</v>
                </pt>
                <pt idx="6">
                  <v>32.36</v>
                </pt>
                <pt idx="7">
                  <v>26.70999999999999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99.63</v>
                </pt>
                <pt idx="1">
                  <v>99.16</v>
                </pt>
                <pt idx="2">
                  <v>98.8</v>
                </pt>
                <pt idx="3">
                  <v>97.31999999999999</v>
                </pt>
                <pt idx="4">
                  <v>94.84</v>
                </pt>
                <pt idx="5">
                  <v>72.78999999999999</v>
                </pt>
                <pt idx="6">
                  <v>28.91</v>
                </pt>
                <pt idx="7">
                  <v>24.38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100</v>
                </pt>
                <pt idx="1">
                  <v>99.56999999999999</v>
                </pt>
                <pt idx="2">
                  <v>99.02</v>
                </pt>
                <pt idx="3">
                  <v>96.84</v>
                </pt>
                <pt idx="4">
                  <v>93.11</v>
                </pt>
                <pt idx="5">
                  <v>65.88</v>
                </pt>
                <pt idx="6">
                  <v>27.69999999999999</v>
                </pt>
                <pt idx="7">
                  <v>22.94999999999999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100</v>
                </pt>
                <pt idx="1">
                  <v>98.97</v>
                </pt>
                <pt idx="2">
                  <v>98.14</v>
                </pt>
                <pt idx="3">
                  <v>97.38</v>
                </pt>
                <pt idx="4">
                  <v>96.43000000000001</v>
                </pt>
                <pt idx="5">
                  <v>81.21000000000001</v>
                </pt>
                <pt idx="6">
                  <v>29.2</v>
                </pt>
                <pt idx="7">
                  <v>23.15000000000001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99.66800000000001</v>
                </pt>
                <pt idx="1">
                  <v>97.928</v>
                </pt>
                <pt idx="2">
                  <v>96.27800000000001</v>
                </pt>
                <pt idx="3">
                  <v>83.108</v>
                </pt>
                <pt idx="4">
                  <v>70.738</v>
                </pt>
                <pt idx="5">
                  <v>44.018</v>
                </pt>
                <pt idx="6">
                  <v>29.818</v>
                </pt>
                <pt idx="7">
                  <v>24.848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130" zoomScaleNormal="85" zoomScaleSheetLayoutView="130" zoomScalePageLayoutView="85" workbookViewId="0">
      <selection activeCell="AE3" sqref="AE3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hidden="1" width="9.7109375" customWidth="1" style="1" min="7" max="7"/>
    <col hidden="1" width="11.28515625" customWidth="1" style="1" min="8" max="8"/>
    <col hidden="1" width="13" customWidth="1" style="1" min="9" max="9"/>
    <col hidden="1" width="7.7109375" customWidth="1" style="1" min="10" max="18"/>
    <col hidden="1" style="1" min="19" max="26"/>
    <col width="9" customWidth="1" style="1" min="27" max="16384"/>
  </cols>
  <sheetData>
    <row r="1" ht="25.15" customHeight="1" s="41">
      <c r="A1" s="56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3" t="inlineStr">
        <is>
          <t>Sample Type</t>
        </is>
      </c>
      <c r="F2" s="63" t="inlineStr">
        <is>
          <t>Depth</t>
        </is>
      </c>
      <c r="G2" s="63" t="inlineStr">
        <is>
          <t>Container No.</t>
        </is>
      </c>
      <c r="H2" s="63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67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67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6" t="inlineStr">
        <is>
          <t xml:space="preserve">Gravel </t>
        </is>
      </c>
      <c r="AB2" s="66" t="inlineStr">
        <is>
          <t>Sand</t>
        </is>
      </c>
      <c r="AC2" s="66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5" t="n">
        <v>4.75</v>
      </c>
      <c r="K3" s="3" t="n">
        <v>2</v>
      </c>
      <c r="L3" s="3" t="n">
        <v>1.18</v>
      </c>
      <c r="M3" s="97" t="n">
        <v>0.6</v>
      </c>
      <c r="N3" s="65" t="n">
        <v>0.425</v>
      </c>
      <c r="O3" s="97" t="n">
        <v>0.3</v>
      </c>
      <c r="P3" s="97" t="n">
        <v>0.15</v>
      </c>
      <c r="Q3" s="65" t="n">
        <v>0.075</v>
      </c>
      <c r="R3" s="65" t="inlineStr">
        <is>
          <t>Pan</t>
        </is>
      </c>
      <c r="S3" s="63" t="n">
        <v>4.75</v>
      </c>
      <c r="T3" s="6" t="n">
        <v>2</v>
      </c>
      <c r="U3" s="6" t="n">
        <v>1.18</v>
      </c>
      <c r="V3" s="98" t="n">
        <v>0.6</v>
      </c>
      <c r="W3" s="63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5" t="inlineStr">
        <is>
          <t>-</t>
        </is>
      </c>
      <c r="F4" s="67" t="inlineStr">
        <is>
          <t>(m)</t>
        </is>
      </c>
      <c r="G4" s="67" t="inlineStr">
        <is>
          <t>-</t>
        </is>
      </c>
      <c r="H4" s="67" t="inlineStr">
        <is>
          <t>(gm)</t>
        </is>
      </c>
      <c r="I4" s="67" t="inlineStr">
        <is>
          <t>(gm)</t>
        </is>
      </c>
      <c r="J4" s="67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67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68" t="inlineStr">
        <is>
          <t>%</t>
        </is>
      </c>
      <c r="AB4" s="92" t="n"/>
      <c r="AC4" s="93" t="n"/>
    </row>
    <row r="5" ht="30" customHeight="1" s="41">
      <c r="A5" s="68" t="n">
        <v>1</v>
      </c>
      <c r="B5" s="70" t="inlineStr">
        <is>
          <t>CBH-13</t>
        </is>
      </c>
      <c r="C5" s="70" t="n"/>
      <c r="D5" s="71" t="n"/>
      <c r="E5" s="47" t="inlineStr">
        <is>
          <t>SPT</t>
        </is>
      </c>
      <c r="F5" s="43" t="n">
        <v>0.5</v>
      </c>
      <c r="G5" s="47" t="inlineStr">
        <is>
          <t>A138</t>
        </is>
      </c>
      <c r="H5" s="71" t="n">
        <v>100</v>
      </c>
      <c r="I5" s="43">
        <f>H5-SUM(J5:Q5)</f>
        <v/>
      </c>
      <c r="J5" s="43" t="n">
        <v>1.82</v>
      </c>
      <c r="K5" s="43" t="n">
        <v>1.03</v>
      </c>
      <c r="L5" s="43" t="n">
        <v>0.6</v>
      </c>
      <c r="M5" s="43" t="n">
        <v>0.96</v>
      </c>
      <c r="N5" s="43" t="n">
        <v>1.42</v>
      </c>
      <c r="O5" s="43" t="n">
        <v>18.16</v>
      </c>
      <c r="P5" s="43" t="n">
        <v>50.07</v>
      </c>
      <c r="Q5" s="43" t="n">
        <v>5.65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8" t="n">
        <v>2</v>
      </c>
      <c r="B6" s="99" t="n"/>
      <c r="C6" s="99" t="n"/>
      <c r="D6" s="99" t="n"/>
      <c r="E6" s="47" t="inlineStr">
        <is>
          <t>UDS</t>
        </is>
      </c>
      <c r="F6" s="43" t="n">
        <v>1.5</v>
      </c>
      <c r="G6" s="47" t="inlineStr">
        <is>
          <t>A161</t>
        </is>
      </c>
      <c r="H6" s="71" t="n">
        <v>200</v>
      </c>
      <c r="I6" s="43">
        <f>H6-SUM(J6:Q6)</f>
        <v/>
      </c>
      <c r="J6" s="43" t="n">
        <v>17.31</v>
      </c>
      <c r="K6" s="43" t="n">
        <v>1.78</v>
      </c>
      <c r="L6" s="43" t="n">
        <v>2.85</v>
      </c>
      <c r="M6" s="43" t="n">
        <v>6.57</v>
      </c>
      <c r="N6" s="43" t="n">
        <v>2.45</v>
      </c>
      <c r="O6" s="43" t="n">
        <v>10.53</v>
      </c>
      <c r="P6" s="43" t="n">
        <v>33.08</v>
      </c>
      <c r="Q6" s="43" t="n">
        <v>17.91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8" t="n">
        <v>3</v>
      </c>
      <c r="B7" s="99" t="n"/>
      <c r="C7" s="99" t="n"/>
      <c r="D7" s="99" t="n"/>
      <c r="E7" s="47" t="inlineStr">
        <is>
          <t>SPT</t>
        </is>
      </c>
      <c r="F7" s="43" t="n">
        <v>3.5</v>
      </c>
      <c r="G7" s="47" t="inlineStr">
        <is>
          <t>A021</t>
        </is>
      </c>
      <c r="H7" s="71" t="n">
        <v>100</v>
      </c>
      <c r="I7" s="43">
        <f>H7-SUM(J7:Q7)</f>
        <v/>
      </c>
      <c r="J7" s="43" t="n">
        <v>0.34</v>
      </c>
      <c r="K7" s="43" t="n">
        <v>0.53</v>
      </c>
      <c r="L7" s="43" t="n">
        <v>0.39</v>
      </c>
      <c r="M7" s="43" t="n">
        <v>3.26</v>
      </c>
      <c r="N7" s="43" t="n">
        <v>5.46</v>
      </c>
      <c r="O7" s="43" t="n">
        <v>36</v>
      </c>
      <c r="P7" s="43" t="n">
        <v>28.94</v>
      </c>
      <c r="Q7" s="43" t="n">
        <v>3.1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8" t="n">
        <v>4</v>
      </c>
      <c r="B8" s="99" t="n"/>
      <c r="C8" s="99" t="n"/>
      <c r="D8" s="99" t="n"/>
      <c r="E8" s="47" t="inlineStr">
        <is>
          <t>UDS</t>
        </is>
      </c>
      <c r="F8" s="43" t="n">
        <v>4.5</v>
      </c>
      <c r="G8" s="47" t="inlineStr">
        <is>
          <t>A105</t>
        </is>
      </c>
      <c r="H8" s="71" t="n">
        <v>200</v>
      </c>
      <c r="I8" s="43">
        <f>H8-SUM(J8:Q8)</f>
        <v/>
      </c>
      <c r="J8" s="43" t="n">
        <v>2.77</v>
      </c>
      <c r="K8" s="43" t="n">
        <v>2.16</v>
      </c>
      <c r="L8" s="43" t="n">
        <v>5.2</v>
      </c>
      <c r="M8" s="43" t="n">
        <v>33.79</v>
      </c>
      <c r="N8" s="43" t="n">
        <v>4.84</v>
      </c>
      <c r="O8" s="43" t="n">
        <v>9.43</v>
      </c>
      <c r="P8" s="43" t="n">
        <v>26.03</v>
      </c>
      <c r="Q8" s="43" t="n">
        <v>14.58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8" t="n">
        <v>5</v>
      </c>
      <c r="B9" s="99" t="n"/>
      <c r="C9" s="99" t="n"/>
      <c r="D9" s="99" t="n"/>
      <c r="E9" s="47" t="inlineStr">
        <is>
          <t>SPT</t>
        </is>
      </c>
      <c r="F9" s="43" t="n">
        <v>6.5</v>
      </c>
      <c r="G9" s="47" t="inlineStr">
        <is>
          <t>A067</t>
        </is>
      </c>
      <c r="H9" s="71" t="n">
        <v>100</v>
      </c>
      <c r="I9" s="43">
        <f>H9-SUM(J9:Q9)</f>
        <v/>
      </c>
      <c r="J9" s="43" t="n">
        <v>0</v>
      </c>
      <c r="K9" s="43" t="n">
        <v>0</v>
      </c>
      <c r="L9" s="43" t="n">
        <v>0.23</v>
      </c>
      <c r="M9" s="43" t="n">
        <v>1.27</v>
      </c>
      <c r="N9" s="43" t="n">
        <v>1.74</v>
      </c>
      <c r="O9" s="43" t="n">
        <v>18.39</v>
      </c>
      <c r="P9" s="43" t="n">
        <v>46.01</v>
      </c>
      <c r="Q9" s="43" t="n">
        <v>5.65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/>
      <c r="B10" s="99" t="n"/>
      <c r="C10" s="99" t="n"/>
      <c r="D10" s="99" t="n"/>
      <c r="E10" s="47" t="inlineStr">
        <is>
          <t>SPT</t>
        </is>
      </c>
      <c r="F10" s="43" t="n">
        <v>7.5</v>
      </c>
      <c r="G10" s="47" t="inlineStr">
        <is>
          <t>A071</t>
        </is>
      </c>
      <c r="H10" s="71" t="n">
        <v>100</v>
      </c>
      <c r="I10" s="43">
        <f>H10-SUM(J10:Q10)</f>
        <v/>
      </c>
      <c r="J10" s="43" t="n">
        <v>0.37</v>
      </c>
      <c r="K10" s="43" t="n">
        <v>0.47</v>
      </c>
      <c r="L10" s="43" t="n">
        <v>0.36</v>
      </c>
      <c r="M10" s="43" t="n">
        <v>1.48</v>
      </c>
      <c r="N10" s="43" t="n">
        <v>2.48</v>
      </c>
      <c r="O10" s="43" t="n">
        <v>22.05</v>
      </c>
      <c r="P10" s="43" t="n">
        <v>43.88</v>
      </c>
      <c r="Q10" s="43" t="n">
        <v>4.53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68" t="n">
        <v>7</v>
      </c>
      <c r="B11" s="99" t="n"/>
      <c r="C11" s="99" t="n"/>
      <c r="D11" s="99" t="n"/>
      <c r="E11" s="47" t="inlineStr">
        <is>
          <t>SPT</t>
        </is>
      </c>
      <c r="F11" s="43" t="n">
        <v>10.5</v>
      </c>
      <c r="G11" s="47" t="inlineStr">
        <is>
          <t>A106</t>
        </is>
      </c>
      <c r="H11" s="71" t="n">
        <v>100</v>
      </c>
      <c r="I11" s="43">
        <f>H11-SUM(J11:Q11)</f>
        <v/>
      </c>
      <c r="J11" s="43" t="n">
        <v>0</v>
      </c>
      <c r="K11" s="43" t="n">
        <v>0.43</v>
      </c>
      <c r="L11" s="43" t="n">
        <v>0.55</v>
      </c>
      <c r="M11" s="43" t="n">
        <v>2.18</v>
      </c>
      <c r="N11" s="43" t="n">
        <v>3.73</v>
      </c>
      <c r="O11" s="43" t="n">
        <v>27.23</v>
      </c>
      <c r="P11" s="43" t="n">
        <v>38.18</v>
      </c>
      <c r="Q11" s="43" t="n">
        <v>4.75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68" t="n">
        <v>8</v>
      </c>
      <c r="B12" s="99" t="n"/>
      <c r="C12" s="99" t="n"/>
      <c r="D12" s="99" t="n"/>
      <c r="E12" s="47" t="inlineStr">
        <is>
          <t>SPT</t>
        </is>
      </c>
      <c r="F12" s="43" t="n">
        <v>13.5</v>
      </c>
      <c r="G12" s="47" t="inlineStr">
        <is>
          <t>A159</t>
        </is>
      </c>
      <c r="H12" s="71" t="n">
        <v>100</v>
      </c>
      <c r="I12" s="43">
        <f>H12-SUM(J12:Q12)</f>
        <v/>
      </c>
      <c r="J12" s="43" t="n">
        <v>0</v>
      </c>
      <c r="K12" s="43" t="n">
        <v>1.03</v>
      </c>
      <c r="L12" s="43" t="n">
        <v>0.83</v>
      </c>
      <c r="M12" s="43" t="n">
        <v>0.76</v>
      </c>
      <c r="N12" s="43" t="n">
        <v>0.95</v>
      </c>
      <c r="O12" s="43" t="n">
        <v>15.22</v>
      </c>
      <c r="P12" s="43" t="n">
        <v>52.01</v>
      </c>
      <c r="Q12" s="43" t="n">
        <v>6.05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68" t="n">
        <v>9</v>
      </c>
      <c r="B13" s="95" t="n"/>
      <c r="C13" s="95" t="n"/>
      <c r="D13" s="95" t="n"/>
      <c r="E13" s="47" t="inlineStr">
        <is>
          <t>SPT</t>
        </is>
      </c>
      <c r="F13" s="43" t="n">
        <v>15</v>
      </c>
      <c r="G13" s="47" t="inlineStr">
        <is>
          <t>A063</t>
        </is>
      </c>
      <c r="H13" s="71" t="n">
        <v>100</v>
      </c>
      <c r="I13" s="43">
        <f>H13-SUM(J13:Q13)</f>
        <v/>
      </c>
      <c r="J13" s="43" t="n">
        <v>0.332</v>
      </c>
      <c r="K13" s="43" t="n">
        <v>1.74</v>
      </c>
      <c r="L13" s="43" t="n">
        <v>1.65</v>
      </c>
      <c r="M13" s="43" t="n">
        <v>13.17</v>
      </c>
      <c r="N13" s="43" t="n">
        <v>12.37</v>
      </c>
      <c r="O13" s="43" t="n">
        <v>26.72</v>
      </c>
      <c r="P13" s="43" t="n">
        <v>14.2</v>
      </c>
      <c r="Q13" s="43" t="n">
        <v>4.97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F14" sqref="F14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81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9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9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80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8" t="n">
        <v>1</v>
      </c>
      <c r="O2" s="78" t="n">
        <v>2</v>
      </c>
      <c r="P2" s="78" t="n">
        <v>4</v>
      </c>
      <c r="Q2" s="78" t="n">
        <v>8</v>
      </c>
      <c r="R2" s="78" t="n">
        <v>15</v>
      </c>
      <c r="S2" s="78" t="n">
        <v>30</v>
      </c>
      <c r="T2" s="78" t="n">
        <v>60</v>
      </c>
      <c r="U2" s="78" t="n">
        <v>120</v>
      </c>
      <c r="V2" s="78" t="n">
        <v>240</v>
      </c>
      <c r="W2" s="78" t="n">
        <v>480</v>
      </c>
      <c r="X2" s="78" t="n">
        <v>960</v>
      </c>
      <c r="Y2" s="78" t="n">
        <v>1440</v>
      </c>
      <c r="Z2" s="102" t="n">
        <v>0.5</v>
      </c>
      <c r="AA2" s="78" t="n">
        <v>1</v>
      </c>
      <c r="AB2" s="78" t="n">
        <v>2</v>
      </c>
      <c r="AC2" s="78" t="n">
        <v>4</v>
      </c>
      <c r="AD2" s="78" t="n">
        <v>8</v>
      </c>
      <c r="AE2" s="78" t="n">
        <v>15</v>
      </c>
      <c r="AF2" s="78" t="n">
        <v>30</v>
      </c>
      <c r="AG2" s="78" t="n">
        <v>60</v>
      </c>
      <c r="AH2" s="78" t="n">
        <v>120</v>
      </c>
      <c r="AI2" s="78" t="n">
        <v>240</v>
      </c>
      <c r="AJ2" s="78" t="n">
        <v>480</v>
      </c>
      <c r="AK2" s="78" t="n">
        <v>960</v>
      </c>
      <c r="AL2" s="78" t="n">
        <v>1440</v>
      </c>
      <c r="AM2" s="102" t="n">
        <v>0.5</v>
      </c>
      <c r="AN2" s="78" t="n">
        <v>1</v>
      </c>
      <c r="AO2" s="78" t="n">
        <v>2</v>
      </c>
      <c r="AP2" s="78" t="n">
        <v>4</v>
      </c>
      <c r="AQ2" s="78" t="n">
        <v>8</v>
      </c>
      <c r="AR2" s="78" t="n">
        <v>15</v>
      </c>
      <c r="AS2" s="78" t="n">
        <v>30</v>
      </c>
      <c r="AT2" s="78" t="n">
        <v>60</v>
      </c>
      <c r="AU2" s="78" t="n">
        <v>120</v>
      </c>
      <c r="AV2" s="78" t="n">
        <v>240</v>
      </c>
      <c r="AW2" s="78" t="n">
        <v>480</v>
      </c>
      <c r="AX2" s="78" t="n">
        <v>960</v>
      </c>
      <c r="AY2" s="78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74" t="inlineStr">
        <is>
          <t>-</t>
        </is>
      </c>
      <c r="E4" s="74" t="inlineStr">
        <is>
          <t>(°C)</t>
        </is>
      </c>
      <c r="F4" s="74" t="inlineStr">
        <is>
          <t>Poise</t>
        </is>
      </c>
      <c r="G4" s="74" t="inlineStr">
        <is>
          <t>-</t>
        </is>
      </c>
      <c r="H4" s="74" t="inlineStr">
        <is>
          <t>-</t>
        </is>
      </c>
      <c r="I4" s="81" t="inlineStr">
        <is>
          <t>-</t>
        </is>
      </c>
      <c r="J4" s="83" t="n"/>
      <c r="K4" s="83" t="inlineStr">
        <is>
          <t>-</t>
        </is>
      </c>
      <c r="L4" s="83" t="inlineStr">
        <is>
          <t>-</t>
        </is>
      </c>
      <c r="M4" s="81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81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81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>
        <f>(0.000000002615*E5^4) - (0.00000030607*E5^3) + (0.000016427499*E5^2) - (0.000618546309*E5) + 0.017919182437</f>
        <v/>
      </c>
      <c r="G5" s="104" t="n"/>
      <c r="H5" s="35" t="n">
        <v>0.0005</v>
      </c>
      <c r="I5" s="35" t="n">
        <v>1</v>
      </c>
      <c r="J5" s="35" t="n">
        <v>2</v>
      </c>
      <c r="K5" s="36">
        <f>(E5-27)*0.25</f>
        <v/>
      </c>
      <c r="L5" s="35" t="n">
        <v>0.3</v>
      </c>
      <c r="M5" s="104" t="n"/>
      <c r="N5" s="104" t="n"/>
      <c r="O5" s="104" t="n"/>
      <c r="P5" s="104" t="n"/>
      <c r="Q5" s="104" t="n"/>
      <c r="R5" s="104" t="n"/>
      <c r="S5" s="104" t="n"/>
      <c r="T5" s="104" t="n"/>
      <c r="U5" s="104" t="n"/>
      <c r="V5" s="104" t="n"/>
      <c r="W5" s="104" t="n"/>
      <c r="X5" s="104" t="n"/>
      <c r="Y5" s="104" t="n"/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2.62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4" t="n">
        <v>1.017</v>
      </c>
      <c r="N6" s="104" t="n">
        <v>1.017</v>
      </c>
      <c r="O6" s="104" t="n">
        <v>1.016</v>
      </c>
      <c r="P6" s="104" t="n">
        <v>1.016</v>
      </c>
      <c r="Q6" s="104" t="n">
        <v>1.015</v>
      </c>
      <c r="R6" s="104" t="n">
        <v>1.015</v>
      </c>
      <c r="S6" s="104" t="n">
        <v>1.014</v>
      </c>
      <c r="T6" s="104" t="n">
        <v>1.013</v>
      </c>
      <c r="U6" s="104" t="n">
        <v>1.012</v>
      </c>
      <c r="V6" s="104" t="n">
        <v>1.011</v>
      </c>
      <c r="W6" s="104" t="n">
        <v>1.011</v>
      </c>
      <c r="X6" s="104" t="n">
        <v>1.01</v>
      </c>
      <c r="Y6" s="104" t="n">
        <v>1.01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>
        <f>(0.000000002615*E7^4) - (0.00000030607*E7^3) + (0.000016427499*E7^2) - (0.000618546309*E7) + 0.017919182437</f>
        <v/>
      </c>
      <c r="G7" s="104" t="n"/>
      <c r="H7" s="35" t="n">
        <v>0.0005</v>
      </c>
      <c r="I7" s="35" t="n">
        <v>1</v>
      </c>
      <c r="J7" s="35" t="n">
        <v>2</v>
      </c>
      <c r="K7" s="36">
        <f>(E7-27)*0.25</f>
        <v/>
      </c>
      <c r="L7" s="35" t="n">
        <v>0.3</v>
      </c>
      <c r="M7" s="104" t="n"/>
      <c r="N7" s="104" t="n"/>
      <c r="O7" s="104" t="n"/>
      <c r="P7" s="104" t="n"/>
      <c r="Q7" s="104" t="n"/>
      <c r="R7" s="104" t="n"/>
      <c r="S7" s="104" t="n"/>
      <c r="T7" s="104" t="n"/>
      <c r="U7" s="104" t="n"/>
      <c r="V7" s="104" t="n"/>
      <c r="W7" s="104" t="n"/>
      <c r="X7" s="104" t="n"/>
      <c r="Y7" s="104" t="n"/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2.65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4" t="n">
        <v>1.016</v>
      </c>
      <c r="N8" s="104" t="n">
        <v>1.016</v>
      </c>
      <c r="O8" s="104" t="n">
        <v>1.015</v>
      </c>
      <c r="P8" s="104" t="n">
        <v>1.015</v>
      </c>
      <c r="Q8" s="104" t="n">
        <v>1.014</v>
      </c>
      <c r="R8" s="104" t="n">
        <v>1.014</v>
      </c>
      <c r="S8" s="104" t="n">
        <v>1.013</v>
      </c>
      <c r="T8" s="104" t="n">
        <v>1.012</v>
      </c>
      <c r="U8" s="104" t="n">
        <v>1.011</v>
      </c>
      <c r="V8" s="104" t="n">
        <v>1.01</v>
      </c>
      <c r="W8" s="104" t="n">
        <v>1.009</v>
      </c>
      <c r="X8" s="104" t="n">
        <v>1.009</v>
      </c>
      <c r="Y8" s="104" t="n">
        <v>1.009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 t="n">
        <v>0.008559421270000001</v>
      </c>
      <c r="G9" s="104" t="n">
        <v>2.65</v>
      </c>
      <c r="H9" s="35" t="n">
        <v>0.0005</v>
      </c>
      <c r="I9" s="35" t="n">
        <v>1</v>
      </c>
      <c r="J9" s="35" t="n">
        <v>1</v>
      </c>
      <c r="K9" s="36" t="n">
        <v>0</v>
      </c>
      <c r="L9" s="35" t="n">
        <v>0.3</v>
      </c>
      <c r="M9" s="104" t="n">
        <v>1.008</v>
      </c>
      <c r="N9" s="104" t="n">
        <v>1.008</v>
      </c>
      <c r="O9" s="104" t="n">
        <v>1.008</v>
      </c>
      <c r="P9" s="104" t="n">
        <v>1.007</v>
      </c>
      <c r="Q9" s="104" t="n">
        <v>1.007</v>
      </c>
      <c r="R9" s="104" t="n">
        <v>1.006</v>
      </c>
      <c r="S9" s="104" t="n">
        <v>1.005</v>
      </c>
      <c r="T9" s="104" t="n">
        <v>1.005</v>
      </c>
      <c r="U9" s="104" t="n">
        <v>1.004</v>
      </c>
      <c r="V9" s="104" t="n">
        <v>1.004</v>
      </c>
      <c r="W9" s="104" t="n">
        <v>1.003</v>
      </c>
      <c r="X9" s="104" t="n">
        <v>1.003</v>
      </c>
      <c r="Y9" s="104" t="n">
        <v>1.003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2.68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4" t="n">
        <v>1.008</v>
      </c>
      <c r="N10" s="104" t="n">
        <v>1.008</v>
      </c>
      <c r="O10" s="104" t="n">
        <v>1.007</v>
      </c>
      <c r="P10" s="104" t="n">
        <v>1.007</v>
      </c>
      <c r="Q10" s="104" t="n">
        <v>1.006</v>
      </c>
      <c r="R10" s="104" t="n">
        <v>1.006</v>
      </c>
      <c r="S10" s="104" t="n">
        <v>1.006</v>
      </c>
      <c r="T10" s="104" t="n">
        <v>1.005</v>
      </c>
      <c r="U10" s="104" t="n">
        <v>1.005</v>
      </c>
      <c r="V10" s="104" t="n">
        <v>1.004</v>
      </c>
      <c r="W10" s="104" t="n">
        <v>1.004</v>
      </c>
      <c r="X10" s="104" t="n">
        <v>1.003</v>
      </c>
      <c r="Y10" s="104" t="n">
        <v>1.003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2.69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4" t="n">
        <v>1.007</v>
      </c>
      <c r="N11" s="104" t="n">
        <v>1.007</v>
      </c>
      <c r="O11" s="104" t="n">
        <v>1.007</v>
      </c>
      <c r="P11" s="104" t="n">
        <v>1.007</v>
      </c>
      <c r="Q11" s="104" t="n">
        <v>1.006</v>
      </c>
      <c r="R11" s="104" t="n">
        <v>1.006</v>
      </c>
      <c r="S11" s="104" t="n">
        <v>1.005</v>
      </c>
      <c r="T11" s="104" t="n">
        <v>1.005</v>
      </c>
      <c r="U11" s="104" t="n">
        <v>1.005</v>
      </c>
      <c r="V11" s="104" t="n">
        <v>1.004</v>
      </c>
      <c r="W11" s="104" t="n">
        <v>1.004</v>
      </c>
      <c r="X11" s="104" t="n">
        <v>1.004</v>
      </c>
      <c r="Y11" s="104" t="n">
        <v>1.004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 t="n">
        <v>0.008559421270000001</v>
      </c>
      <c r="G12" s="104" t="n">
        <v>2.59</v>
      </c>
      <c r="H12" s="35" t="n">
        <v>0.0005</v>
      </c>
      <c r="I12" s="35" t="n">
        <v>2</v>
      </c>
      <c r="J12" s="35" t="n">
        <v>1</v>
      </c>
      <c r="K12" s="36" t="n">
        <v>0</v>
      </c>
      <c r="L12" s="35" t="n">
        <v>0.3</v>
      </c>
      <c r="M12" s="104" t="n">
        <v>1.007</v>
      </c>
      <c r="N12" s="104" t="n">
        <v>1.007</v>
      </c>
      <c r="O12" s="104" t="n">
        <v>1.007</v>
      </c>
      <c r="P12" s="104" t="n">
        <v>1.006</v>
      </c>
      <c r="Q12" s="104" t="n">
        <v>1.006</v>
      </c>
      <c r="R12" s="104" t="n">
        <v>1.005</v>
      </c>
      <c r="S12" s="104" t="n">
        <v>1.005</v>
      </c>
      <c r="T12" s="104" t="n">
        <v>1.004</v>
      </c>
      <c r="U12" s="104" t="n">
        <v>1.004</v>
      </c>
      <c r="V12" s="104" t="n">
        <v>1.003</v>
      </c>
      <c r="W12" s="104" t="n">
        <v>1.003</v>
      </c>
      <c r="X12" s="104" t="n">
        <v>1.002</v>
      </c>
      <c r="Y12" s="104" t="n">
        <v>1.002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>
        <f>(0.000000002615*E13^4) - (0.00000030607*E13^3) + (0.000016427499*E13^2) - (0.000618546309*E13) + 0.017919182437</f>
        <v/>
      </c>
      <c r="G13" s="104" t="n"/>
      <c r="H13" s="35" t="n">
        <v>0.0005</v>
      </c>
      <c r="I13" s="35" t="n">
        <v>1</v>
      </c>
      <c r="J13" s="35" t="n">
        <v>2</v>
      </c>
      <c r="K13" s="36">
        <f>(E13-27)*0.25</f>
        <v/>
      </c>
      <c r="L13" s="35" t="n">
        <v>0.3</v>
      </c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AC25" sqref="AC25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/>
      <c r="AU3" s="52" t="n"/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/>
      <c r="AU4" s="52" t="n"/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/>
      <c r="AU5" s="52" t="n"/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/>
      <c r="AU6" s="52" t="n"/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/>
      <c r="AU7" s="52" t="n"/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/>
      <c r="AU8" s="52" t="n"/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/>
      <c r="AU9" s="54" t="n"/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/>
      <c r="AU10" s="54" t="n"/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/>
      <c r="AU11" s="54" t="n"/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2026-09-21T01:33:34Z</dcterms:modified>
  <cp:lastModifiedBy>baps</cp:lastModifiedBy>
</cp:coreProperties>
</file>