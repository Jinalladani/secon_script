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inkage 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9.5"/>
    </font>
    <font>
      <name val="Segoe U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SHRINKAGE LIMIT TEST OBSERVATION SHEET</t>
        </is>
      </c>
    </row>
    <row r="3">
      <c r="A3" s="2" t="inlineStr">
        <is>
          <t>BH ID</t>
        </is>
      </c>
      <c r="B3" s="2" t="inlineStr">
        <is>
          <t>Depth (m)</t>
        </is>
      </c>
      <c r="C3" s="2" t="inlineStr">
        <is>
          <t>Sample Type</t>
        </is>
      </c>
      <c r="D3" s="2" t="inlineStr">
        <is>
          <t>Soil Class</t>
        </is>
      </c>
      <c r="E3" s="2" t="inlineStr">
        <is>
          <t>Dish No.</t>
        </is>
      </c>
      <c r="F3" s="2" t="inlineStr">
        <is>
          <t>Empty Container Weight (W1), g</t>
        </is>
      </c>
      <c r="G3" s="2" t="inlineStr">
        <is>
          <t>Container + Wet Soil (W2), g</t>
        </is>
      </c>
      <c r="H3" s="2" t="inlineStr">
        <is>
          <t>Container + Dry Soil (W3), g</t>
        </is>
      </c>
      <c r="I3" s="2" t="inlineStr">
        <is>
          <t>Wet Soil Mass (M1), g</t>
        </is>
      </c>
      <c r="J3" s="2" t="inlineStr">
        <is>
          <t>Dry Soil Mass (M2), g</t>
        </is>
      </c>
      <c r="K3" s="2" t="inlineStr">
        <is>
          <t>Volume of Wet Pat (V1), cm³</t>
        </is>
      </c>
      <c r="L3" s="2" t="inlineStr">
        <is>
          <t>Mass of Displaced Mercury (Mv), g</t>
        </is>
      </c>
      <c r="M3" s="2" t="inlineStr">
        <is>
          <t>Volume of Dry Pat (V2), cm³</t>
        </is>
      </c>
      <c r="N3" s="2" t="inlineStr">
        <is>
          <t>Shrinkage Limit (SL), %</t>
        </is>
      </c>
    </row>
    <row r="4">
      <c r="A4" s="3" t="inlineStr">
        <is>
          <t>NBH-01</t>
        </is>
      </c>
      <c r="B4" s="3" t="inlineStr">
        <is>
          <t>10.50</t>
        </is>
      </c>
      <c r="C4" s="3" t="inlineStr">
        <is>
          <t>UDS</t>
        </is>
      </c>
      <c r="D4" s="3" t="inlineStr">
        <is>
          <t>CI</t>
        </is>
      </c>
      <c r="E4" s="3" t="inlineStr">
        <is>
          <t>SL_01</t>
        </is>
      </c>
      <c r="F4" s="3" t="n">
        <v>37.1</v>
      </c>
      <c r="G4" s="3" t="n">
        <v>76.92</v>
      </c>
      <c r="H4" s="3" t="n">
        <v>71.02</v>
      </c>
      <c r="I4" s="3">
        <f>G4-F4</f>
        <v/>
      </c>
      <c r="J4" s="3">
        <f>H4-F4</f>
        <v/>
      </c>
      <c r="K4" s="3" t="n">
        <v>21.91</v>
      </c>
      <c r="L4" s="3" t="n">
        <v>281.37</v>
      </c>
      <c r="M4" s="3">
        <f>L4/13.6</f>
        <v/>
      </c>
      <c r="N4" s="3">
        <f>((I4-J4)/J4 - (K4-M4)/J4)*100</f>
        <v/>
      </c>
    </row>
    <row r="5">
      <c r="A5" s="3" t="inlineStr">
        <is>
          <t>NBH-01</t>
        </is>
      </c>
      <c r="B5" s="3" t="inlineStr">
        <is>
          <t>12.50</t>
        </is>
      </c>
      <c r="C5" s="3" t="inlineStr">
        <is>
          <t>SPT</t>
        </is>
      </c>
      <c r="D5" s="3" t="inlineStr">
        <is>
          <t>CI</t>
        </is>
      </c>
      <c r="E5" s="3" t="inlineStr">
        <is>
          <t>SL_02</t>
        </is>
      </c>
      <c r="F5" s="3" t="n">
        <v>36.38</v>
      </c>
      <c r="G5" s="3" t="n">
        <v>77.33</v>
      </c>
      <c r="H5" s="3" t="n">
        <v>72.98999999999999</v>
      </c>
      <c r="I5" s="3">
        <f>G5-F5</f>
        <v/>
      </c>
      <c r="J5" s="3">
        <f>H5-F5</f>
        <v/>
      </c>
      <c r="K5" s="3" t="n">
        <v>21.9</v>
      </c>
      <c r="L5" s="3" t="n">
        <v>260.93</v>
      </c>
      <c r="M5" s="3">
        <f>L5/13.6</f>
        <v/>
      </c>
      <c r="N5" s="3">
        <f>((I5-J5)/J5 - (K5-M5)/J5)*100</f>
        <v/>
      </c>
    </row>
    <row r="6">
      <c r="A6" s="3" t="inlineStr">
        <is>
          <t>NBH-01</t>
        </is>
      </c>
      <c r="B6" s="3" t="inlineStr">
        <is>
          <t>13.50</t>
        </is>
      </c>
      <c r="C6" s="3" t="inlineStr">
        <is>
          <t>UDS</t>
        </is>
      </c>
      <c r="D6" s="3" t="inlineStr">
        <is>
          <t>CI</t>
        </is>
      </c>
      <c r="E6" s="3" t="inlineStr">
        <is>
          <t>SL_03</t>
        </is>
      </c>
      <c r="F6" s="3" t="n">
        <v>37.29</v>
      </c>
      <c r="G6" s="3" t="n">
        <v>90.77</v>
      </c>
      <c r="H6" s="3" t="n">
        <v>82.20999999999999</v>
      </c>
      <c r="I6" s="3">
        <f>G6-F6</f>
        <v/>
      </c>
      <c r="J6" s="3">
        <f>H6-F6</f>
        <v/>
      </c>
      <c r="K6" s="3" t="n">
        <v>23.3</v>
      </c>
      <c r="L6" s="3" t="n">
        <v>272.6</v>
      </c>
      <c r="M6" s="3">
        <f>L6/13.6</f>
        <v/>
      </c>
      <c r="N6" s="3">
        <f>((I6-J6)/J6 - (K6-M6)/J6)*100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2026-09-28T06:21:43Z</dcterms:created>
  <dcterms:modified xsi:type="dcterms:W3CDTF">2026-09-28T06:21:43Z</dcterms:modified>
</cp:coreProperties>
</file>