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ummary" sheetId="1" state="visible" r:id="rId1"/>
    <sheet name="Depth_0.50m" sheetId="2" state="visible" r:id="rId2"/>
    <sheet name="Depth_1.50m" sheetId="3" state="visible" r:id="rId3"/>
    <sheet name="Depth_3.50m" sheetId="4" state="visible" r:id="rId4"/>
    <sheet name="Depth_4.50m" sheetId="5" state="visible" r:id="rId5"/>
    <sheet name="Depth_6.50m" sheetId="6" state="visible" r:id="rId6"/>
    <sheet name="Depth_7.50m" sheetId="7" state="visible" r:id="rId7"/>
    <sheet name="Depth_8.00m" sheetId="8" state="visible" r:id="rId8"/>
    <sheet name="Depth_9.50m" sheetId="9" state="visible" r:id="rId9"/>
    <sheet name="Depth_10.00m" sheetId="10" state="visible" r:id="rId10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  <vertAlign val="superscript"/>
      <scheme val="minor"/>
    </font>
    <font>
      <name val="Calibri"/>
      <family val="2"/>
      <b val="1"/>
      <color theme="1"/>
      <sz val="11"/>
    </font>
    <font>
      <name val="Calibri"/>
      <family val="2"/>
      <b val="1"/>
      <i val="1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 vertical="center"/>
    </xf>
    <xf numFmtId="2" fontId="1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4" fontId="1" fillId="4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2" fontId="0" fillId="0" borderId="0" pivotButton="0" quotePrefix="0" xfId="0"/>
    <xf numFmtId="164" fontId="0" fillId="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Shear Stress Vs Longitudinal Displacment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>
        <manualLayout>
          <layoutTarget val="inner"/>
          <xMode val="edge"/>
          <yMode val="edge"/>
          <wMode val="factor"/>
          <hMode val="factor"/>
          <x val="0.1114773273919538"/>
          <y val="0.1170938164001672"/>
          <w val="0.5959061869677866"/>
          <h val="0.7619764944414458"/>
        </manualLayout>
      </layout>
      <scatterChart>
        <scatterStyle val="smoothMarker"/>
        <varyColors val="0"/>
        <ser>
          <idx val="0"/>
          <order val="0"/>
          <tx>
            <strRef>
              <f>Template!$H$7</f>
              <strCache>
                <ptCount val="1"/>
                <pt idx="0">
                  <v>Shear Stress at Normal Stress of 0.5 kg/cm2</v>
                </pt>
              </strCache>
            </strRef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Template!$H$8:$H$68</f>
              <numCache>
                <formatCode>0.00</formatCode>
                <ptCount val="61"/>
                <pt idx="0">
                  <v>0.001805555555555556</v>
                </pt>
                <pt idx="1">
                  <v>0.1399608501118568</v>
                </pt>
                <pt idx="2">
                  <v>0.2104448198198198</v>
                </pt>
                <pt idx="3">
                  <v>0.2634637188208617</v>
                </pt>
                <pt idx="4">
                  <v>0.3125713470319635</v>
                </pt>
                <pt idx="5">
                  <v>0.3455459770114943</v>
                </pt>
                <pt idx="6">
                  <v>0.357349537037037</v>
                </pt>
                <pt idx="7">
                  <v>0.3712121212121213</v>
                </pt>
                <pt idx="8">
                  <v>0.3795481220657277</v>
                </pt>
                <pt idx="9">
                  <v>0.3822399527186761</v>
                </pt>
                <pt idx="10">
                  <v>0.3936755952380953</v>
                </pt>
                <pt idx="11">
                  <v>0.4004046762589928</v>
                </pt>
                <pt idx="12">
                  <v>0.4013435990338164</v>
                </pt>
                <pt idx="13">
                  <v>0.4082268856447688</v>
                </pt>
                <pt idx="14">
                  <v>0.417202818627451</v>
                </pt>
                <pt idx="15">
                  <v>0.4243055555555555</v>
                </pt>
                <pt idx="16">
                  <v>0.4264614427860697</v>
                </pt>
                <pt idx="17">
                  <v>0.4337406015037594</v>
                </pt>
                <pt idx="18">
                  <v>0.4421559343434344</v>
                </pt>
                <pt idx="19">
                  <v>0.4455311704834606</v>
                </pt>
                <pt idx="20">
                  <v>0.4510416666666666</v>
                </pt>
                <pt idx="21">
                  <v>0.4524386304909561</v>
                </pt>
                <pt idx="22">
                  <v>0.4612630208333334</v>
                </pt>
                <pt idx="23">
                  <v>0.458497375328084</v>
                </pt>
                <pt idx="24">
                  <v>0.461061507936508</v>
                </pt>
                <pt idx="25">
                  <v>0.4669166666666667</v>
                </pt>
                <pt idx="26">
                  <v>0.4674059139784947</v>
                </pt>
                <pt idx="27">
                  <v>0.4723069105691057</v>
                </pt>
                <pt idx="28">
                  <v>0.4761782786885246</v>
                </pt>
                <pt idx="29">
                  <v>0.4834710743801653</v>
                </pt>
                <pt idx="30">
                  <v>0.4796006944444444</v>
                </pt>
                <pt idx="31">
                  <v>0.4881827731092437</v>
                </pt>
                <pt idx="32">
                  <v>0.4877295197740113</v>
                </pt>
                <pt idx="33">
                  <v>0.4849537037037037</v>
                </pt>
                <pt idx="34">
                  <v>0.4879669540229885</v>
                </pt>
                <pt idx="35">
                  <v>0.4839673913043478</v>
                </pt>
                <pt idx="36">
                  <v>0.4870248538011697</v>
                </pt>
                <pt idx="37">
                  <v>0.4829461651917404</v>
                </pt>
                <pt idx="38">
                  <v>0.4824218750000001</v>
                </pt>
                <pt idx="39">
                  <v>0.485548048048048</v>
                </pt>
                <pt idx="40">
                  <v>0.481344696969697</v>
                </pt>
                <pt idx="41">
                  <v>0.4857607033639144</v>
                </pt>
                <pt idx="42">
                  <v>0.4827353395061729</v>
                </pt>
                <pt idx="43">
                  <v>0.4821845794392524</v>
                </pt>
                <pt idx="44">
                  <v>0.4829009433962264</v>
                </pt>
                <pt idx="45">
                  <v>0.4797619047619048</v>
                </pt>
                <pt idx="46">
                  <v>0.4830729166666667</v>
                </pt>
                <pt idx="47">
                  <v>0.4798745954692556</v>
                </pt>
                <pt idx="48">
                  <v>0.4805964052287582</v>
                </pt>
                <pt idx="49">
                  <v>0.4786509900990099</v>
                </pt>
                <pt idx="50">
                  <v>0.4793749999999999</v>
                </pt>
                <pt idx="51">
                  <v>0.4773779461279462</v>
                </pt>
                <pt idx="52">
                  <v>0.4739583333333333</v>
                </pt>
                <pt idx="53">
                  <v>0.4746563573883162</v>
                </pt>
                <pt idx="54">
                  <v>0.4753689236111112</v>
                </pt>
                <pt idx="55">
                  <v>0.474671052631579</v>
                </pt>
                <pt idx="56">
                  <v>0.4739583333333333</v>
                </pt>
                <pt idx="57">
                  <v>0.4703181003584228</v>
                </pt>
                <pt idx="58">
                  <v>0.4724864130434783</v>
                </pt>
                <pt idx="59">
                  <v>0.4717261904761905</v>
                </pt>
                <pt idx="60">
                  <v>0.4664351851851852</v>
                </pt>
              </numCache>
            </numRef>
          </yVal>
          <smooth val="1"/>
        </ser>
        <ser>
          <idx val="1"/>
          <order val="1"/>
          <tx>
            <strRef>
              <f>Template!$I$7</f>
              <strCache>
                <ptCount val="1"/>
                <pt idx="0">
                  <v>Shear Stress at Normal Stress of 1.0 kg/cm2</v>
                </pt>
              </strCache>
            </strRef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Template!$I$8:$I$68</f>
              <numCache>
                <formatCode>0.00</formatCode>
                <ptCount val="61"/>
                <pt idx="0">
                  <v>0.003611111111111111</v>
                </pt>
                <pt idx="1">
                  <v>0.1872203579418345</v>
                </pt>
                <pt idx="2">
                  <v>0.2726632882882883</v>
                </pt>
                <pt idx="3">
                  <v>0.342687074829932</v>
                </pt>
                <pt idx="4">
                  <v>0.4071775114155251</v>
                </pt>
                <pt idx="5">
                  <v>0.4613505747126437</v>
                </pt>
                <pt idx="6">
                  <v>0.5078125</v>
                </pt>
                <pt idx="7">
                  <v>0.540719696969697</v>
                </pt>
                <pt idx="8">
                  <v>0.55024941314554</v>
                </pt>
                <pt idx="9">
                  <v>0.557993498817967</v>
                </pt>
                <pt idx="10">
                  <v>0.5648809523809524</v>
                </pt>
                <pt idx="11">
                  <v>0.5777128297362111</v>
                </pt>
                <pt idx="12">
                  <v>0.5877868357487922</v>
                </pt>
                <pt idx="13">
                  <v>0.5970194647201946</v>
                </pt>
                <pt idx="14">
                  <v>0.5984221813725491</v>
                </pt>
                <pt idx="15">
                  <v>0.6138888888888889</v>
                </pt>
                <pt idx="16">
                  <v>0.6164490049751244</v>
                </pt>
                <pt idx="17">
                  <v>0.6282111528822055</v>
                </pt>
                <pt idx="18">
                  <v>0.6329703282828284</v>
                </pt>
                <pt idx="19">
                  <v>0.6336673027989822</v>
                </pt>
                <pt idx="20">
                  <v>0.6427083333333333</v>
                </pt>
                <pt idx="21">
                  <v>0.6497900516795866</v>
                </pt>
                <pt idx="22">
                  <v>0.6622721354166667</v>
                </pt>
                <pt idx="23">
                  <v>0.6664206036745407</v>
                </pt>
                <pt idx="24">
                  <v>0.6717096560846562</v>
                </pt>
                <pt idx="25">
                  <v>0.676</v>
                </pt>
                <pt idx="26">
                  <v>0.6803595430107527</v>
                </pt>
                <pt idx="27">
                  <v>0.6880928184281843</v>
                </pt>
                <pt idx="28">
                  <v>0.6915129781420765</v>
                </pt>
                <pt idx="29">
                  <v>0.6961088154269972</v>
                </pt>
                <pt idx="30">
                  <v>0.7098090277777778</v>
                </pt>
                <pt idx="31">
                  <v>0.7055322128851542</v>
                </pt>
                <pt idx="32">
                  <v>0.7115112994350283</v>
                </pt>
                <pt idx="33">
                  <v>0.71875</v>
                </pt>
                <pt idx="34">
                  <v>0.7121048850574713</v>
                </pt>
                <pt idx="35">
                  <v>0.7194746376811595</v>
                </pt>
                <pt idx="36">
                  <v>0.7281615497076024</v>
                </pt>
                <pt idx="37">
                  <v>0.7226216814159293</v>
                </pt>
                <pt idx="38">
                  <v>0.7363281250000001</v>
                </pt>
                <pt idx="39">
                  <v>0.7319819819819819</v>
                </pt>
                <pt idx="40">
                  <v>0.7423295454545454</v>
                </pt>
                <pt idx="41">
                  <v>0.7441704892966361</v>
                </pt>
                <pt idx="42">
                  <v>0.7485532407407408</v>
                </pt>
                <pt idx="43">
                  <v>0.7492211838006232</v>
                </pt>
                <pt idx="44">
                  <v>0.7447916666666665</v>
                </pt>
                <pt idx="45">
                  <v>0.7441468253968254</v>
                </pt>
                <pt idx="46">
                  <v>0.7395833333333334</v>
                </pt>
                <pt idx="47">
                  <v>0.7454490291262136</v>
                </pt>
                <pt idx="48">
                  <v>0.739481209150327</v>
                </pt>
                <pt idx="49">
                  <v>0.7360767326732673</v>
                </pt>
                <pt idx="50">
                  <v>0.7393749999999999</v>
                </pt>
                <pt idx="51">
                  <v>0.7317971380471381</v>
                </pt>
                <pt idx="52">
                  <v>0.7295918367346939</v>
                </pt>
                <pt idx="53">
                  <v>0.7301331615120275</v>
                </pt>
                <pt idx="54">
                  <v>0.7292751736111114</v>
                </pt>
                <pt idx="55">
                  <v>0.7298245614035089</v>
                </pt>
                <pt idx="56">
                  <v>0.7275044326241135</v>
                </pt>
                <pt idx="57">
                  <v>0.7265905017921146</v>
                </pt>
                <pt idx="58">
                  <v>0.7197690217391305</v>
                </pt>
                <pt idx="59">
                  <v>0.7232142857142858</v>
                </pt>
                <pt idx="60">
                  <v>0.7192129629629629</v>
                </pt>
              </numCache>
            </numRef>
          </yVal>
          <smooth val="1"/>
        </ser>
        <ser>
          <idx val="2"/>
          <order val="2"/>
          <tx>
            <strRef>
              <f>Template!$J$7</f>
              <strCache>
                <ptCount val="1"/>
                <pt idx="0">
                  <v>Shear Stress at Normal Stress of 1.5 kg/cm2</v>
                </pt>
              </strCache>
            </strRef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spPr>
          </marker>
          <xVal>
            <numRef>
              <f>Template!$C$8:$C$68</f>
              <numCache>
                <formatCode>0.00</formatCode>
                <ptCount val="61"/>
                <pt idx="0">
                  <v>0</v>
                </pt>
                <pt idx="1">
                  <v>0.02</v>
                </pt>
                <pt idx="2">
                  <v>0.04</v>
                </pt>
                <pt idx="3">
                  <v>0.06</v>
                </pt>
                <pt idx="4">
                  <v>0.08</v>
                </pt>
                <pt idx="5">
                  <v>0.1</v>
                </pt>
                <pt idx="6">
                  <v>0.12</v>
                </pt>
                <pt idx="7">
                  <v>0.14</v>
                </pt>
                <pt idx="8">
                  <v>0.16</v>
                </pt>
                <pt idx="9">
                  <v>0.18</v>
                </pt>
                <pt idx="10">
                  <v>0.2</v>
                </pt>
                <pt idx="11">
                  <v>0.22</v>
                </pt>
                <pt idx="12">
                  <v>0.24</v>
                </pt>
                <pt idx="13">
                  <v>0.26</v>
                </pt>
                <pt idx="14">
                  <v>0.28</v>
                </pt>
                <pt idx="15">
                  <v>0.3</v>
                </pt>
                <pt idx="16">
                  <v>0.32</v>
                </pt>
                <pt idx="17">
                  <v>0.34</v>
                </pt>
                <pt idx="18">
                  <v>0.36</v>
                </pt>
                <pt idx="19">
                  <v>0.38</v>
                </pt>
                <pt idx="20">
                  <v>0.4</v>
                </pt>
                <pt idx="21">
                  <v>0.42</v>
                </pt>
                <pt idx="22">
                  <v>0.44</v>
                </pt>
                <pt idx="23">
                  <v>0.46</v>
                </pt>
                <pt idx="24">
                  <v>0.48</v>
                </pt>
                <pt idx="25">
                  <v>0.5</v>
                </pt>
                <pt idx="26">
                  <v>0.52</v>
                </pt>
                <pt idx="27">
                  <v>0.54</v>
                </pt>
                <pt idx="28">
                  <v>0.5600000000000001</v>
                </pt>
                <pt idx="29">
                  <v>0.58</v>
                </pt>
                <pt idx="30">
                  <v>0.6</v>
                </pt>
                <pt idx="31">
                  <v>0.62</v>
                </pt>
                <pt idx="32">
                  <v>0.64</v>
                </pt>
                <pt idx="33">
                  <v>0.66</v>
                </pt>
                <pt idx="34">
                  <v>0.68</v>
                </pt>
                <pt idx="35">
                  <v>0.7</v>
                </pt>
                <pt idx="36">
                  <v>0.72</v>
                </pt>
                <pt idx="37">
                  <v>0.74</v>
                </pt>
                <pt idx="38">
                  <v>0.76</v>
                </pt>
                <pt idx="39">
                  <v>0.78</v>
                </pt>
                <pt idx="40">
                  <v>0.8</v>
                </pt>
                <pt idx="41">
                  <v>0.82</v>
                </pt>
                <pt idx="42">
                  <v>0.84</v>
                </pt>
                <pt idx="43">
                  <v>0.86</v>
                </pt>
                <pt idx="44">
                  <v>0.88</v>
                </pt>
                <pt idx="45">
                  <v>0.9</v>
                </pt>
                <pt idx="46">
                  <v>0.92</v>
                </pt>
                <pt idx="47">
                  <v>0.9399999999999999</v>
                </pt>
                <pt idx="48">
                  <v>0.96</v>
                </pt>
                <pt idx="49">
                  <v>0.98</v>
                </pt>
                <pt idx="50">
                  <v>1</v>
                </pt>
                <pt idx="51">
                  <v>1.02</v>
                </pt>
                <pt idx="52">
                  <v>1.04</v>
                </pt>
                <pt idx="53">
                  <v>1.06</v>
                </pt>
                <pt idx="54">
                  <v>1.08</v>
                </pt>
                <pt idx="55">
                  <v>1.1</v>
                </pt>
                <pt idx="56">
                  <v>1.12</v>
                </pt>
                <pt idx="57">
                  <v>1.14</v>
                </pt>
                <pt idx="58">
                  <v>1.16</v>
                </pt>
                <pt idx="59">
                  <v>1.18</v>
                </pt>
                <pt idx="60">
                  <v>1.2</v>
                </pt>
              </numCache>
            </numRef>
          </xVal>
          <yVal>
            <numRef>
              <f>Template!$J$8:$J$68</f>
              <numCache>
                <formatCode>0.00</formatCode>
                <ptCount val="61"/>
                <pt idx="0">
                  <v>0</v>
                </pt>
                <pt idx="1">
                  <v>0.2980984340044743</v>
                </pt>
                <pt idx="2">
                  <v>0.446509009009009</v>
                </pt>
                <pt idx="3">
                  <v>0.5895691609977324</v>
                </pt>
                <pt idx="4">
                  <v>0.698416095890411</v>
                </pt>
                <pt idx="5">
                  <v>0.7919540229885058</v>
                </pt>
                <pt idx="6">
                  <v>0.8134403935185185</v>
                </pt>
                <pt idx="7">
                  <v>0.8352272727272728</v>
                </pt>
                <pt idx="8">
                  <v>0.8573210093896715</v>
                </pt>
                <pt idx="9">
                  <v>0.8778073286052011</v>
                </pt>
                <pt idx="10">
                  <v>0.8908482142857141</v>
                </pt>
                <pt idx="11">
                  <v>0.9167416067146283</v>
                </pt>
                <pt idx="12">
                  <v>0.915534420289855</v>
                </pt>
                <pt idx="13">
                  <v>0.943962895377129</v>
                </pt>
                <pt idx="14">
                  <v>0.9469209558823529</v>
                </pt>
                <pt idx="15">
                  <v>0.9659722222222222</v>
                </pt>
                <pt idx="16">
                  <v>0.9812655472636818</v>
                </pt>
                <pt idx="17">
                  <v>0.9927161654135338</v>
                </pt>
                <pt idx="18">
                  <v>1.009469696969697</v>
                </pt>
                <pt idx="19">
                  <v>1.013040712468193</v>
                </pt>
                <pt idx="20">
                  <v>1.030208333333333</v>
                </pt>
                <pt idx="21">
                  <v>1.037144702842377</v>
                </pt>
                <pt idx="22">
                  <v>1.051595052083333</v>
                </pt>
                <pt idx="23">
                  <v>1.05880905511811</v>
                </pt>
                <pt idx="24">
                  <v>1.066137566137566</v>
                </pt>
                <pt idx="25">
                  <v>1.06925</v>
                </pt>
                <pt idx="26">
                  <v>1.072412634408602</v>
                </pt>
                <pt idx="27">
                  <v>1.076727642276423</v>
                </pt>
                <pt idx="28">
                  <v>1.089993169398907</v>
                </pt>
                <pt idx="29">
                  <v>1.09340564738292</v>
                </pt>
                <pt idx="30">
                  <v>1.108159722222222</v>
                </pt>
                <pt idx="31">
                  <v>1.10609243697479</v>
                </pt>
                <pt idx="32">
                  <v>1.115466101694915</v>
                </pt>
                <pt idx="33">
                  <v>1.128472222222222</v>
                </pt>
                <pt idx="34">
                  <v>1.12652658045977</v>
                </pt>
                <pt idx="35">
                  <v>1.119836956521739</v>
                </pt>
                <pt idx="36">
                  <v>1.121345029239766</v>
                </pt>
                <pt idx="37">
                  <v>1.124078171091446</v>
                </pt>
                <pt idx="38">
                  <v>1.12202380952381</v>
                </pt>
                <pt idx="39">
                  <v>1.118712462462462</v>
                </pt>
                <pt idx="40">
                  <v>1.121496212121212</v>
                </pt>
                <pt idx="41">
                  <v>1.114392201834862</v>
                </pt>
                <pt idx="42">
                  <v>1.114679783950618</v>
                </pt>
                <pt idx="43">
                  <v>1.113707165109034</v>
                </pt>
                <pt idx="44">
                  <v>1.120381289308176</v>
                </pt>
                <pt idx="45">
                  <v>1.106547619047619</v>
                </pt>
                <pt idx="46">
                  <v>1.104166666666667</v>
                </pt>
                <pt idx="47">
                  <v>1.106998381877023</v>
                </pt>
                <pt idx="48">
                  <v>1.109885620915033</v>
                </pt>
                <pt idx="49">
                  <v>1.104785478547855</v>
                </pt>
                <pt idx="50">
                  <v>1.1009375</v>
                </pt>
                <pt idx="51">
                  <v>1.10385101010101</v>
                </pt>
                <pt idx="52">
                  <v>1.093005952380952</v>
                </pt>
                <pt idx="53">
                  <v>1.09729381443299</v>
                </pt>
                <pt idx="54">
                  <v>1.100260416666667</v>
                </pt>
                <pt idx="55">
                  <v>1.099013157894737</v>
                </pt>
                <pt idx="56">
                  <v>1.093417553191489</v>
                </pt>
                <pt idx="57">
                  <v>1.08915770609319</v>
                </pt>
                <pt idx="58">
                  <v>1.093636775362319</v>
                </pt>
                <pt idx="59">
                  <v>1.086309523809524</v>
                </pt>
                <pt idx="60">
                  <v>1.078819444444445</v>
                </pt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761760351"/>
        <axId val="907822671"/>
      </scatterChart>
      <valAx>
        <axId val="761760351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Longitudinal Displacment (cm)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7822671"/>
        <crosses val="autoZero"/>
        <crossBetween val="midCat"/>
      </valAx>
      <valAx>
        <axId val="90782267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14898177920686"/>
              <y val="0.3603602256861116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61760351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7284767619481648"/>
          <y val="0.1302874340267373"/>
          <w val="0.2457997653830249"/>
          <h val="0.2431564778045349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Direct</a:t>
            </a:r>
            <a:r>
              <a:rPr lang="en-IN" baseline="0"/>
              <a:t xml:space="preserve"> Shear Test</a:t>
            </a:r>
            <a:endParaRPr lang="en-IN"/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spPr>
            <a:ln w="25400" cap="rnd">
              <a:noFill/>
              <a:prstDash val="solid"/>
              <a:round/>
            </a:ln>
          </spPr>
          <marker>
            <symbol val="circle"/>
            <size val="5"/>
            <spPr>
              <a:solidFill>
                <a:srgbClr val="FF0000"/>
              </a:solidFill>
              <a:ln w="9525">
                <a:solidFill>
                  <a:schemeClr val="accent1"/>
                </a:solidFill>
                <a:prstDash val="solid"/>
              </a:ln>
            </spPr>
          </marker>
          <trendline>
            <spPr>
              <a:ln w="19050" cap="rnd">
                <a:solidFill>
                  <a:sysClr val="windowText" lastClr="000000"/>
                </a:solidFill>
                <a:prstDash val="sysDot"/>
              </a:ln>
            </spPr>
            <trendlineType val="linear"/>
            <backward val="0.5"/>
            <dispRSqr val="0"/>
            <dispEq val="1"/>
            <trendlineLbl>
              <layout>
                <manualLayout>
                  <wMode val="factor"/>
                  <hMode val="factor"/>
                  <x val="0.1851868351982318"/>
                  <y val="-0.08718851755123216"/>
                </manualLayout>
              </layout>
              <numFmt formatCode="General" sourceLinked="0"/>
              <spPr>
                <a:noFill/>
                <a:ln>
                  <a:noFill/>
                  <a:prstDash val="solid"/>
                </a:ln>
              </spPr>
              <txPr>
                <a:bodyPr rot="0" spcFirstLastPara="1" vertOverflow="ellipsis" vert="horz" wrap="square" anchor="ctr" anchorCtr="1"/>
                <a:lstStyle/>
                <a:p>
                  <a:pPr>
                    <a:defRPr sz="900" b="0" i="0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/>
                  </a:r>
                  <a:endParaRPr lang="en-US"/>
                </a:p>
              </txPr>
            </trendlineLbl>
          </trendline>
          <xVal>
            <numRef>
              <f>Template!$H$4:$J$4</f>
              <numCache>
                <formatCode>0.000</formatCode>
                <ptCount val="3"/>
                <pt idx="0">
                  <v>0.5</v>
                </pt>
                <pt idx="1">
                  <v>1</v>
                </pt>
                <pt idx="2">
                  <v>1.5</v>
                </pt>
              </numCache>
            </numRef>
          </xVal>
          <yVal>
            <numRef>
              <f>Template!$H$5:$J$5</f>
              <numCache>
                <formatCode>0.000</formatCode>
                <ptCount val="3"/>
                <pt idx="0">
                  <v>0.4881827731092437</v>
                </pt>
                <pt idx="1">
                  <v>0.7492211838006232</v>
                </pt>
                <pt idx="2">
                  <v>1.128472222222222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303864239"/>
        <axId val="1303870063"/>
      </scatterChart>
      <valAx>
        <axId val="1303864239"/>
        <scaling>
          <orientation val="minMax"/>
          <max val="2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Normal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70063"/>
        <crosses val="autoZero"/>
        <crossBetween val="midCat"/>
        <majorUnit val="0.5"/>
      </valAx>
      <valAx>
        <axId val="1303870063"/>
        <scaling>
          <orientation val="minMax"/>
          <max val="2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Shear Stress (kg/cm</a:t>
                </a:r>
                <a:r>
                  <a:rPr lang="en-IN" baseline="30000"/>
                  <a:t>2</a:t>
                </a:r>
                <a:r>
                  <a:rPr lang="en-IN"/>
                  <a:t>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754385964912281"/>
              <y val="0.3156584975937297"/>
            </manualLayout>
          </layout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303864239"/>
        <crosses val="autoZero"/>
        <crossBetween val="midCat"/>
        <majorUnit val="0.5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13</col>
      <colOff>533401</colOff>
      <row>6</row>
      <rowOff>14286</rowOff>
    </from>
    <to>
      <col>21</col>
      <colOff>247651</colOff>
      <row>25</row>
      <rowOff>142874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581025</colOff>
      <row>26</row>
      <rowOff>90487</rowOff>
    </from>
    <to>
      <col>21</col>
      <colOff>276225</colOff>
      <row>44</row>
      <rowOff>161925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4" customWidth="1" min="3" max="3"/>
    <col width="16" customWidth="1" min="4" max="4"/>
    <col width="19" customWidth="1" min="5" max="5"/>
    <col width="20" customWidth="1" min="6" max="6"/>
    <col width="14" customWidth="1" min="7" max="7"/>
    <col width="24" customWidth="1" min="8" max="8"/>
    <col width="19" customWidth="1" min="9" max="9"/>
    <col width="10" customWidth="1" min="10" max="10"/>
  </cols>
  <sheetData>
    <row r="1">
      <c r="A1" s="24" t="inlineStr">
        <is>
          <t>BH ID</t>
        </is>
      </c>
      <c r="B1" s="24" t="inlineStr">
        <is>
          <t>Depth (m)</t>
        </is>
      </c>
      <c r="C1" s="24" t="inlineStr">
        <is>
          <t>Soil Type</t>
        </is>
      </c>
      <c r="D1" s="24" t="inlineStr">
        <is>
          <t>Density (g/cc)</t>
        </is>
      </c>
      <c r="E1" s="24" t="inlineStr">
        <is>
          <t>Sample Weight (g)</t>
        </is>
      </c>
      <c r="F1" s="24" t="inlineStr">
        <is>
          <t>Target c (kg/cm²)</t>
        </is>
      </c>
      <c r="G1" s="24" t="inlineStr">
        <is>
          <t>Target φ (°)</t>
        </is>
      </c>
      <c r="H1" s="24" t="inlineStr">
        <is>
          <t>Calculated c (kg/cm²)</t>
        </is>
      </c>
      <c r="I1" s="24" t="inlineStr">
        <is>
          <t>Calculated φ (°)</t>
        </is>
      </c>
      <c r="J1" s="24" t="inlineStr">
        <is>
          <t>R²</t>
        </is>
      </c>
    </row>
    <row r="2">
      <c r="A2" t="inlineStr">
        <is>
          <t>NHBH-08</t>
        </is>
      </c>
      <c r="B2" s="25" t="n">
        <v>0.5</v>
      </c>
      <c r="C2" t="inlineStr">
        <is>
          <t>Medium Clay</t>
        </is>
      </c>
      <c r="D2" s="25" t="n">
        <v>1.74</v>
      </c>
      <c r="E2" s="25" t="n">
        <v>156.6</v>
      </c>
      <c r="F2" s="26" t="n">
        <v>0.092281578186261</v>
      </c>
      <c r="G2" s="25" t="n">
        <v>22.28</v>
      </c>
      <c r="H2" s="26" t="n">
        <v>0.1012760221587179</v>
      </c>
      <c r="I2" s="25" t="n">
        <v>21.55650422636158</v>
      </c>
      <c r="J2" s="26" t="n">
        <v>0.9896244376505595</v>
      </c>
    </row>
    <row r="3">
      <c r="A3" t="inlineStr">
        <is>
          <t>NHBH-08</t>
        </is>
      </c>
      <c r="B3" s="25" t="n">
        <v>1.5</v>
      </c>
      <c r="C3" t="inlineStr">
        <is>
          <t>Medium Clay</t>
        </is>
      </c>
      <c r="D3" s="25" t="n">
        <v>1.74</v>
      </c>
      <c r="E3" s="25" t="n">
        <v>156.6</v>
      </c>
      <c r="F3" s="26" t="n">
        <v>0.1193171882917588</v>
      </c>
      <c r="G3" s="25" t="n">
        <v>20.52386102335304</v>
      </c>
      <c r="H3" s="26" t="n">
        <v>0.129197052178242</v>
      </c>
      <c r="I3" s="25" t="n">
        <v>19.82932660621067</v>
      </c>
      <c r="J3" s="26" t="n">
        <v>0.9867273166147326</v>
      </c>
    </row>
    <row r="4">
      <c r="A4" t="inlineStr">
        <is>
          <t>NHBH-08</t>
        </is>
      </c>
      <c r="B4" s="25" t="n">
        <v>3.5</v>
      </c>
      <c r="C4" t="inlineStr">
        <is>
          <t>Medium Clay</t>
        </is>
      </c>
      <c r="D4" s="25" t="n">
        <v>1.83</v>
      </c>
      <c r="E4" s="25" t="n">
        <v>164.7</v>
      </c>
      <c r="F4" s="26" t="n">
        <v>0.1188747404895</v>
      </c>
      <c r="G4" s="25" t="n">
        <v>20.8778085647208</v>
      </c>
      <c r="H4" s="26" t="n">
        <v>0.1114209004543577</v>
      </c>
      <c r="I4" s="25" t="n">
        <v>21.63749761845437</v>
      </c>
      <c r="J4" s="26" t="n">
        <v>0.9883782131821114</v>
      </c>
    </row>
    <row r="5">
      <c r="A5" t="inlineStr">
        <is>
          <t>NHBH-08</t>
        </is>
      </c>
      <c r="B5" s="25" t="n">
        <v>4.5</v>
      </c>
      <c r="C5" t="inlineStr">
        <is>
          <t>Stiff Clay</t>
        </is>
      </c>
      <c r="D5" s="25" t="n">
        <v>1.83</v>
      </c>
      <c r="E5" s="25" t="n">
        <v>164.7</v>
      </c>
      <c r="F5" s="26" t="n">
        <v>0.1147269460502383</v>
      </c>
      <c r="G5" s="25" t="n">
        <v>23.11</v>
      </c>
      <c r="H5" s="26" t="n">
        <v>0.1100362236598192</v>
      </c>
      <c r="I5" s="25" t="n">
        <v>23.51670873408954</v>
      </c>
      <c r="J5" s="26" t="n">
        <v>0.9947216519666204</v>
      </c>
    </row>
    <row r="6">
      <c r="A6" t="inlineStr">
        <is>
          <t>NHBH-08</t>
        </is>
      </c>
      <c r="B6" s="25" t="n">
        <v>6.5</v>
      </c>
      <c r="C6" t="inlineStr">
        <is>
          <t>Stiff Clay</t>
        </is>
      </c>
      <c r="D6" s="25" t="n">
        <v>1.88</v>
      </c>
      <c r="E6" s="25" t="n">
        <v>169.2</v>
      </c>
      <c r="F6" s="26" t="n">
        <v>0.139815728126308</v>
      </c>
      <c r="G6" s="25" t="n">
        <v>21.57905859769185</v>
      </c>
      <c r="H6" s="26" t="n">
        <v>0.1482037471889871</v>
      </c>
      <c r="I6" s="25" t="n">
        <v>20.94983667331448</v>
      </c>
      <c r="J6" s="26" t="n">
        <v>0.9929706116083057</v>
      </c>
    </row>
    <row r="7">
      <c r="A7" t="inlineStr">
        <is>
          <t>NHBH-08</t>
        </is>
      </c>
      <c r="B7" s="25" t="n">
        <v>7.5</v>
      </c>
      <c r="C7" t="inlineStr">
        <is>
          <t>Stiff Clay</t>
        </is>
      </c>
      <c r="D7" s="25" t="n">
        <v>1.88</v>
      </c>
      <c r="E7" s="25" t="n">
        <v>169.2</v>
      </c>
      <c r="F7" s="26" t="n">
        <v>0.1654878203676</v>
      </c>
      <c r="G7" s="25" t="n">
        <v>20.878561035029</v>
      </c>
      <c r="H7" s="26" t="n">
        <v>0.1717056577828438</v>
      </c>
      <c r="I7" s="25" t="n">
        <v>20.3443575792024</v>
      </c>
      <c r="J7" s="26" t="n">
        <v>0.9918074284810331</v>
      </c>
    </row>
    <row r="8">
      <c r="A8" t="inlineStr">
        <is>
          <t>NHBH-08</t>
        </is>
      </c>
      <c r="B8" s="25" t="n">
        <v>8</v>
      </c>
      <c r="C8" t="inlineStr">
        <is>
          <t>Silty Soil</t>
        </is>
      </c>
      <c r="D8" s="25" t="n">
        <v>1.9</v>
      </c>
      <c r="E8" s="25" t="n">
        <v>171</v>
      </c>
      <c r="F8" s="26" t="n">
        <v>0.09290307475073252</v>
      </c>
      <c r="G8" s="25" t="n">
        <v>27.3062115044304</v>
      </c>
      <c r="H8" s="26" t="n">
        <v>0.08435936285947088</v>
      </c>
      <c r="I8" s="25" t="n">
        <v>28.05204148926741</v>
      </c>
      <c r="J8" s="26" t="n">
        <v>0.9909786038638282</v>
      </c>
    </row>
    <row r="9">
      <c r="A9" t="inlineStr">
        <is>
          <t>NHBH-08</t>
        </is>
      </c>
      <c r="B9" s="25" t="n">
        <v>9.5</v>
      </c>
      <c r="C9" t="inlineStr">
        <is>
          <t>Silty Soil</t>
        </is>
      </c>
      <c r="D9" s="25" t="n">
        <v>1.95</v>
      </c>
      <c r="E9" s="25" t="n">
        <v>175.5</v>
      </c>
      <c r="F9" s="26" t="n">
        <v>0.08986084724008679</v>
      </c>
      <c r="G9" s="25" t="n">
        <v>28.5451519254227</v>
      </c>
      <c r="H9" s="26" t="n">
        <v>0.08129442692894362</v>
      </c>
      <c r="I9" s="25" t="n">
        <v>29.11019400229355</v>
      </c>
      <c r="J9" s="26" t="n">
        <v>0.9914881525412697</v>
      </c>
    </row>
    <row r="10">
      <c r="A10" t="inlineStr">
        <is>
          <t>NHBH-08</t>
        </is>
      </c>
      <c r="B10" s="25" t="n">
        <v>10</v>
      </c>
      <c r="C10" t="inlineStr">
        <is>
          <t>Dense Sand</t>
        </is>
      </c>
      <c r="D10" s="25" t="n">
        <v>1.95</v>
      </c>
      <c r="E10" s="25" t="n">
        <v>175.5</v>
      </c>
      <c r="F10" s="26" t="n">
        <v>0.05103434634310083</v>
      </c>
      <c r="G10" s="25" t="n">
        <v>31.853988937424</v>
      </c>
      <c r="H10" s="26" t="n">
        <v>0.05933049047726124</v>
      </c>
      <c r="I10" s="25" t="n">
        <v>31.41905319933476</v>
      </c>
      <c r="J10" s="26" t="n">
        <v>0.9953889153853748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1">
    <tabColor rgb="FF92D050"/>
    <outlinePr summaryBelow="1" summaryRight="1"/>
    <pageSetUpPr/>
  </sheetPr>
  <dimension ref="A1:N68"/>
  <sheetViews>
    <sheetView tabSelected="1" zoomScale="85" zoomScaleNormal="85" workbookViewId="0">
      <selection activeCell="D10" sqref="D10"/>
    </sheetView>
  </sheetViews>
  <sheetFormatPr baseColWidth="8" defaultRowHeight="15"/>
  <cols>
    <col width="11.140625" bestFit="1" customWidth="1" min="1" max="1"/>
    <col width="12" bestFit="1" customWidth="1" min="2" max="2"/>
    <col width="12" customWidth="1" min="3" max="3"/>
    <col width="14.28515625" customWidth="1" min="4" max="4"/>
    <col width="15.140625" customWidth="1" min="5" max="6"/>
    <col width="10.85546875" customWidth="1" min="7" max="7"/>
    <col width="13.85546875" customWidth="1" min="8" max="8"/>
    <col width="14" customWidth="1" min="9" max="10"/>
    <col width="11.5703125" bestFit="1" customWidth="1" min="12" max="12"/>
    <col width="61.140625" bestFit="1" customWidth="1" min="14" max="14"/>
  </cols>
  <sheetData>
    <row r="1">
      <c r="A1" s="1" t="inlineStr">
        <is>
          <t>BH ID</t>
        </is>
      </c>
      <c r="B1" s="2" t="inlineStr">
        <is>
          <t>NHBH-08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0.5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0.1012760221587179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21.55650422636158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156.6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Format="1" customHeight="1" s="1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10.7</v>
      </c>
      <c r="E9" s="13" t="n">
        <v>18.9</v>
      </c>
      <c r="F9" s="13" t="n">
        <v>23.4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</v>
      </c>
      <c r="E10" s="13" t="n">
        <v>28.2</v>
      </c>
      <c r="F10" s="13" t="n">
        <v>33.1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19.3</v>
      </c>
      <c r="E11" s="13" t="n">
        <v>35.2</v>
      </c>
      <c r="F11" s="13" t="n">
        <v>41.9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21.8</v>
      </c>
      <c r="E12" s="13" t="n">
        <v>40.4</v>
      </c>
      <c r="F12" s="13" t="n">
        <v>47.6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</v>
      </c>
      <c r="E13" s="13" t="n">
        <v>41.7</v>
      </c>
      <c r="F13" s="13" t="n">
        <v>52.1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23.4</v>
      </c>
      <c r="E14" s="13" t="n">
        <v>41</v>
      </c>
      <c r="F14" s="13" t="n">
        <v>53.8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23.9</v>
      </c>
      <c r="E15" s="13" t="n">
        <v>44.1</v>
      </c>
      <c r="F15" s="13" t="n">
        <v>55.8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24.3</v>
      </c>
      <c r="E16" s="13" t="n">
        <v>44.3</v>
      </c>
      <c r="F16" s="13" t="n">
        <v>56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</v>
      </c>
      <c r="E17" s="13" t="n">
        <v>44.8</v>
      </c>
      <c r="F17" s="13" t="n">
        <v>57.6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25.2</v>
      </c>
      <c r="E18" s="13" t="n">
        <v>45.9</v>
      </c>
      <c r="F18" s="13" t="n">
        <v>58.5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25.4</v>
      </c>
      <c r="E19" s="13" t="n">
        <v>46.5</v>
      </c>
      <c r="F19" s="13" t="n">
        <v>57.5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25.6</v>
      </c>
      <c r="E20" s="13" t="n">
        <v>47.6</v>
      </c>
      <c r="F20" s="13" t="n">
        <v>61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26.2</v>
      </c>
      <c r="E21" s="13" t="n">
        <v>47.6</v>
      </c>
      <c r="F21" s="13" t="n">
        <v>60.6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26.7</v>
      </c>
      <c r="E22" s="13" t="n">
        <v>47.8</v>
      </c>
      <c r="F22" s="13" t="n">
        <v>61.3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26.6</v>
      </c>
      <c r="E23" s="13" t="n">
        <v>48.8</v>
      </c>
      <c r="F23" s="13" t="n">
        <v>62.2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27.5</v>
      </c>
      <c r="E24" s="13" t="n">
        <v>50</v>
      </c>
      <c r="F24" s="13" t="n">
        <v>62.6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28.1</v>
      </c>
      <c r="E25" s="13" t="n">
        <v>51</v>
      </c>
      <c r="F25" s="13" t="n">
        <v>62.6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28.3</v>
      </c>
      <c r="E26" s="13" t="n">
        <v>51.4</v>
      </c>
      <c r="F26" s="13" t="n">
        <v>65.59999999999999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28.1</v>
      </c>
      <c r="E27" s="13" t="n">
        <v>49.7</v>
      </c>
      <c r="F27" s="13" t="n">
        <v>65.09999999999999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27.8</v>
      </c>
      <c r="E28" s="14" t="n">
        <v>51.5</v>
      </c>
      <c r="F28" s="14" t="n">
        <v>64.8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28.8</v>
      </c>
      <c r="E29" s="14" t="n">
        <v>51</v>
      </c>
      <c r="F29" s="14" t="n">
        <v>66.5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28.6</v>
      </c>
      <c r="E30" s="14" t="n">
        <v>52.1</v>
      </c>
      <c r="F30" s="14" t="n">
        <v>65.90000000000001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28</v>
      </c>
      <c r="E31" s="14" t="n">
        <v>53</v>
      </c>
      <c r="F31" s="14" t="n">
        <v>66.5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28.9</v>
      </c>
      <c r="E32" s="14" t="n">
        <v>52.4</v>
      </c>
      <c r="F32" s="14" t="n">
        <v>67.3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29</v>
      </c>
      <c r="E33" s="14" t="n">
        <v>52.7</v>
      </c>
      <c r="F33" s="14" t="n">
        <v>67.3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29</v>
      </c>
      <c r="E34" s="14" t="n">
        <v>52</v>
      </c>
      <c r="F34" s="14" t="n">
        <v>68.5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28.9</v>
      </c>
      <c r="E35" s="14" t="n">
        <v>52.1</v>
      </c>
      <c r="F35" s="14" t="n">
        <v>68.5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28.7</v>
      </c>
      <c r="E36" s="14" t="n">
        <v>51.5</v>
      </c>
      <c r="F36" s="14" t="n">
        <v>66.09999999999999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28.4</v>
      </c>
      <c r="E37" s="14" t="n">
        <v>52</v>
      </c>
      <c r="F37" s="14" t="n">
        <v>68.2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28.4</v>
      </c>
      <c r="E38" s="14" t="n">
        <v>51.6</v>
      </c>
      <c r="F38" s="14" t="n">
        <v>68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28</v>
      </c>
      <c r="E39" s="14" t="n">
        <v>51</v>
      </c>
      <c r="F39" s="14" t="n">
        <v>67.7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27.9</v>
      </c>
      <c r="E40" s="14" t="n">
        <v>51.4</v>
      </c>
      <c r="F40" s="14" t="n">
        <v>67.5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28.2</v>
      </c>
      <c r="E41" s="14" t="n">
        <v>51</v>
      </c>
      <c r="F41" s="14" t="n">
        <v>66.09999999999999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28.2</v>
      </c>
      <c r="E42" s="14" t="n">
        <v>50.1</v>
      </c>
      <c r="F42" s="14" t="n">
        <v>67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27.9</v>
      </c>
      <c r="E43" s="14" t="n">
        <v>50.6</v>
      </c>
      <c r="F43" s="14" t="n">
        <v>65.2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27.5</v>
      </c>
      <c r="E44" s="14" t="n">
        <v>50.4</v>
      </c>
      <c r="F44" s="14" t="n">
        <v>66.40000000000001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26.8</v>
      </c>
      <c r="E45" s="14" t="n">
        <v>49.6</v>
      </c>
      <c r="F45" s="14" t="n">
        <v>65.40000000000001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27.5</v>
      </c>
      <c r="E46" s="14" t="n">
        <v>50.2</v>
      </c>
      <c r="F46" s="14" t="n">
        <v>65.3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26.5</v>
      </c>
      <c r="E47" s="14" t="n">
        <v>48.6</v>
      </c>
      <c r="F47" s="14" t="n">
        <v>64.59999999999999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26.2</v>
      </c>
      <c r="E48" s="14" t="n">
        <v>48.6</v>
      </c>
      <c r="F48" s="14" t="n">
        <v>64.2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26.8</v>
      </c>
      <c r="E49" s="14" t="n">
        <v>48.1</v>
      </c>
      <c r="F49" s="14" t="n">
        <v>61.9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27.1</v>
      </c>
      <c r="E50" s="14" t="n">
        <v>48.1</v>
      </c>
      <c r="F50" s="14" t="n">
        <v>64.90000000000001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26.7</v>
      </c>
      <c r="E51" s="14" t="n">
        <v>48.7</v>
      </c>
      <c r="F51" s="14" t="n">
        <v>64.40000000000001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26.5</v>
      </c>
      <c r="E52" s="14" t="n">
        <v>47.7</v>
      </c>
      <c r="F52" s="14" t="n">
        <v>64.3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26.1</v>
      </c>
      <c r="E53" s="14" t="n">
        <v>47.2</v>
      </c>
      <c r="F53" s="14" t="n">
        <v>63.5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25.9</v>
      </c>
      <c r="E54" s="14" t="n">
        <v>46.2</v>
      </c>
      <c r="F54" s="14" t="n">
        <v>60.2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26</v>
      </c>
      <c r="E55" s="14" t="n">
        <v>46</v>
      </c>
      <c r="F55" s="14" t="n">
        <v>61.5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25.4</v>
      </c>
      <c r="E56" s="14" t="n">
        <v>46</v>
      </c>
      <c r="F56" s="14" t="n">
        <v>61.4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25.3</v>
      </c>
      <c r="E57" s="14" t="n">
        <v>46</v>
      </c>
      <c r="F57" s="14" t="n">
        <v>61.7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24.8</v>
      </c>
      <c r="E58" s="14" t="n">
        <v>45.7</v>
      </c>
      <c r="F58" s="14" t="n">
        <v>60.1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25.1</v>
      </c>
      <c r="E59" s="14" t="n">
        <v>44.7</v>
      </c>
      <c r="F59" s="14" t="n">
        <v>60.6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25.6</v>
      </c>
      <c r="E60" s="14" t="n">
        <v>44</v>
      </c>
      <c r="F60" s="14" t="n">
        <v>58.7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25</v>
      </c>
      <c r="E61" s="14" t="n">
        <v>43.3</v>
      </c>
      <c r="F61" s="14" t="n">
        <v>59.2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25.1</v>
      </c>
      <c r="E62" s="14" t="n">
        <v>43.9</v>
      </c>
      <c r="F62" s="14" t="n">
        <v>58.9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24.4</v>
      </c>
      <c r="E63" s="14" t="n">
        <v>43.4</v>
      </c>
      <c r="F63" s="14" t="n">
        <v>58.5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24.4</v>
      </c>
      <c r="E64" s="14" t="n">
        <v>43.4</v>
      </c>
      <c r="F64" s="14" t="n">
        <v>59.2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24</v>
      </c>
      <c r="E65" s="14" t="n">
        <v>42.6</v>
      </c>
      <c r="F65" s="14" t="n">
        <v>57.4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24</v>
      </c>
      <c r="E66" s="14" t="n">
        <v>43.3</v>
      </c>
      <c r="F66" s="14" t="n">
        <v>57.8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23.9</v>
      </c>
      <c r="E67" s="14" t="n">
        <v>43.2</v>
      </c>
      <c r="F67" s="14" t="n">
        <v>56.6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</v>
      </c>
      <c r="E68" s="14" t="n">
        <v>41.6</v>
      </c>
      <c r="F68" s="14" t="n">
        <v>57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dataValidations count="1">
    <dataValidation sqref="E1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NHBH-08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0.129197052178242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1.74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19.82932660621067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156.6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11.3</v>
      </c>
      <c r="E9" s="13" t="n">
        <v>16.7</v>
      </c>
      <c r="F9" s="13" t="n">
        <v>23.8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16.2</v>
      </c>
      <c r="E10" s="13" t="n">
        <v>24.6</v>
      </c>
      <c r="F10" s="13" t="n">
        <v>33.8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20.4</v>
      </c>
      <c r="E11" s="13" t="n">
        <v>31.1</v>
      </c>
      <c r="F11" s="13" t="n">
        <v>42.9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</v>
      </c>
      <c r="E12" s="13" t="n">
        <v>35.7</v>
      </c>
      <c r="F12" s="13" t="n">
        <v>49.7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23.9</v>
      </c>
      <c r="E13" s="13" t="n">
        <v>39.5</v>
      </c>
      <c r="F13" s="13" t="n">
        <v>51.6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24.4</v>
      </c>
      <c r="E14" s="13" t="n">
        <v>40.6</v>
      </c>
      <c r="F14" s="13" t="n">
        <v>52.5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24.9</v>
      </c>
      <c r="E15" s="13" t="n">
        <v>41.2</v>
      </c>
      <c r="F15" s="13" t="n">
        <v>53.7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25.3</v>
      </c>
      <c r="E16" s="13" t="n">
        <v>42</v>
      </c>
      <c r="F16" s="13" t="n">
        <v>54.7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25.6</v>
      </c>
      <c r="E17" s="13" t="n">
        <v>43</v>
      </c>
      <c r="F17" s="13" t="n">
        <v>56.7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25.4</v>
      </c>
      <c r="E18" s="13" t="n">
        <v>43</v>
      </c>
      <c r="F18" s="13" t="n">
        <v>57.9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26.9</v>
      </c>
      <c r="E19" s="13" t="n">
        <v>43.7</v>
      </c>
      <c r="F19" s="13" t="n">
        <v>57.4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26.5</v>
      </c>
      <c r="E20" s="13" t="n">
        <v>44.2</v>
      </c>
      <c r="F20" s="13" t="n">
        <v>59.9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26.9</v>
      </c>
      <c r="E21" s="13" t="n">
        <v>45.6</v>
      </c>
      <c r="F21" s="13" t="n">
        <v>59.6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28.1</v>
      </c>
      <c r="E22" s="13" t="n">
        <v>45.8</v>
      </c>
      <c r="F22" s="13" t="n">
        <v>59.8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28.2</v>
      </c>
      <c r="E23" s="13" t="n">
        <v>46.2</v>
      </c>
      <c r="F23" s="13" t="n">
        <v>62.3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28.3</v>
      </c>
      <c r="E24" s="13" t="n">
        <v>46.7</v>
      </c>
      <c r="F24" s="13" t="n">
        <v>62.8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29</v>
      </c>
      <c r="E25" s="13" t="n">
        <v>47.7</v>
      </c>
      <c r="F25" s="13" t="n">
        <v>63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28.8</v>
      </c>
      <c r="E26" s="13" t="n">
        <v>47.2</v>
      </c>
      <c r="F26" s="13" t="n">
        <v>64.3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29</v>
      </c>
      <c r="E27" s="13" t="n">
        <v>49</v>
      </c>
      <c r="F27" s="13" t="n">
        <v>64.09999999999999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28.5</v>
      </c>
      <c r="E28" s="14" t="n">
        <v>48.6</v>
      </c>
      <c r="F28" s="14" t="n">
        <v>64.90000000000001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29.6</v>
      </c>
      <c r="E29" s="14" t="n">
        <v>49.1</v>
      </c>
      <c r="F29" s="14" t="n">
        <v>65.09999999999999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29.8</v>
      </c>
      <c r="E30" s="14" t="n">
        <v>49.9</v>
      </c>
      <c r="F30" s="14" t="n">
        <v>64.59999999999999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29.5</v>
      </c>
      <c r="E31" s="14" t="n">
        <v>49</v>
      </c>
      <c r="F31" s="14" t="n">
        <v>63.9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29.5</v>
      </c>
      <c r="E32" s="14" t="n">
        <v>49.7</v>
      </c>
      <c r="F32" s="14" t="n">
        <v>65.90000000000001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30.2</v>
      </c>
      <c r="E33" s="14" t="n">
        <v>51.2</v>
      </c>
      <c r="F33" s="14" t="n">
        <v>66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30</v>
      </c>
      <c r="E34" s="14" t="n">
        <v>49.9</v>
      </c>
      <c r="F34" s="14" t="n">
        <v>65.3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29.9</v>
      </c>
      <c r="E35" s="14" t="n">
        <v>49.9</v>
      </c>
      <c r="F35" s="14" t="n">
        <v>66.3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29.8</v>
      </c>
      <c r="E36" s="14" t="n">
        <v>49.6</v>
      </c>
      <c r="F36" s="14" t="n">
        <v>66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29.6</v>
      </c>
      <c r="E37" s="14" t="n">
        <v>50.7</v>
      </c>
      <c r="F37" s="14" t="n">
        <v>65.8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29.6</v>
      </c>
      <c r="E38" s="14" t="n">
        <v>49.5</v>
      </c>
      <c r="F38" s="14" t="n">
        <v>65.59999999999999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29.5</v>
      </c>
      <c r="E39" s="14" t="n">
        <v>51</v>
      </c>
      <c r="F39" s="14" t="n">
        <v>65.3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29.4</v>
      </c>
      <c r="E40" s="14" t="n">
        <v>50.8</v>
      </c>
      <c r="F40" s="14" t="n">
        <v>65.09999999999999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29.1</v>
      </c>
      <c r="E41" s="14" t="n">
        <v>50.6</v>
      </c>
      <c r="F41" s="14" t="n">
        <v>64.3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29.1</v>
      </c>
      <c r="E42" s="14" t="n">
        <v>50.4</v>
      </c>
      <c r="F42" s="14" t="n">
        <v>63.7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29.1</v>
      </c>
      <c r="E43" s="14" t="n">
        <v>50.2</v>
      </c>
      <c r="F43" s="14" t="n">
        <v>64.2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28.2</v>
      </c>
      <c r="E44" s="14" t="n">
        <v>48.7</v>
      </c>
      <c r="F44" s="14" t="n">
        <v>64.09999999999999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28.6</v>
      </c>
      <c r="E45" s="14" t="n">
        <v>49.4</v>
      </c>
      <c r="F45" s="14" t="n">
        <v>63.7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27.8</v>
      </c>
      <c r="E46" s="14" t="n">
        <v>49.7</v>
      </c>
      <c r="F46" s="14" t="n">
        <v>61.8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27.3</v>
      </c>
      <c r="E47" s="14" t="n">
        <v>48.1</v>
      </c>
      <c r="F47" s="14" t="n">
        <v>63.4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28.1</v>
      </c>
      <c r="E48" s="14" t="n">
        <v>49</v>
      </c>
      <c r="F48" s="14" t="n">
        <v>63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27.4</v>
      </c>
      <c r="E49" s="14" t="n">
        <v>48.7</v>
      </c>
      <c r="F49" s="14" t="n">
        <v>62.7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27.6</v>
      </c>
      <c r="E50" s="14" t="n">
        <v>48.4</v>
      </c>
      <c r="F50" s="14" t="n">
        <v>61.5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28</v>
      </c>
      <c r="E51" s="14" t="n">
        <v>48.7</v>
      </c>
      <c r="F51" s="14" t="n">
        <v>61.4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27.5</v>
      </c>
      <c r="E52" s="14" t="n">
        <v>47.8</v>
      </c>
      <c r="F52" s="14" t="n">
        <v>58.9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27.1</v>
      </c>
      <c r="E53" s="14" t="n">
        <v>47.5</v>
      </c>
      <c r="F53" s="14" t="n">
        <v>61.9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27.6</v>
      </c>
      <c r="E54" s="14" t="n">
        <v>48.2</v>
      </c>
      <c r="F54" s="14" t="n">
        <v>61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27.3</v>
      </c>
      <c r="E55" s="14" t="n">
        <v>46.7</v>
      </c>
      <c r="F55" s="14" t="n">
        <v>60.8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26.4</v>
      </c>
      <c r="E56" s="14" t="n">
        <v>46.6</v>
      </c>
      <c r="F56" s="14" t="n">
        <v>58.3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26.6</v>
      </c>
      <c r="E57" s="14" t="n">
        <v>45.1</v>
      </c>
      <c r="F57" s="14" t="n">
        <v>59.1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26.8</v>
      </c>
      <c r="E58" s="14" t="n">
        <v>46</v>
      </c>
      <c r="F58" s="14" t="n">
        <v>58.7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26.9</v>
      </c>
      <c r="E59" s="14" t="n">
        <v>46.1</v>
      </c>
      <c r="F59" s="14" t="n">
        <v>56.9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26.8</v>
      </c>
      <c r="E60" s="14" t="n">
        <v>44.8</v>
      </c>
      <c r="F60" s="14" t="n">
        <v>57.4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26.2</v>
      </c>
      <c r="E61" s="14" t="n">
        <v>43.2</v>
      </c>
      <c r="F61" s="14" t="n">
        <v>57.6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25.7</v>
      </c>
      <c r="E62" s="14" t="n">
        <v>43.3</v>
      </c>
      <c r="F62" s="14" t="n">
        <v>57.9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25.6</v>
      </c>
      <c r="E63" s="14" t="n">
        <v>44.5</v>
      </c>
      <c r="F63" s="14" t="n">
        <v>55.8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25.5</v>
      </c>
      <c r="E64" s="14" t="n">
        <v>42.9</v>
      </c>
      <c r="F64" s="14" t="n">
        <v>56.1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25.7</v>
      </c>
      <c r="E65" s="14" t="n">
        <v>43.1</v>
      </c>
      <c r="F65" s="14" t="n">
        <v>55.3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</v>
      </c>
      <c r="E66" s="14" t="n">
        <v>42.8</v>
      </c>
      <c r="F66" s="14" t="n">
        <v>54.5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25.1</v>
      </c>
      <c r="E67" s="14" t="n">
        <v>42.9</v>
      </c>
      <c r="F67" s="14" t="n">
        <v>54.1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24.4</v>
      </c>
      <c r="E68" s="14" t="n">
        <v>42.8</v>
      </c>
      <c r="F68" s="14" t="n">
        <v>54.1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NHBH-08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3.5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0.1114209004543577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21.63749761845437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164.7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10.7</v>
      </c>
      <c r="E9" s="13" t="n">
        <v>18.2</v>
      </c>
      <c r="F9" s="13" t="n">
        <v>23.8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</v>
      </c>
      <c r="E10" s="13" t="n">
        <v>26.1</v>
      </c>
      <c r="F10" s="13" t="n">
        <v>33.6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19.9</v>
      </c>
      <c r="E11" s="13" t="n">
        <v>33.2</v>
      </c>
      <c r="F11" s="13" t="n">
        <v>43.1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23.6</v>
      </c>
      <c r="E12" s="13" t="n">
        <v>37.2</v>
      </c>
      <c r="F12" s="13" t="n">
        <v>50.4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24.9</v>
      </c>
      <c r="E13" s="13" t="n">
        <v>38.8</v>
      </c>
      <c r="F13" s="13" t="n">
        <v>55.3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25.4</v>
      </c>
      <c r="E14" s="13" t="n">
        <v>39.1</v>
      </c>
      <c r="F14" s="13" t="n">
        <v>56.2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26.3</v>
      </c>
      <c r="E15" s="13" t="n">
        <v>40.3</v>
      </c>
      <c r="F15" s="13" t="n">
        <v>57.2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26.9</v>
      </c>
      <c r="E16" s="13" t="n">
        <v>40.4</v>
      </c>
      <c r="F16" s="13" t="n">
        <v>56.7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27.1</v>
      </c>
      <c r="E17" s="13" t="n">
        <v>41.8</v>
      </c>
      <c r="F17" s="13" t="n">
        <v>60.3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27.3</v>
      </c>
      <c r="E18" s="13" t="n">
        <v>42.2</v>
      </c>
      <c r="F18" s="13" t="n">
        <v>60.8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27.5</v>
      </c>
      <c r="E19" s="13" t="n">
        <v>42.5</v>
      </c>
      <c r="F19" s="13" t="n">
        <v>60.3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28.2</v>
      </c>
      <c r="E20" s="13" t="n">
        <v>43.7</v>
      </c>
      <c r="F20" s="13" t="n">
        <v>62.2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28.7</v>
      </c>
      <c r="E21" s="13" t="n">
        <v>44.3</v>
      </c>
      <c r="F21" s="13" t="n">
        <v>62.6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28.2</v>
      </c>
      <c r="E22" s="13" t="n">
        <v>44.5</v>
      </c>
      <c r="F22" s="13" t="n">
        <v>63.5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29.1</v>
      </c>
      <c r="E23" s="13" t="n">
        <v>44.9</v>
      </c>
      <c r="F23" s="13" t="n">
        <v>64.59999999999999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29.3</v>
      </c>
      <c r="E24" s="13" t="n">
        <v>46.3</v>
      </c>
      <c r="F24" s="13" t="n">
        <v>65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30.3</v>
      </c>
      <c r="E25" s="13" t="n">
        <v>47.6</v>
      </c>
      <c r="F25" s="13" t="n">
        <v>66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30.7</v>
      </c>
      <c r="E26" s="13" t="n">
        <v>47.3</v>
      </c>
      <c r="F26" s="13" t="n">
        <v>66.40000000000001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30.7</v>
      </c>
      <c r="E27" s="13" t="n">
        <v>47.2</v>
      </c>
      <c r="F27" s="13" t="n">
        <v>68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</v>
      </c>
      <c r="E28" s="14" t="n">
        <v>47.9</v>
      </c>
      <c r="F28" s="14" t="n">
        <v>68.5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31.2</v>
      </c>
      <c r="E29" s="14" t="n">
        <v>48.4</v>
      </c>
      <c r="F29" s="14" t="n">
        <v>69.40000000000001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30.7</v>
      </c>
      <c r="E30" s="14" t="n">
        <v>48.2</v>
      </c>
      <c r="F30" s="14" t="n">
        <v>68.90000000000001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31</v>
      </c>
      <c r="E31" s="14" t="n">
        <v>47.8</v>
      </c>
      <c r="F31" s="14" t="n">
        <v>70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31.1</v>
      </c>
      <c r="E32" s="14" t="n">
        <v>49.1</v>
      </c>
      <c r="F32" s="14" t="n">
        <v>68.8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31.8</v>
      </c>
      <c r="E33" s="14" t="n">
        <v>49</v>
      </c>
      <c r="F33" s="14" t="n">
        <v>69.59999999999999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32.4</v>
      </c>
      <c r="E34" s="14" t="n">
        <v>48</v>
      </c>
      <c r="F34" s="14" t="n">
        <v>70.2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31.6</v>
      </c>
      <c r="E35" s="14" t="n">
        <v>48.3</v>
      </c>
      <c r="F35" s="14" t="n">
        <v>71.7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31.6</v>
      </c>
      <c r="E36" s="14" t="n">
        <v>48.4</v>
      </c>
      <c r="F36" s="14" t="n">
        <v>69.3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31.5</v>
      </c>
      <c r="E37" s="14" t="n">
        <v>48.3</v>
      </c>
      <c r="F37" s="14" t="n">
        <v>71.2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32.1</v>
      </c>
      <c r="E38" s="14" t="n">
        <v>46.8</v>
      </c>
      <c r="F38" s="14" t="n">
        <v>70.09999999999999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</v>
      </c>
      <c r="E39" s="14" t="n">
        <v>48</v>
      </c>
      <c r="F39" s="14" t="n">
        <v>71.40000000000001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31.6</v>
      </c>
      <c r="E40" s="14" t="n">
        <v>46.5</v>
      </c>
      <c r="F40" s="14" t="n">
        <v>71.09999999999999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31.1</v>
      </c>
      <c r="E41" s="14" t="n">
        <v>46.2</v>
      </c>
      <c r="F41" s="14" t="n">
        <v>70.5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31.3</v>
      </c>
      <c r="E42" s="14" t="n">
        <v>47.4</v>
      </c>
      <c r="F42" s="14" t="n">
        <v>70.59999999999999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31.3</v>
      </c>
      <c r="E43" s="14" t="n">
        <v>46.2</v>
      </c>
      <c r="F43" s="14" t="n">
        <v>70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31.4</v>
      </c>
      <c r="E44" s="14" t="n">
        <v>47.1</v>
      </c>
      <c r="F44" s="14" t="n">
        <v>69.90000000000001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</v>
      </c>
      <c r="E45" s="14" t="n">
        <v>45.4</v>
      </c>
      <c r="F45" s="14" t="n">
        <v>68.40000000000001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30.5</v>
      </c>
      <c r="E46" s="14" t="n">
        <v>46.1</v>
      </c>
      <c r="F46" s="14" t="n">
        <v>67.8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30.3</v>
      </c>
      <c r="E47" s="14" t="n">
        <v>45.4</v>
      </c>
      <c r="F47" s="14" t="n">
        <v>68.2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29.6</v>
      </c>
      <c r="E48" s="14" t="n">
        <v>45.5</v>
      </c>
      <c r="F48" s="14" t="n">
        <v>67.8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29.9</v>
      </c>
      <c r="E49" s="14" t="n">
        <v>45.9</v>
      </c>
      <c r="F49" s="14" t="n">
        <v>68.59999999999999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30.3</v>
      </c>
      <c r="E50" s="14" t="n">
        <v>45</v>
      </c>
      <c r="F50" s="14" t="n">
        <v>67.59999999999999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29.8</v>
      </c>
      <c r="E51" s="14" t="n">
        <v>44.4</v>
      </c>
      <c r="F51" s="14" t="n">
        <v>67.59999999999999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29.5</v>
      </c>
      <c r="E52" s="14" t="n">
        <v>43.7</v>
      </c>
      <c r="F52" s="14" t="n">
        <v>65.8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29.3</v>
      </c>
      <c r="E53" s="14" t="n">
        <v>43.9</v>
      </c>
      <c r="F53" s="14" t="n">
        <v>65.5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30.2</v>
      </c>
      <c r="E54" s="14" t="n">
        <v>44.1</v>
      </c>
      <c r="F54" s="14" t="n">
        <v>66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28.4</v>
      </c>
      <c r="E55" s="14" t="n">
        <v>42.5</v>
      </c>
      <c r="F55" s="14" t="n">
        <v>64.5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28.5</v>
      </c>
      <c r="E56" s="14" t="n">
        <v>43.4</v>
      </c>
      <c r="F56" s="14" t="n">
        <v>65.7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28.5</v>
      </c>
      <c r="E57" s="14" t="n">
        <v>43.6</v>
      </c>
      <c r="F57" s="14" t="n">
        <v>64.3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28.5</v>
      </c>
      <c r="E58" s="14" t="n">
        <v>43</v>
      </c>
      <c r="F58" s="14" t="n">
        <v>62.1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</v>
      </c>
      <c r="E59" s="14" t="n">
        <v>42.9</v>
      </c>
      <c r="F59" s="14" t="n">
        <v>61.9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28.1</v>
      </c>
      <c r="E60" s="14" t="n">
        <v>42.4</v>
      </c>
      <c r="F60" s="14" t="n">
        <v>63.3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27.2</v>
      </c>
      <c r="E61" s="14" t="n">
        <v>42.3</v>
      </c>
      <c r="F61" s="14" t="n">
        <v>63.2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27.6</v>
      </c>
      <c r="E62" s="14" t="n">
        <v>40.6</v>
      </c>
      <c r="F62" s="14" t="n">
        <v>62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27.6</v>
      </c>
      <c r="E63" s="14" t="n">
        <v>41.2</v>
      </c>
      <c r="F63" s="14" t="n">
        <v>60.4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27.2</v>
      </c>
      <c r="E64" s="14" t="n">
        <v>41</v>
      </c>
      <c r="F64" s="14" t="n">
        <v>59.2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27</v>
      </c>
      <c r="E65" s="14" t="n">
        <v>41</v>
      </c>
      <c r="F65" s="14" t="n">
        <v>59.2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26.7</v>
      </c>
      <c r="E66" s="14" t="n">
        <v>40</v>
      </c>
      <c r="F66" s="14" t="n">
        <v>60.2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26.7</v>
      </c>
      <c r="E67" s="14" t="n">
        <v>40.2</v>
      </c>
      <c r="F67" s="14" t="n">
        <v>59.1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26.4</v>
      </c>
      <c r="E68" s="14" t="n">
        <v>39.6</v>
      </c>
      <c r="F68" s="14" t="n">
        <v>59.2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NHBH-08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4.5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0.1100362236598192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1.83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23.51670873408954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164.7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11.5</v>
      </c>
      <c r="E9" s="13" t="n">
        <v>21.3</v>
      </c>
      <c r="F9" s="13" t="n">
        <v>29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16.5</v>
      </c>
      <c r="E10" s="13" t="n">
        <v>29.8</v>
      </c>
      <c r="F10" s="13" t="n">
        <v>40.9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20.3</v>
      </c>
      <c r="E11" s="13" t="n">
        <v>36.9</v>
      </c>
      <c r="F11" s="13" t="n">
        <v>50.1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23.8</v>
      </c>
      <c r="E12" s="13" t="n">
        <v>41</v>
      </c>
      <c r="F12" s="13" t="n">
        <v>57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26.1</v>
      </c>
      <c r="E13" s="13" t="n">
        <v>42.5</v>
      </c>
      <c r="F13" s="13" t="n">
        <v>61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26.6</v>
      </c>
      <c r="E14" s="13" t="n">
        <v>43.7</v>
      </c>
      <c r="F14" s="13" t="n">
        <v>62.7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27.8</v>
      </c>
      <c r="E15" s="13" t="n">
        <v>44.6</v>
      </c>
      <c r="F15" s="13" t="n">
        <v>63.6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27.8</v>
      </c>
      <c r="E16" s="13" t="n">
        <v>45.8</v>
      </c>
      <c r="F16" s="13" t="n">
        <v>65.59999999999999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28.6</v>
      </c>
      <c r="E17" s="13" t="n">
        <v>47</v>
      </c>
      <c r="F17" s="13" t="n">
        <v>65.8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28.6</v>
      </c>
      <c r="E18" s="13" t="n">
        <v>47.8</v>
      </c>
      <c r="F18" s="13" t="n">
        <v>67.2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29.1</v>
      </c>
      <c r="E19" s="13" t="n">
        <v>48.2</v>
      </c>
      <c r="F19" s="13" t="n">
        <v>67.59999999999999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29.3</v>
      </c>
      <c r="E20" s="13" t="n">
        <v>48.7</v>
      </c>
      <c r="F20" s="13" t="n">
        <v>68.5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30.1</v>
      </c>
      <c r="E21" s="13" t="n">
        <v>49.3</v>
      </c>
      <c r="F21" s="13" t="n">
        <v>68.5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29.8</v>
      </c>
      <c r="E22" s="13" t="n">
        <v>50.3</v>
      </c>
      <c r="F22" s="13" t="n">
        <v>70.8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30.1</v>
      </c>
      <c r="E23" s="13" t="n">
        <v>50.3</v>
      </c>
      <c r="F23" s="13" t="n">
        <v>71.7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30.8</v>
      </c>
      <c r="E24" s="13" t="n">
        <v>51.2</v>
      </c>
      <c r="F24" s="13" t="n">
        <v>72.3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31.1</v>
      </c>
      <c r="E25" s="13" t="n">
        <v>51.5</v>
      </c>
      <c r="F25" s="13" t="n">
        <v>73.5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32.2</v>
      </c>
      <c r="E26" s="13" t="n">
        <v>52.2</v>
      </c>
      <c r="F26" s="13" t="n">
        <v>73.59999999999999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31.4</v>
      </c>
      <c r="E27" s="13" t="n">
        <v>50.2</v>
      </c>
      <c r="F27" s="13" t="n">
        <v>73.09999999999999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31.5</v>
      </c>
      <c r="E28" s="14" t="n">
        <v>52.2</v>
      </c>
      <c r="F28" s="14" t="n">
        <v>76.3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32.3</v>
      </c>
      <c r="E29" s="14" t="n">
        <v>52.7</v>
      </c>
      <c r="F29" s="14" t="n">
        <v>74.8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32.8</v>
      </c>
      <c r="E30" s="14" t="n">
        <v>52.9</v>
      </c>
      <c r="F30" s="14" t="n">
        <v>75.59999999999999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32.6</v>
      </c>
      <c r="E31" s="14" t="n">
        <v>53.7</v>
      </c>
      <c r="F31" s="14" t="n">
        <v>74.5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32.8</v>
      </c>
      <c r="E32" s="14" t="n">
        <v>53.6</v>
      </c>
      <c r="F32" s="14" t="n">
        <v>75.3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32.5</v>
      </c>
      <c r="E33" s="14" t="n">
        <v>53.5</v>
      </c>
      <c r="F33" s="14" t="n">
        <v>74.3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</v>
      </c>
      <c r="E34" s="14" t="n">
        <v>53.3</v>
      </c>
      <c r="F34" s="14" t="n">
        <v>75.7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32.9</v>
      </c>
      <c r="E35" s="14" t="n">
        <v>53</v>
      </c>
      <c r="F35" s="14" t="n">
        <v>76.59999999999999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32.5</v>
      </c>
      <c r="E36" s="14" t="n">
        <v>52.9</v>
      </c>
      <c r="F36" s="14" t="n">
        <v>77.5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32.6</v>
      </c>
      <c r="E37" s="14" t="n">
        <v>52.7</v>
      </c>
      <c r="F37" s="14" t="n">
        <v>77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32.8</v>
      </c>
      <c r="E38" s="14" t="n">
        <v>52.5</v>
      </c>
      <c r="F38" s="14" t="n">
        <v>76.40000000000001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33.4</v>
      </c>
      <c r="E39" s="14" t="n">
        <v>52</v>
      </c>
      <c r="F39" s="14" t="n">
        <v>76.5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32.8</v>
      </c>
      <c r="E40" s="14" t="n">
        <v>52.1</v>
      </c>
      <c r="F40" s="14" t="n">
        <v>74.8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33.2</v>
      </c>
      <c r="E41" s="14" t="n">
        <v>51.2</v>
      </c>
      <c r="F41" s="14" t="n">
        <v>76.09999999999999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</v>
      </c>
      <c r="E42" s="14" t="n">
        <v>51.5</v>
      </c>
      <c r="F42" s="14" t="n">
        <v>74.09999999999999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32.9</v>
      </c>
      <c r="E43" s="14" t="n">
        <v>50.8</v>
      </c>
      <c r="F43" s="14" t="n">
        <v>74.8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32.5</v>
      </c>
      <c r="E44" s="14" t="n">
        <v>51.3</v>
      </c>
      <c r="F44" s="14" t="n">
        <v>74.2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32.7</v>
      </c>
      <c r="E45" s="14" t="n">
        <v>51.1</v>
      </c>
      <c r="F45" s="14" t="n">
        <v>74.2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32.2</v>
      </c>
      <c r="E46" s="14" t="n">
        <v>50.8</v>
      </c>
      <c r="F46" s="14" t="n">
        <v>72.8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32.1</v>
      </c>
      <c r="E47" s="14" t="n">
        <v>50.6</v>
      </c>
      <c r="F47" s="14" t="n">
        <v>72.8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32.1</v>
      </c>
      <c r="E48" s="14" t="n">
        <v>49.4</v>
      </c>
      <c r="F48" s="14" t="n">
        <v>73.2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</v>
      </c>
      <c r="E49" s="14" t="n">
        <v>50.3</v>
      </c>
      <c r="F49" s="14" t="n">
        <v>73.8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</v>
      </c>
      <c r="E50" s="14" t="n">
        <v>49.5</v>
      </c>
      <c r="F50" s="14" t="n">
        <v>71.90000000000001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31.5</v>
      </c>
      <c r="E51" s="14" t="n">
        <v>49.7</v>
      </c>
      <c r="F51" s="14" t="n">
        <v>71.5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31.5</v>
      </c>
      <c r="E52" s="14" t="n">
        <v>49.2</v>
      </c>
      <c r="F52" s="14" t="n">
        <v>71.7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</v>
      </c>
      <c r="E53" s="14" t="n">
        <v>48.9</v>
      </c>
      <c r="F53" s="14" t="n">
        <v>71.5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31.1</v>
      </c>
      <c r="E54" s="14" t="n">
        <v>49.1</v>
      </c>
      <c r="F54" s="14" t="n">
        <v>71.7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</v>
      </c>
      <c r="E55" s="14" t="n">
        <v>47.4</v>
      </c>
      <c r="F55" s="14" t="n">
        <v>70.7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31.3</v>
      </c>
      <c r="E56" s="14" t="n">
        <v>47.8</v>
      </c>
      <c r="F56" s="14" t="n">
        <v>70.09999999999999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</v>
      </c>
      <c r="E57" s="14" t="n">
        <v>47.6</v>
      </c>
      <c r="F57" s="14" t="n">
        <v>70.2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30.3</v>
      </c>
      <c r="E58" s="14" t="n">
        <v>47.3</v>
      </c>
      <c r="F58" s="14" t="n">
        <v>70.2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</v>
      </c>
      <c r="E59" s="14" t="n">
        <v>47.2</v>
      </c>
      <c r="F59" s="14" t="n">
        <v>68.90000000000001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29.9</v>
      </c>
      <c r="E60" s="14" t="n">
        <v>46.4</v>
      </c>
      <c r="F60" s="14" t="n">
        <v>69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29.5</v>
      </c>
      <c r="E61" s="14" t="n">
        <v>46.7</v>
      </c>
      <c r="F61" s="14" t="n">
        <v>68.8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29.8</v>
      </c>
      <c r="E62" s="14" t="n">
        <v>47.1</v>
      </c>
      <c r="F62" s="14" t="n">
        <v>68.09999999999999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29.6</v>
      </c>
      <c r="E63" s="14" t="n">
        <v>46.3</v>
      </c>
      <c r="F63" s="14" t="n">
        <v>68.40000000000001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28.9</v>
      </c>
      <c r="E64" s="14" t="n">
        <v>45.7</v>
      </c>
      <c r="F64" s="14" t="n">
        <v>68.7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29.5</v>
      </c>
      <c r="E65" s="14" t="n">
        <v>44.9</v>
      </c>
      <c r="F65" s="14" t="n">
        <v>68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29.4</v>
      </c>
      <c r="E66" s="14" t="n">
        <v>45.9</v>
      </c>
      <c r="F66" s="14" t="n">
        <v>66.09999999999999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28.7</v>
      </c>
      <c r="E67" s="14" t="n">
        <v>44.7</v>
      </c>
      <c r="F67" s="14" t="n">
        <v>65.5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27.9</v>
      </c>
      <c r="E68" s="14" t="n">
        <v>43.7</v>
      </c>
      <c r="F68" s="14" t="n">
        <v>67.09999999999999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NHBH-08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6.5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0.1482037471889871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20.94983667331448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169.2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13.7</v>
      </c>
      <c r="E9" s="13" t="n">
        <v>23.3</v>
      </c>
      <c r="F9" s="13" t="n">
        <v>29.4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19.6</v>
      </c>
      <c r="E10" s="13" t="n">
        <v>33.2</v>
      </c>
      <c r="F10" s="13" t="n">
        <v>41.2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24.1</v>
      </c>
      <c r="E11" s="13" t="n">
        <v>40.6</v>
      </c>
      <c r="F11" s="13" t="n">
        <v>50.2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25.8</v>
      </c>
      <c r="E12" s="13" t="n">
        <v>44.3</v>
      </c>
      <c r="F12" s="13" t="n">
        <v>55.7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27.1</v>
      </c>
      <c r="E13" s="13" t="n">
        <v>44.9</v>
      </c>
      <c r="F13" s="13" t="n">
        <v>57.4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27.8</v>
      </c>
      <c r="E14" s="13" t="n">
        <v>47.5</v>
      </c>
      <c r="F14" s="13" t="n">
        <v>60.2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</v>
      </c>
      <c r="E15" s="13" t="n">
        <v>46.6</v>
      </c>
      <c r="F15" s="13" t="n">
        <v>61.3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29</v>
      </c>
      <c r="E16" s="13" t="n">
        <v>48.6</v>
      </c>
      <c r="F16" s="13" t="n">
        <v>61.4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29.3</v>
      </c>
      <c r="E17" s="13" t="n">
        <v>49.4</v>
      </c>
      <c r="F17" s="13" t="n">
        <v>63.2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30.1</v>
      </c>
      <c r="E18" s="13" t="n">
        <v>49.9</v>
      </c>
      <c r="F18" s="13" t="n">
        <v>64.7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30.6</v>
      </c>
      <c r="E19" s="13" t="n">
        <v>50.9</v>
      </c>
      <c r="F19" s="13" t="n">
        <v>65.09999999999999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31.4</v>
      </c>
      <c r="E20" s="13" t="n">
        <v>51.8</v>
      </c>
      <c r="F20" s="13" t="n">
        <v>66.5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31.6</v>
      </c>
      <c r="E21" s="13" t="n">
        <v>52</v>
      </c>
      <c r="F21" s="13" t="n">
        <v>66.40000000000001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31.6</v>
      </c>
      <c r="E22" s="13" t="n">
        <v>54.2</v>
      </c>
      <c r="F22" s="13" t="n">
        <v>68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32.4</v>
      </c>
      <c r="E23" s="13" t="n">
        <v>54.3</v>
      </c>
      <c r="F23" s="13" t="n">
        <v>68.90000000000001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32.8</v>
      </c>
      <c r="E24" s="13" t="n">
        <v>55</v>
      </c>
      <c r="F24" s="13" t="n">
        <v>69.59999999999999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32.8</v>
      </c>
      <c r="E25" s="13" t="n">
        <v>54.4</v>
      </c>
      <c r="F25" s="13" t="n">
        <v>70.2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33.5</v>
      </c>
      <c r="E26" s="13" t="n">
        <v>55.3</v>
      </c>
      <c r="F26" s="13" t="n">
        <v>71.5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33</v>
      </c>
      <c r="E27" s="13" t="n">
        <v>55.3</v>
      </c>
      <c r="F27" s="13" t="n">
        <v>69.8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33.8</v>
      </c>
      <c r="E28" s="14" t="n">
        <v>56.8</v>
      </c>
      <c r="F28" s="14" t="n">
        <v>71.90000000000001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</v>
      </c>
      <c r="E29" s="14" t="n">
        <v>56.6</v>
      </c>
      <c r="F29" s="14" t="n">
        <v>71.5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33.9</v>
      </c>
      <c r="E30" s="14" t="n">
        <v>56.4</v>
      </c>
      <c r="F30" s="14" t="n">
        <v>71.3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33.5</v>
      </c>
      <c r="E31" s="14" t="n">
        <v>56.1</v>
      </c>
      <c r="F31" s="14" t="n">
        <v>71.7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33.6</v>
      </c>
      <c r="E32" s="14" t="n">
        <v>55.1</v>
      </c>
      <c r="F32" s="14" t="n">
        <v>72.59999999999999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33.5</v>
      </c>
      <c r="E33" s="14" t="n">
        <v>55.7</v>
      </c>
      <c r="F33" s="14" t="n">
        <v>72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33.2</v>
      </c>
      <c r="E34" s="14" t="n">
        <v>55.6</v>
      </c>
      <c r="F34" s="14" t="n">
        <v>72.09999999999999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33.2</v>
      </c>
      <c r="E35" s="14" t="n">
        <v>55.1</v>
      </c>
      <c r="F35" s="14" t="n">
        <v>71.2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33.1</v>
      </c>
      <c r="E36" s="14" t="n">
        <v>55.2</v>
      </c>
      <c r="F36" s="14" t="n">
        <v>70.8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32.7</v>
      </c>
      <c r="E37" s="14" t="n">
        <v>55</v>
      </c>
      <c r="F37" s="14" t="n">
        <v>70.5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32.9</v>
      </c>
      <c r="E38" s="14" t="n">
        <v>54.1</v>
      </c>
      <c r="F38" s="14" t="n">
        <v>71.09999999999999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32.4</v>
      </c>
      <c r="E39" s="14" t="n">
        <v>53.9</v>
      </c>
      <c r="F39" s="14" t="n">
        <v>70.09999999999999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32.5</v>
      </c>
      <c r="E40" s="14" t="n">
        <v>53.1</v>
      </c>
      <c r="F40" s="14" t="n">
        <v>69.3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32.5</v>
      </c>
      <c r="E41" s="14" t="n">
        <v>53.1</v>
      </c>
      <c r="F41" s="14" t="n">
        <v>69.59999999999999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32.3</v>
      </c>
      <c r="E42" s="14" t="n">
        <v>53.9</v>
      </c>
      <c r="F42" s="14" t="n">
        <v>70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32.1</v>
      </c>
      <c r="E43" s="14" t="n">
        <v>53.4</v>
      </c>
      <c r="F43" s="14" t="n">
        <v>69.7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32.2</v>
      </c>
      <c r="E44" s="14" t="n">
        <v>53.4</v>
      </c>
      <c r="F44" s="14" t="n">
        <v>69.5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31.7</v>
      </c>
      <c r="E45" s="14" t="n">
        <v>52.7</v>
      </c>
      <c r="F45" s="14" t="n">
        <v>68.5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31.9</v>
      </c>
      <c r="E46" s="14" t="n">
        <v>52.8</v>
      </c>
      <c r="F46" s="14" t="n">
        <v>66.8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31.6</v>
      </c>
      <c r="E47" s="14" t="n">
        <v>52</v>
      </c>
      <c r="F47" s="14" t="n">
        <v>68.3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30.8</v>
      </c>
      <c r="E48" s="14" t="n">
        <v>52.1</v>
      </c>
      <c r="F48" s="14" t="n">
        <v>68.40000000000001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30.9</v>
      </c>
      <c r="E49" s="14" t="n">
        <v>51</v>
      </c>
      <c r="F49" s="14" t="n">
        <v>67.7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31.3</v>
      </c>
      <c r="E50" s="14" t="n">
        <v>51.1</v>
      </c>
      <c r="F50" s="14" t="n">
        <v>66.8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30.4</v>
      </c>
      <c r="E51" s="14" t="n">
        <v>51.1</v>
      </c>
      <c r="F51" s="14" t="n">
        <v>66.90000000000001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30.9</v>
      </c>
      <c r="E52" s="14" t="n">
        <v>51</v>
      </c>
      <c r="F52" s="14" t="n">
        <v>65.7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30.6</v>
      </c>
      <c r="E53" s="14" t="n">
        <v>50.7</v>
      </c>
      <c r="F53" s="14" t="n">
        <v>65.90000000000001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30.4</v>
      </c>
      <c r="E54" s="14" t="n">
        <v>50</v>
      </c>
      <c r="F54" s="14" t="n">
        <v>65.5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30.2</v>
      </c>
      <c r="E55" s="14" t="n">
        <v>49.5</v>
      </c>
      <c r="F55" s="14" t="n">
        <v>65.59999999999999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30.1</v>
      </c>
      <c r="E56" s="14" t="n">
        <v>49.6</v>
      </c>
      <c r="F56" s="14" t="n">
        <v>66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29.3</v>
      </c>
      <c r="E57" s="14" t="n">
        <v>49</v>
      </c>
      <c r="F57" s="14" t="n">
        <v>64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30.2</v>
      </c>
      <c r="E58" s="14" t="n">
        <v>48.6</v>
      </c>
      <c r="F58" s="14" t="n">
        <v>65.8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30.1</v>
      </c>
      <c r="E59" s="14" t="n">
        <v>48.2</v>
      </c>
      <c r="F59" s="14" t="n">
        <v>63.3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29.7</v>
      </c>
      <c r="E60" s="14" t="n">
        <v>48.7</v>
      </c>
      <c r="F60" s="14" t="n">
        <v>63.8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28.9</v>
      </c>
      <c r="E61" s="14" t="n">
        <v>47.4</v>
      </c>
      <c r="F61" s="14" t="n">
        <v>62.6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28.9</v>
      </c>
      <c r="E62" s="14" t="n">
        <v>47.9</v>
      </c>
      <c r="F62" s="14" t="n">
        <v>61.9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28.9</v>
      </c>
      <c r="E63" s="14" t="n">
        <v>46.7</v>
      </c>
      <c r="F63" s="14" t="n">
        <v>62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28.9</v>
      </c>
      <c r="E64" s="14" t="n">
        <v>46.4</v>
      </c>
      <c r="F64" s="14" t="n">
        <v>61.8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</v>
      </c>
      <c r="E65" s="14" t="n">
        <v>46.8</v>
      </c>
      <c r="F65" s="14" t="n">
        <v>63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28.4</v>
      </c>
      <c r="E66" s="14" t="n">
        <v>46.3</v>
      </c>
      <c r="F66" s="14" t="n">
        <v>61.6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28.1</v>
      </c>
      <c r="E67" s="14" t="n">
        <v>46</v>
      </c>
      <c r="F67" s="14" t="n">
        <v>62.5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28.5</v>
      </c>
      <c r="E68" s="14" t="n">
        <v>46.4</v>
      </c>
      <c r="F68" s="14" t="n">
        <v>60.8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NHBH-08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7.5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0.1717056577828438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1.88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20.3443575792024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169.2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14.5</v>
      </c>
      <c r="E9" s="13" t="n">
        <v>19.9</v>
      </c>
      <c r="F9" s="13" t="n">
        <v>26.8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20.6</v>
      </c>
      <c r="E10" s="13" t="n">
        <v>28.2</v>
      </c>
      <c r="F10" s="13" t="n">
        <v>38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25.1</v>
      </c>
      <c r="E11" s="13" t="n">
        <v>33.7</v>
      </c>
      <c r="F11" s="13" t="n">
        <v>46.4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27.7</v>
      </c>
      <c r="E12" s="13" t="n">
        <v>39.4</v>
      </c>
      <c r="F12" s="13" t="n">
        <v>53.2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28.4</v>
      </c>
      <c r="E13" s="13" t="n">
        <v>43.6</v>
      </c>
      <c r="F13" s="13" t="n">
        <v>56.7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29.9</v>
      </c>
      <c r="E14" s="13" t="n">
        <v>44</v>
      </c>
      <c r="F14" s="13" t="n">
        <v>58.5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29.3</v>
      </c>
      <c r="E15" s="13" t="n">
        <v>46.2</v>
      </c>
      <c r="F15" s="13" t="n">
        <v>58.7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30.7</v>
      </c>
      <c r="E16" s="13" t="n">
        <v>47</v>
      </c>
      <c r="F16" s="13" t="n">
        <v>59.1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31.3</v>
      </c>
      <c r="E17" s="13" t="n">
        <v>46.5</v>
      </c>
      <c r="F17" s="13" t="n">
        <v>61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30.9</v>
      </c>
      <c r="E18" s="13" t="n">
        <v>47.8</v>
      </c>
      <c r="F18" s="13" t="n">
        <v>62.7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32</v>
      </c>
      <c r="E19" s="13" t="n">
        <v>49</v>
      </c>
      <c r="F19" s="13" t="n">
        <v>63.7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32.8</v>
      </c>
      <c r="E20" s="13" t="n">
        <v>48.1</v>
      </c>
      <c r="F20" s="13" t="n">
        <v>63.8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32.9</v>
      </c>
      <c r="E21" s="13" t="n">
        <v>49.6</v>
      </c>
      <c r="F21" s="13" t="n">
        <v>64.40000000000001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33.5</v>
      </c>
      <c r="E22" s="13" t="n">
        <v>49.8</v>
      </c>
      <c r="F22" s="13" t="n">
        <v>66.7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34.4</v>
      </c>
      <c r="E23" s="13" t="n">
        <v>51.2</v>
      </c>
      <c r="F23" s="13" t="n">
        <v>66.7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34.8</v>
      </c>
      <c r="E24" s="13" t="n">
        <v>51.6</v>
      </c>
      <c r="F24" s="13" t="n">
        <v>67.3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34.4</v>
      </c>
      <c r="E25" s="13" t="n">
        <v>52.3</v>
      </c>
      <c r="F25" s="13" t="n">
        <v>66.59999999999999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34.5</v>
      </c>
      <c r="E26" s="13" t="n">
        <v>52.8</v>
      </c>
      <c r="F26" s="13" t="n">
        <v>69.3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34.6</v>
      </c>
      <c r="E27" s="13" t="n">
        <v>52.4</v>
      </c>
      <c r="F27" s="13" t="n">
        <v>68.8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35.2</v>
      </c>
      <c r="E28" s="14" t="n">
        <v>53.1</v>
      </c>
      <c r="F28" s="14" t="n">
        <v>68.8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34.8</v>
      </c>
      <c r="E29" s="14" t="n">
        <v>54.1</v>
      </c>
      <c r="F29" s="14" t="n">
        <v>70.59999999999999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35.6</v>
      </c>
      <c r="E30" s="14" t="n">
        <v>54.3</v>
      </c>
      <c r="F30" s="14" t="n">
        <v>69.90000000000001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35.2</v>
      </c>
      <c r="E31" s="14" t="n">
        <v>53.4</v>
      </c>
      <c r="F31" s="14" t="n">
        <v>70.09999999999999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35.4</v>
      </c>
      <c r="E32" s="14" t="n">
        <v>55.2</v>
      </c>
      <c r="F32" s="14" t="n">
        <v>68.90000000000001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34.9</v>
      </c>
      <c r="E33" s="14" t="n">
        <v>54.1</v>
      </c>
      <c r="F33" s="14" t="n">
        <v>69.59999999999999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35.1</v>
      </c>
      <c r="E34" s="14" t="n">
        <v>53.1</v>
      </c>
      <c r="F34" s="14" t="n">
        <v>72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34.6</v>
      </c>
      <c r="E35" s="14" t="n">
        <v>54</v>
      </c>
      <c r="F35" s="14" t="n">
        <v>71.59999999999999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34.6</v>
      </c>
      <c r="E36" s="14" t="n">
        <v>54.5</v>
      </c>
      <c r="F36" s="14" t="n">
        <v>71.09999999999999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34.7</v>
      </c>
      <c r="E37" s="14" t="n">
        <v>55.1</v>
      </c>
      <c r="F37" s="14" t="n">
        <v>71.8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34.6</v>
      </c>
      <c r="E38" s="14" t="n">
        <v>55.1</v>
      </c>
      <c r="F38" s="14" t="n">
        <v>70.2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34.5</v>
      </c>
      <c r="E39" s="14" t="n">
        <v>55</v>
      </c>
      <c r="F39" s="14" t="n">
        <v>71.3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34.3</v>
      </c>
      <c r="E40" s="14" t="n">
        <v>55.6</v>
      </c>
      <c r="F40" s="14" t="n">
        <v>71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33.5</v>
      </c>
      <c r="E41" s="14" t="n">
        <v>55.4</v>
      </c>
      <c r="F41" s="14" t="n">
        <v>70.8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34.1</v>
      </c>
      <c r="E42" s="14" t="n">
        <v>54.9</v>
      </c>
      <c r="F42" s="14" t="n">
        <v>69.90000000000001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33.4</v>
      </c>
      <c r="E43" s="14" t="n">
        <v>54.9</v>
      </c>
      <c r="F43" s="14" t="n">
        <v>70.09999999999999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32.7</v>
      </c>
      <c r="E44" s="14" t="n">
        <v>53.9</v>
      </c>
      <c r="F44" s="14" t="n">
        <v>69.90000000000001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32.8</v>
      </c>
      <c r="E45" s="14" t="n">
        <v>54.5</v>
      </c>
      <c r="F45" s="14" t="n">
        <v>69.59999999999999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</v>
      </c>
      <c r="E46" s="14" t="n">
        <v>54.2</v>
      </c>
      <c r="F46" s="14" t="n">
        <v>67.59999999999999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33.1</v>
      </c>
      <c r="E47" s="14" t="n">
        <v>53.6</v>
      </c>
      <c r="F47" s="14" t="n">
        <v>69.2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32.5</v>
      </c>
      <c r="E48" s="14" t="n">
        <v>53.9</v>
      </c>
      <c r="F48" s="14" t="n">
        <v>68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32.6</v>
      </c>
      <c r="E49" s="14" t="n">
        <v>53.3</v>
      </c>
      <c r="F49" s="14" t="n">
        <v>67.7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32.2</v>
      </c>
      <c r="E50" s="14" t="n">
        <v>51.9</v>
      </c>
      <c r="F50" s="14" t="n">
        <v>68.40000000000001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32.4</v>
      </c>
      <c r="E51" s="14" t="n">
        <v>52.6</v>
      </c>
      <c r="F51" s="14" t="n">
        <v>67.2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31.9</v>
      </c>
      <c r="E52" s="14" t="n">
        <v>52.9</v>
      </c>
      <c r="F52" s="14" t="n">
        <v>67.5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31.6</v>
      </c>
      <c r="E53" s="14" t="n">
        <v>50.6</v>
      </c>
      <c r="F53" s="14" t="n">
        <v>67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31.9</v>
      </c>
      <c r="E54" s="14" t="n">
        <v>51.1</v>
      </c>
      <c r="F54" s="14" t="n">
        <v>67.2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31.3</v>
      </c>
      <c r="E55" s="14" t="n">
        <v>51.1</v>
      </c>
      <c r="F55" s="14" t="n">
        <v>65.5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31.2</v>
      </c>
      <c r="E56" s="14" t="n">
        <v>51</v>
      </c>
      <c r="F56" s="14" t="n">
        <v>65.3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31.4</v>
      </c>
      <c r="E57" s="14" t="n">
        <v>49.8</v>
      </c>
      <c r="F57" s="14" t="n">
        <v>65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31.3</v>
      </c>
      <c r="E58" s="14" t="n">
        <v>50.7</v>
      </c>
      <c r="F58" s="14" t="n">
        <v>66.09999999999999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31.4</v>
      </c>
      <c r="E59" s="14" t="n">
        <v>49.8</v>
      </c>
      <c r="F59" s="14" t="n">
        <v>66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31.6</v>
      </c>
      <c r="E60" s="14" t="n">
        <v>49.5</v>
      </c>
      <c r="F60" s="14" t="n">
        <v>64.5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30.2</v>
      </c>
      <c r="E61" s="14" t="n">
        <v>49.4</v>
      </c>
      <c r="F61" s="14" t="n">
        <v>64.59999999999999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30.4</v>
      </c>
      <c r="E62" s="14" t="n">
        <v>48.5</v>
      </c>
      <c r="F62" s="14" t="n">
        <v>63.8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29.8</v>
      </c>
      <c r="E63" s="14" t="n">
        <v>47.8</v>
      </c>
      <c r="F63" s="14" t="n">
        <v>63.2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30.1</v>
      </c>
      <c r="E64" s="14" t="n">
        <v>47.7</v>
      </c>
      <c r="F64" s="14" t="n">
        <v>63.5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29.7</v>
      </c>
      <c r="E65" s="14" t="n">
        <v>47.6</v>
      </c>
      <c r="F65" s="14" t="n">
        <v>62.4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29.6</v>
      </c>
      <c r="E66" s="14" t="n">
        <v>47.6</v>
      </c>
      <c r="F66" s="14" t="n">
        <v>63.4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29.7</v>
      </c>
      <c r="E67" s="14" t="n">
        <v>46.8</v>
      </c>
      <c r="F67" s="14" t="n">
        <v>62.7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29.4</v>
      </c>
      <c r="E68" s="14" t="n">
        <v>45.6</v>
      </c>
      <c r="F68" s="14" t="n">
        <v>61.4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NHBH-08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8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0.08435936285947088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28.05204148926741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171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11.9</v>
      </c>
      <c r="E9" s="13" t="n">
        <v>16.9</v>
      </c>
      <c r="F9" s="13" t="n">
        <v>27.1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18</v>
      </c>
      <c r="E10" s="13" t="n">
        <v>24.5</v>
      </c>
      <c r="F10" s="13" t="n">
        <v>40.5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22.4</v>
      </c>
      <c r="E11" s="13" t="n">
        <v>32</v>
      </c>
      <c r="F11" s="13" t="n">
        <v>49.8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26.4</v>
      </c>
      <c r="E12" s="13" t="n">
        <v>37.8</v>
      </c>
      <c r="F12" s="13" t="n">
        <v>58.8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28</v>
      </c>
      <c r="E13" s="13" t="n">
        <v>40.6</v>
      </c>
      <c r="F13" s="13" t="n">
        <v>65.2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29.3</v>
      </c>
      <c r="E14" s="13" t="n">
        <v>45.3</v>
      </c>
      <c r="F14" s="13" t="n">
        <v>68.90000000000001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28.8</v>
      </c>
      <c r="E15" s="13" t="n">
        <v>45.6</v>
      </c>
      <c r="F15" s="13" t="n">
        <v>69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31.1</v>
      </c>
      <c r="E16" s="13" t="n">
        <v>46.1</v>
      </c>
      <c r="F16" s="13" t="n">
        <v>72.5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30.7</v>
      </c>
      <c r="E17" s="13" t="n">
        <v>47.6</v>
      </c>
      <c r="F17" s="13" t="n">
        <v>70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31.9</v>
      </c>
      <c r="E18" s="13" t="n">
        <v>48.4</v>
      </c>
      <c r="F18" s="13" t="n">
        <v>73.59999999999999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31.5</v>
      </c>
      <c r="E19" s="13" t="n">
        <v>48.7</v>
      </c>
      <c r="F19" s="13" t="n">
        <v>73.8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32.4</v>
      </c>
      <c r="E20" s="13" t="n">
        <v>49.3</v>
      </c>
      <c r="F20" s="13" t="n">
        <v>77.5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32.3</v>
      </c>
      <c r="E21" s="13" t="n">
        <v>49.4</v>
      </c>
      <c r="F21" s="13" t="n">
        <v>73.40000000000001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33</v>
      </c>
      <c r="E22" s="13" t="n">
        <v>50.5</v>
      </c>
      <c r="F22" s="13" t="n">
        <v>77.40000000000001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33.9</v>
      </c>
      <c r="E23" s="13" t="n">
        <v>50.5</v>
      </c>
      <c r="F23" s="13" t="n">
        <v>78.3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33.4</v>
      </c>
      <c r="E24" s="13" t="n">
        <v>51.5</v>
      </c>
      <c r="F24" s="13" t="n">
        <v>76.09999999999999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33.8</v>
      </c>
      <c r="E25" s="13" t="n">
        <v>52.5</v>
      </c>
      <c r="F25" s="13" t="n">
        <v>78.7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</v>
      </c>
      <c r="E26" s="13" t="n">
        <v>51.2</v>
      </c>
      <c r="F26" s="13" t="n">
        <v>79.90000000000001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34.3</v>
      </c>
      <c r="E27" s="13" t="n">
        <v>53.6</v>
      </c>
      <c r="F27" s="13" t="n">
        <v>80.40000000000001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34.9</v>
      </c>
      <c r="E28" s="14" t="n">
        <v>53.1</v>
      </c>
      <c r="F28" s="14" t="n">
        <v>79.5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34.6</v>
      </c>
      <c r="E29" s="14" t="n">
        <v>51.7</v>
      </c>
      <c r="F29" s="14" t="n">
        <v>80.2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35</v>
      </c>
      <c r="E30" s="14" t="n">
        <v>54.5</v>
      </c>
      <c r="F30" s="14" t="n">
        <v>85.09999999999999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35.3</v>
      </c>
      <c r="E31" s="14" t="n">
        <v>53.9</v>
      </c>
      <c r="F31" s="14" t="n">
        <v>84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34.8</v>
      </c>
      <c r="E32" s="14" t="n">
        <v>54.6</v>
      </c>
      <c r="F32" s="14" t="n">
        <v>83.5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35.6</v>
      </c>
      <c r="E33" s="14" t="n">
        <v>55</v>
      </c>
      <c r="F33" s="14" t="n">
        <v>87.7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36.1</v>
      </c>
      <c r="E34" s="14" t="n">
        <v>54.9</v>
      </c>
      <c r="F34" s="14" t="n">
        <v>83.2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35.8</v>
      </c>
      <c r="E35" s="14" t="n">
        <v>56.8</v>
      </c>
      <c r="F35" s="14" t="n">
        <v>85.7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36.6</v>
      </c>
      <c r="E36" s="14" t="n">
        <v>57.6</v>
      </c>
      <c r="F36" s="14" t="n">
        <v>85.5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35.4</v>
      </c>
      <c r="E37" s="14" t="n">
        <v>57.3</v>
      </c>
      <c r="F37" s="14" t="n">
        <v>86.40000000000001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36.4</v>
      </c>
      <c r="E38" s="14" t="n">
        <v>56.6</v>
      </c>
      <c r="F38" s="14" t="n">
        <v>85.3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36.3</v>
      </c>
      <c r="E39" s="14" t="n">
        <v>56.2</v>
      </c>
      <c r="F39" s="14" t="n">
        <v>86.59999999999999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35.9</v>
      </c>
      <c r="E40" s="14" t="n">
        <v>57</v>
      </c>
      <c r="F40" s="14" t="n">
        <v>88.2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35.5</v>
      </c>
      <c r="E41" s="14" t="n">
        <v>54.5</v>
      </c>
      <c r="F41" s="14" t="n">
        <v>86.3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34.9</v>
      </c>
      <c r="E42" s="14" t="n">
        <v>55.4</v>
      </c>
      <c r="F42" s="14" t="n">
        <v>85.7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34.5</v>
      </c>
      <c r="E43" s="14" t="n">
        <v>55.6</v>
      </c>
      <c r="F43" s="14" t="n">
        <v>87.90000000000001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34.9</v>
      </c>
      <c r="E44" s="14" t="n">
        <v>55.3</v>
      </c>
      <c r="F44" s="14" t="n">
        <v>86.2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34.8</v>
      </c>
      <c r="E45" s="14" t="n">
        <v>56.2</v>
      </c>
      <c r="F45" s="14" t="n">
        <v>87.2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35.2</v>
      </c>
      <c r="E46" s="14" t="n">
        <v>56.1</v>
      </c>
      <c r="F46" s="14" t="n">
        <v>86.90000000000001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35.1</v>
      </c>
      <c r="E47" s="14" t="n">
        <v>56.6</v>
      </c>
      <c r="F47" s="14" t="n">
        <v>84.7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34.8</v>
      </c>
      <c r="E48" s="14" t="n">
        <v>55.5</v>
      </c>
      <c r="F48" s="14" t="n">
        <v>85.8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34.6</v>
      </c>
      <c r="E49" s="14" t="n">
        <v>55.7</v>
      </c>
      <c r="F49" s="14" t="n">
        <v>85.5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34.2</v>
      </c>
      <c r="E50" s="14" t="n">
        <v>53</v>
      </c>
      <c r="F50" s="14" t="n">
        <v>83.59999999999999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34.6</v>
      </c>
      <c r="E51" s="14" t="n">
        <v>55.7</v>
      </c>
      <c r="F51" s="14" t="n">
        <v>85.2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33.7</v>
      </c>
      <c r="E52" s="14" t="n">
        <v>55.5</v>
      </c>
      <c r="F52" s="14" t="n">
        <v>83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33.1</v>
      </c>
      <c r="E53" s="14" t="n">
        <v>54.9</v>
      </c>
      <c r="F53" s="14" t="n">
        <v>82.8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33.6</v>
      </c>
      <c r="E54" s="14" t="n">
        <v>53.4</v>
      </c>
      <c r="F54" s="14" t="n">
        <v>83.09999999999999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34.1</v>
      </c>
      <c r="E55" s="14" t="n">
        <v>53.4</v>
      </c>
      <c r="F55" s="14" t="n">
        <v>81.8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33.5</v>
      </c>
      <c r="E56" s="14" t="n">
        <v>54.7</v>
      </c>
      <c r="F56" s="14" t="n">
        <v>80.7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32.2</v>
      </c>
      <c r="E57" s="14" t="n">
        <v>52.3</v>
      </c>
      <c r="F57" s="14" t="n">
        <v>79.2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32.3</v>
      </c>
      <c r="E58" s="14" t="n">
        <v>51.6</v>
      </c>
      <c r="F58" s="14" t="n">
        <v>80.7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31.8</v>
      </c>
      <c r="E59" s="14" t="n">
        <v>51.7</v>
      </c>
      <c r="F59" s="14" t="n">
        <v>78.09999999999999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33.3</v>
      </c>
      <c r="E60" s="14" t="n">
        <v>50.3</v>
      </c>
      <c r="F60" s="14" t="n">
        <v>78.2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31.7</v>
      </c>
      <c r="E61" s="14" t="n">
        <v>52.5</v>
      </c>
      <c r="F61" s="14" t="n">
        <v>80.3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32</v>
      </c>
      <c r="E62" s="14" t="n">
        <v>51.7</v>
      </c>
      <c r="F62" s="14" t="n">
        <v>79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31.9</v>
      </c>
      <c r="E63" s="14" t="n">
        <v>50.9</v>
      </c>
      <c r="F63" s="14" t="n">
        <v>76.5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32.9</v>
      </c>
      <c r="E64" s="14" t="n">
        <v>50.4</v>
      </c>
      <c r="F64" s="14" t="n">
        <v>79.3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30.8</v>
      </c>
      <c r="E65" s="14" t="n">
        <v>50.5</v>
      </c>
      <c r="F65" s="14" t="n">
        <v>75.5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30.8</v>
      </c>
      <c r="E66" s="14" t="n">
        <v>50.3</v>
      </c>
      <c r="F66" s="14" t="n">
        <v>74.09999999999999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31.5</v>
      </c>
      <c r="E67" s="14" t="n">
        <v>48.9</v>
      </c>
      <c r="F67" s="14" t="n">
        <v>74.5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30.1</v>
      </c>
      <c r="E68" s="14" t="n">
        <v>49</v>
      </c>
      <c r="F68" s="14" t="n">
        <v>73.90000000000001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NHBH-08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9.5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0.08129442692894362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29.11019400229355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10.3</v>
      </c>
      <c r="E9" s="13" t="n">
        <v>17.6</v>
      </c>
      <c r="F9" s="13" t="n">
        <v>32.3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15.3</v>
      </c>
      <c r="E10" s="13" t="n">
        <v>26.3</v>
      </c>
      <c r="F10" s="13" t="n">
        <v>46.1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19.1</v>
      </c>
      <c r="E11" s="13" t="n">
        <v>31.4</v>
      </c>
      <c r="F11" s="13" t="n">
        <v>57.8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22</v>
      </c>
      <c r="E12" s="13" t="n">
        <v>37.1</v>
      </c>
      <c r="F12" s="13" t="n">
        <v>66.59999999999999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24.9</v>
      </c>
      <c r="E13" s="13" t="n">
        <v>42.7</v>
      </c>
      <c r="F13" s="13" t="n">
        <v>73.09999999999999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27.9</v>
      </c>
      <c r="E14" s="13" t="n">
        <v>45.9</v>
      </c>
      <c r="F14" s="13" t="n">
        <v>73.3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28</v>
      </c>
      <c r="E15" s="13" t="n">
        <v>47</v>
      </c>
      <c r="F15" s="13" t="n">
        <v>75.7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28.8</v>
      </c>
      <c r="E16" s="13" t="n">
        <v>47.9</v>
      </c>
      <c r="F16" s="13" t="n">
        <v>76.8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30.1</v>
      </c>
      <c r="E17" s="13" t="n">
        <v>49.7</v>
      </c>
      <c r="F17" s="13" t="n">
        <v>78.90000000000001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30.2</v>
      </c>
      <c r="E18" s="13" t="n">
        <v>50.2</v>
      </c>
      <c r="F18" s="13" t="n">
        <v>78.3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30.3</v>
      </c>
      <c r="E19" s="13" t="n">
        <v>49.3</v>
      </c>
      <c r="F19" s="13" t="n">
        <v>81.8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30.9</v>
      </c>
      <c r="E20" s="13" t="n">
        <v>50.7</v>
      </c>
      <c r="F20" s="13" t="n">
        <v>79.7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30.6</v>
      </c>
      <c r="E21" s="13" t="n">
        <v>49.6</v>
      </c>
      <c r="F21" s="13" t="n">
        <v>84.09999999999999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30.6</v>
      </c>
      <c r="E22" s="13" t="n">
        <v>51.1</v>
      </c>
      <c r="F22" s="13" t="n">
        <v>80.59999999999999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32.3</v>
      </c>
      <c r="E23" s="13" t="n">
        <v>51</v>
      </c>
      <c r="F23" s="13" t="n">
        <v>85.59999999999999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31.4</v>
      </c>
      <c r="E24" s="13" t="n">
        <v>53.2</v>
      </c>
      <c r="F24" s="13" t="n">
        <v>87.59999999999999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31.9</v>
      </c>
      <c r="E25" s="13" t="n">
        <v>52.8</v>
      </c>
      <c r="F25" s="13" t="n">
        <v>86.59999999999999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32.7</v>
      </c>
      <c r="E26" s="13" t="n">
        <v>53.3</v>
      </c>
      <c r="F26" s="13" t="n">
        <v>89.3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34.2</v>
      </c>
      <c r="E27" s="13" t="n">
        <v>54.6</v>
      </c>
      <c r="F27" s="13" t="n">
        <v>89.7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32.7</v>
      </c>
      <c r="E28" s="14" t="n">
        <v>55.2</v>
      </c>
      <c r="F28" s="14" t="n">
        <v>90.09999999999999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34.4</v>
      </c>
      <c r="E29" s="14" t="n">
        <v>56.3</v>
      </c>
      <c r="F29" s="14" t="n">
        <v>91.8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34.7</v>
      </c>
      <c r="E30" s="14" t="n">
        <v>55.9</v>
      </c>
      <c r="F30" s="14" t="n">
        <v>86.3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33.9</v>
      </c>
      <c r="E31" s="14" t="n">
        <v>55.3</v>
      </c>
      <c r="F31" s="14" t="n">
        <v>92.59999999999999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34</v>
      </c>
      <c r="E32" s="14" t="n">
        <v>57.3</v>
      </c>
      <c r="F32" s="14" t="n">
        <v>89.5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34.5</v>
      </c>
      <c r="E33" s="14" t="n">
        <v>56.6</v>
      </c>
      <c r="F33" s="14" t="n">
        <v>88.90000000000001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33.4</v>
      </c>
      <c r="E34" s="14" t="n">
        <v>56.8</v>
      </c>
      <c r="F34" s="14" t="n">
        <v>87.5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35.4</v>
      </c>
      <c r="E35" s="14" t="n">
        <v>56</v>
      </c>
      <c r="F35" s="14" t="n">
        <v>91.7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35.1</v>
      </c>
      <c r="E36" s="14" t="n">
        <v>60.5</v>
      </c>
      <c r="F36" s="14" t="n">
        <v>93.5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34.6</v>
      </c>
      <c r="E37" s="14" t="n">
        <v>58.1</v>
      </c>
      <c r="F37" s="14" t="n">
        <v>93.2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</v>
      </c>
      <c r="E38" s="14" t="n">
        <v>59.5</v>
      </c>
      <c r="F38" s="14" t="n">
        <v>92.7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35.4</v>
      </c>
      <c r="E39" s="14" t="n">
        <v>57.5</v>
      </c>
      <c r="F39" s="14" t="n">
        <v>92.5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34.3</v>
      </c>
      <c r="E40" s="14" t="n">
        <v>57.3</v>
      </c>
      <c r="F40" s="14" t="n">
        <v>91.8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34.7</v>
      </c>
      <c r="E41" s="14" t="n">
        <v>57.1</v>
      </c>
      <c r="F41" s="14" t="n">
        <v>89.7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35.8</v>
      </c>
      <c r="E42" s="14" t="n">
        <v>59.1</v>
      </c>
      <c r="F42" s="14" t="n">
        <v>87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35.8</v>
      </c>
      <c r="E43" s="14" t="n">
        <v>56.2</v>
      </c>
      <c r="F43" s="14" t="n">
        <v>91.09999999999999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34.1</v>
      </c>
      <c r="E44" s="14" t="n">
        <v>58.1</v>
      </c>
      <c r="F44" s="14" t="n">
        <v>86.5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35.1</v>
      </c>
      <c r="E45" s="14" t="n">
        <v>58.8</v>
      </c>
      <c r="F45" s="14" t="n">
        <v>89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36.2</v>
      </c>
      <c r="E46" s="14" t="n">
        <v>57.7</v>
      </c>
      <c r="F46" s="14" t="n">
        <v>86.3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36.1</v>
      </c>
      <c r="E47" s="14" t="n">
        <v>58.6</v>
      </c>
      <c r="F47" s="14" t="n">
        <v>89.7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35.4</v>
      </c>
      <c r="E48" s="14" t="n">
        <v>58.4</v>
      </c>
      <c r="F48" s="14" t="n">
        <v>87.90000000000001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35.3</v>
      </c>
      <c r="E49" s="14" t="n">
        <v>57.7</v>
      </c>
      <c r="F49" s="14" t="n">
        <v>86.2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35.6</v>
      </c>
      <c r="E50" s="14" t="n">
        <v>57.9</v>
      </c>
      <c r="F50" s="14" t="n">
        <v>86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35.5</v>
      </c>
      <c r="E51" s="14" t="n">
        <v>55.7</v>
      </c>
      <c r="F51" s="14" t="n">
        <v>87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35.4</v>
      </c>
      <c r="E52" s="14" t="n">
        <v>56.4</v>
      </c>
      <c r="F52" s="14" t="n">
        <v>85.2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34.7</v>
      </c>
      <c r="E53" s="14" t="n">
        <v>56.6</v>
      </c>
      <c r="F53" s="14" t="n">
        <v>84.90000000000001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35.1</v>
      </c>
      <c r="E54" s="14" t="n">
        <v>55.2</v>
      </c>
      <c r="F54" s="14" t="n">
        <v>82.59999999999999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34.9</v>
      </c>
      <c r="E55" s="14" t="n">
        <v>55.5</v>
      </c>
      <c r="F55" s="14" t="n">
        <v>84.09999999999999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33.9</v>
      </c>
      <c r="E56" s="14" t="n">
        <v>54</v>
      </c>
      <c r="F56" s="14" t="n">
        <v>83.40000000000001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34.7</v>
      </c>
      <c r="E57" s="14" t="n">
        <v>55.6</v>
      </c>
      <c r="F57" s="14" t="n">
        <v>83.09999999999999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34.5</v>
      </c>
      <c r="E58" s="14" t="n">
        <v>54.3</v>
      </c>
      <c r="F58" s="14" t="n">
        <v>81.7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33</v>
      </c>
      <c r="E59" s="14" t="n">
        <v>52.7</v>
      </c>
      <c r="F59" s="14" t="n">
        <v>80.59999999999999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33.7</v>
      </c>
      <c r="E60" s="14" t="n">
        <v>50.9</v>
      </c>
      <c r="F60" s="14" t="n">
        <v>85.09999999999999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34.1</v>
      </c>
      <c r="E61" s="14" t="n">
        <v>54</v>
      </c>
      <c r="F61" s="14" t="n">
        <v>79.7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33.9</v>
      </c>
      <c r="E62" s="14" t="n">
        <v>53</v>
      </c>
      <c r="F62" s="14" t="n">
        <v>80.2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32.9</v>
      </c>
      <c r="E63" s="14" t="n">
        <v>51.9</v>
      </c>
      <c r="F63" s="14" t="n">
        <v>78.40000000000001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32.7</v>
      </c>
      <c r="E64" s="14" t="n">
        <v>50.3</v>
      </c>
      <c r="F64" s="14" t="n">
        <v>78.90000000000001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32</v>
      </c>
      <c r="E65" s="14" t="n">
        <v>50.3</v>
      </c>
      <c r="F65" s="14" t="n">
        <v>80.5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31.3</v>
      </c>
      <c r="E66" s="14" t="n">
        <v>50</v>
      </c>
      <c r="F66" s="14" t="n">
        <v>77.90000000000001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32.4</v>
      </c>
      <c r="E67" s="14" t="n">
        <v>48.3</v>
      </c>
      <c r="F67" s="14" t="n">
        <v>72.5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32.1</v>
      </c>
      <c r="E68" s="14" t="n">
        <v>49.8</v>
      </c>
      <c r="F68" s="14" t="n">
        <v>75.2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selection activeCell="A1" sqref="A1"/>
    </sheetView>
  </sheetViews>
  <sheetFormatPr baseColWidth="8" defaultRowHeight="15"/>
  <cols>
    <col width="11.140625" customWidth="1" min="1" max="1"/>
    <col width="12" customWidth="1" min="2" max="2"/>
    <col width="12" customWidth="1" min="3" max="3"/>
    <col width="14.28515625" customWidth="1" min="4" max="4"/>
    <col width="15.140625" customWidth="1" min="5" max="5"/>
    <col width="10.85546875" customWidth="1" min="7" max="7"/>
    <col width="13.85546875" customWidth="1" min="8" max="8"/>
    <col width="14" customWidth="1" min="9" max="9"/>
    <col width="11.5703125" customWidth="1" min="12" max="12"/>
    <col width="61.140625" customWidth="1" min="14" max="14"/>
  </cols>
  <sheetData>
    <row r="1">
      <c r="A1" s="1" t="inlineStr">
        <is>
          <t>BH ID</t>
        </is>
      </c>
      <c r="B1" s="2" t="inlineStr">
        <is>
          <t>NHBH-08</t>
        </is>
      </c>
      <c r="C1" s="3" t="inlineStr">
        <is>
          <t>-</t>
        </is>
      </c>
      <c r="D1" s="12" t="n"/>
      <c r="F1" s="20" t="inlineStr">
        <is>
          <t>Direct Shear Test Results</t>
        </is>
      </c>
      <c r="G1" s="27" t="n"/>
      <c r="H1" s="27" t="n"/>
      <c r="I1" s="27" t="n"/>
      <c r="J1" s="28" t="n"/>
      <c r="M1" s="11" t="n"/>
      <c r="N1" s="17" t="n"/>
    </row>
    <row r="2" ht="17.25" customHeight="1">
      <c r="A2" s="1" t="inlineStr">
        <is>
          <t>Depth</t>
        </is>
      </c>
      <c r="B2" s="4" t="n">
        <v>10</v>
      </c>
      <c r="C2" s="3" t="inlineStr">
        <is>
          <t>m</t>
        </is>
      </c>
      <c r="F2" s="21" t="inlineStr">
        <is>
          <t>Cohesion</t>
        </is>
      </c>
      <c r="G2" s="28" t="n"/>
      <c r="H2" s="15" t="n">
        <v>0.05933049047726124</v>
      </c>
      <c r="I2" s="6" t="n"/>
      <c r="L2" s="11" t="n"/>
      <c r="M2" s="16" t="n"/>
      <c r="N2" s="11" t="n"/>
    </row>
    <row r="3" ht="17.25" customHeight="1">
      <c r="A3" s="1" t="inlineStr">
        <is>
          <t>Density</t>
        </is>
      </c>
      <c r="B3" s="2" t="n">
        <v>1.95</v>
      </c>
      <c r="C3" s="3" t="inlineStr">
        <is>
          <t>gm/cm3</t>
        </is>
      </c>
      <c r="F3" s="21" t="inlineStr">
        <is>
          <t>Angle of Internal Friction</t>
        </is>
      </c>
      <c r="G3" s="28" t="n"/>
      <c r="H3" s="5" t="n">
        <v>31.41905319933476</v>
      </c>
      <c r="I3" s="7" t="n"/>
      <c r="L3" s="11" t="n"/>
      <c r="M3" s="11" t="n"/>
      <c r="N3" s="18" t="n"/>
    </row>
    <row r="4">
      <c r="A4" s="1" t="inlineStr">
        <is>
          <t>Sample Wt.</t>
        </is>
      </c>
      <c r="B4" s="4" t="n">
        <v>175.5</v>
      </c>
      <c r="C4" s="3" t="inlineStr">
        <is>
          <t>gm</t>
        </is>
      </c>
      <c r="F4" s="29" t="inlineStr">
        <is>
          <t>Normal Stress</t>
        </is>
      </c>
      <c r="G4" s="28" t="n"/>
      <c r="H4" s="8" t="n">
        <v>0.5</v>
      </c>
      <c r="I4" s="8" t="n">
        <v>1</v>
      </c>
      <c r="J4" s="8" t="n">
        <v>1.5</v>
      </c>
    </row>
    <row r="5">
      <c r="A5" s="1" t="inlineStr">
        <is>
          <t>PR Contant</t>
        </is>
      </c>
      <c r="B5" s="2" t="n">
        <v>0.325</v>
      </c>
      <c r="C5" s="3" t="inlineStr">
        <is>
          <t>kg/div</t>
        </is>
      </c>
      <c r="F5" s="29" t="inlineStr">
        <is>
          <t>Shear Stress (at Failure)</t>
        </is>
      </c>
      <c r="G5" s="28" t="n"/>
      <c r="H5" s="8">
        <f>MAX(H8:H68)</f>
        <v/>
      </c>
      <c r="I5" s="8">
        <f>MAX(I8:I68)</f>
        <v/>
      </c>
      <c r="J5" s="8">
        <f>MAX(J8:J68)</f>
        <v/>
      </c>
    </row>
    <row r="6"/>
    <row r="7" ht="62.25" customHeight="1">
      <c r="A7" s="9" t="inlineStr">
        <is>
          <t>SR No.</t>
        </is>
      </c>
      <c r="B7" s="10" t="inlineStr">
        <is>
          <t xml:space="preserve">Dial Reading </t>
        </is>
      </c>
      <c r="C7" s="10" t="inlineStr">
        <is>
          <t>Dial Reading (cm)</t>
        </is>
      </c>
      <c r="D7" s="10" t="inlineStr">
        <is>
          <t>PR Reading at Normal Stress of 0.5 kg/cm2</t>
        </is>
      </c>
      <c r="E7" s="10" t="inlineStr">
        <is>
          <t>PR Reading at Normal Stress of 1.0 kg/cm2</t>
        </is>
      </c>
      <c r="F7" s="10" t="inlineStr">
        <is>
          <t>PR Reading at Normal Stress of 1.5 kg/cm2</t>
        </is>
      </c>
      <c r="G7" s="10" t="inlineStr">
        <is>
          <t>Corrected Area (cm2)</t>
        </is>
      </c>
      <c r="H7" s="10" t="inlineStr">
        <is>
          <t>Shear Stress at Normal Stress of 0.5 kg/cm2</t>
        </is>
      </c>
      <c r="I7" s="10" t="inlineStr">
        <is>
          <t>Shear Stress at Normal Stress of 1.0 kg/cm2</t>
        </is>
      </c>
      <c r="J7" s="10" t="inlineStr">
        <is>
          <t>Shear Stress at Normal Stress of 1.5 kg/cm2</t>
        </is>
      </c>
    </row>
    <row r="8">
      <c r="A8" s="2" t="n">
        <v>1</v>
      </c>
      <c r="B8" s="2" t="n">
        <v>0</v>
      </c>
      <c r="C8" s="4">
        <f>B8/1000</f>
        <v/>
      </c>
      <c r="D8" s="13" t="n">
        <v>0</v>
      </c>
      <c r="E8" s="13" t="n">
        <v>0</v>
      </c>
      <c r="F8" s="13" t="n">
        <v>0</v>
      </c>
      <c r="G8" s="4">
        <f>36*(1-((C8)/(3)))</f>
        <v/>
      </c>
      <c r="H8" s="4">
        <f>(D8*$B$5)/G8</f>
        <v/>
      </c>
      <c r="I8" s="4">
        <f>(E8*$B$5)/G8</f>
        <v/>
      </c>
      <c r="J8" s="4">
        <f>(F8*$B$5)/G8</f>
        <v/>
      </c>
    </row>
    <row r="9">
      <c r="A9" s="2" t="n">
        <v>2</v>
      </c>
      <c r="B9" s="2" t="n">
        <v>10</v>
      </c>
      <c r="C9" s="4">
        <f>B9/1000</f>
        <v/>
      </c>
      <c r="D9" s="13" t="n">
        <v>18.2</v>
      </c>
      <c r="E9" s="13" t="n">
        <v>35.3</v>
      </c>
      <c r="F9" s="13" t="n">
        <v>48</v>
      </c>
      <c r="G9" s="4">
        <f>36*(1-((C9)/(3)))</f>
        <v/>
      </c>
      <c r="H9" s="4">
        <f>(D9*$B$5)/G9</f>
        <v/>
      </c>
      <c r="I9" s="4">
        <f>(E9*$B$5)/G9</f>
        <v/>
      </c>
      <c r="J9" s="4">
        <f>(F9*$B$5)/G9</f>
        <v/>
      </c>
    </row>
    <row r="10">
      <c r="A10" s="2" t="n">
        <v>3</v>
      </c>
      <c r="B10" s="2" t="n">
        <v>20</v>
      </c>
      <c r="C10" s="4">
        <f>B10/1000</f>
        <v/>
      </c>
      <c r="D10" s="13" t="n">
        <v>23.3</v>
      </c>
      <c r="E10" s="13" t="n">
        <v>46.9</v>
      </c>
      <c r="F10" s="13" t="n">
        <v>62.5</v>
      </c>
      <c r="G10" s="4">
        <f>36*(1-((C10)/(3)))</f>
        <v/>
      </c>
      <c r="H10" s="4">
        <f>(D10*$B$5)/G10</f>
        <v/>
      </c>
      <c r="I10" s="4">
        <f>(E10*$B$5)/G10</f>
        <v/>
      </c>
      <c r="J10" s="4">
        <f>(F10*$B$5)/G10</f>
        <v/>
      </c>
    </row>
    <row r="11">
      <c r="A11" s="2" t="n">
        <v>4</v>
      </c>
      <c r="B11" s="2" t="n">
        <v>30</v>
      </c>
      <c r="C11" s="4">
        <f>B11/1000</f>
        <v/>
      </c>
      <c r="D11" s="13" t="n">
        <v>26.3</v>
      </c>
      <c r="E11" s="13" t="n">
        <v>54.5</v>
      </c>
      <c r="F11" s="13" t="n">
        <v>73.59999999999999</v>
      </c>
      <c r="G11" s="4">
        <f>36*(1-((C11)/(3)))</f>
        <v/>
      </c>
      <c r="H11" s="4">
        <f>(D11*$B$5)/G11</f>
        <v/>
      </c>
      <c r="I11" s="4">
        <f>(E11*$B$5)/G11</f>
        <v/>
      </c>
      <c r="J11" s="4">
        <f>(F11*$B$5)/G11</f>
        <v/>
      </c>
    </row>
    <row r="12">
      <c r="A12" s="2" t="n">
        <v>5</v>
      </c>
      <c r="B12" s="2" t="n">
        <v>40</v>
      </c>
      <c r="C12" s="4">
        <f>B12/1000</f>
        <v/>
      </c>
      <c r="D12" s="13" t="n">
        <v>28.9</v>
      </c>
      <c r="E12" s="13" t="n">
        <v>56.6</v>
      </c>
      <c r="F12" s="13" t="n">
        <v>78.5</v>
      </c>
      <c r="G12" s="4">
        <f>36*(1-((C12)/(3)))</f>
        <v/>
      </c>
      <c r="H12" s="4">
        <f>(D12*$B$5)/G12</f>
        <v/>
      </c>
      <c r="I12" s="4">
        <f>(E12*$B$5)/G12</f>
        <v/>
      </c>
      <c r="J12" s="4">
        <f>(F12*$B$5)/G12</f>
        <v/>
      </c>
    </row>
    <row r="13">
      <c r="A13" s="2" t="n">
        <v>6</v>
      </c>
      <c r="B13" s="2" t="n">
        <v>50</v>
      </c>
      <c r="C13" s="4">
        <f>B13/1000</f>
        <v/>
      </c>
      <c r="D13" s="13" t="n">
        <v>29.3</v>
      </c>
      <c r="E13" s="13" t="n">
        <v>57.8</v>
      </c>
      <c r="F13" s="13" t="n">
        <v>81.09999999999999</v>
      </c>
      <c r="G13" s="4">
        <f>36*(1-((C13)/(3)))</f>
        <v/>
      </c>
      <c r="H13" s="4">
        <f>(D13*$B$5)/G13</f>
        <v/>
      </c>
      <c r="I13" s="4">
        <f>(E13*$B$5)/G13</f>
        <v/>
      </c>
      <c r="J13" s="4">
        <f>(F13*$B$5)/G13</f>
        <v/>
      </c>
    </row>
    <row r="14">
      <c r="A14" s="2" t="n">
        <v>7</v>
      </c>
      <c r="B14" s="2" t="n">
        <v>60</v>
      </c>
      <c r="C14" s="4">
        <f>B14/1000</f>
        <v/>
      </c>
      <c r="D14" s="13" t="n">
        <v>30.1</v>
      </c>
      <c r="E14" s="13" t="n">
        <v>61.4</v>
      </c>
      <c r="F14" s="13" t="n">
        <v>84.2</v>
      </c>
      <c r="G14" s="4">
        <f>36*(1-((C14)/(3)))</f>
        <v/>
      </c>
      <c r="H14" s="4">
        <f>(D14*$B$5)/G14</f>
        <v/>
      </c>
      <c r="I14" s="4">
        <f>(E14*$B$5)/G14</f>
        <v/>
      </c>
      <c r="J14" s="4">
        <f>(F14*$B$5)/G14</f>
        <v/>
      </c>
    </row>
    <row r="15">
      <c r="A15" s="2" t="n">
        <v>8</v>
      </c>
      <c r="B15" s="2" t="n">
        <v>70</v>
      </c>
      <c r="C15" s="4">
        <f>B15/1000</f>
        <v/>
      </c>
      <c r="D15" s="13" t="n">
        <v>31.8</v>
      </c>
      <c r="E15" s="13" t="n">
        <v>60.3</v>
      </c>
      <c r="F15" s="13" t="n">
        <v>85.8</v>
      </c>
      <c r="G15" s="4">
        <f>36*(1-((C15)/(3)))</f>
        <v/>
      </c>
      <c r="H15" s="4">
        <f>(D15*$B$5)/G15</f>
        <v/>
      </c>
      <c r="I15" s="4">
        <f>(E15*$B$5)/G15</f>
        <v/>
      </c>
      <c r="J15" s="4">
        <f>(F15*$B$5)/G15</f>
        <v/>
      </c>
    </row>
    <row r="16">
      <c r="A16" s="2" t="n">
        <v>9</v>
      </c>
      <c r="B16" s="2" t="n">
        <v>80</v>
      </c>
      <c r="C16" s="4">
        <f>B16/1000</f>
        <v/>
      </c>
      <c r="D16" s="13" t="n">
        <v>32.1</v>
      </c>
      <c r="E16" s="13" t="n">
        <v>63.8</v>
      </c>
      <c r="F16" s="13" t="n">
        <v>86.09999999999999</v>
      </c>
      <c r="G16" s="4">
        <f>36*(1-((C16)/(3)))</f>
        <v/>
      </c>
      <c r="H16" s="4">
        <f>(D16*$B$5)/G16</f>
        <v/>
      </c>
      <c r="I16" s="4">
        <f>(E16*$B$5)/G16</f>
        <v/>
      </c>
      <c r="J16" s="4">
        <f>(F16*$B$5)/G16</f>
        <v/>
      </c>
    </row>
    <row r="17">
      <c r="A17" s="2" t="n">
        <v>10</v>
      </c>
      <c r="B17" s="2" t="n">
        <v>90</v>
      </c>
      <c r="C17" s="4">
        <f>B17/1000</f>
        <v/>
      </c>
      <c r="D17" s="13" t="n">
        <v>33.8</v>
      </c>
      <c r="E17" s="13" t="n">
        <v>64.7</v>
      </c>
      <c r="F17" s="13" t="n">
        <v>95.2</v>
      </c>
      <c r="G17" s="4">
        <f>36*(1-((C17)/(3)))</f>
        <v/>
      </c>
      <c r="H17" s="4">
        <f>(D17*$B$5)/G17</f>
        <v/>
      </c>
      <c r="I17" s="4">
        <f>(E17*$B$5)/G17</f>
        <v/>
      </c>
      <c r="J17" s="4">
        <f>(F17*$B$5)/G17</f>
        <v/>
      </c>
    </row>
    <row r="18">
      <c r="A18" s="2" t="n">
        <v>11</v>
      </c>
      <c r="B18" s="2" t="n">
        <v>100</v>
      </c>
      <c r="C18" s="4">
        <f>B18/1000</f>
        <v/>
      </c>
      <c r="D18" s="13" t="n">
        <v>33.1</v>
      </c>
      <c r="E18" s="13" t="n">
        <v>65.90000000000001</v>
      </c>
      <c r="F18" s="13" t="n">
        <v>91.3</v>
      </c>
      <c r="G18" s="4">
        <f>36*(1-((C18)/(3)))</f>
        <v/>
      </c>
      <c r="H18" s="4">
        <f>(D18*$B$5)/G18</f>
        <v/>
      </c>
      <c r="I18" s="4">
        <f>(E18*$B$5)/G18</f>
        <v/>
      </c>
      <c r="J18" s="4">
        <f>(F18*$B$5)/G18</f>
        <v/>
      </c>
      <c r="N18" s="17" t="n"/>
    </row>
    <row r="19">
      <c r="A19" s="2" t="n">
        <v>12</v>
      </c>
      <c r="B19" s="2" t="n">
        <v>110</v>
      </c>
      <c r="C19" s="4">
        <f>B19/1000</f>
        <v/>
      </c>
      <c r="D19" s="13" t="n">
        <v>33.4</v>
      </c>
      <c r="E19" s="13" t="n">
        <v>67.59999999999999</v>
      </c>
      <c r="F19" s="13" t="n">
        <v>91.5</v>
      </c>
      <c r="G19" s="4">
        <f>36*(1-((C19)/(3)))</f>
        <v/>
      </c>
      <c r="H19" s="4">
        <f>(D19*$B$5)/G19</f>
        <v/>
      </c>
      <c r="I19" s="4">
        <f>(E19*$B$5)/G19</f>
        <v/>
      </c>
      <c r="J19" s="4">
        <f>(F19*$B$5)/G19</f>
        <v/>
      </c>
    </row>
    <row r="20">
      <c r="A20" s="2" t="n">
        <v>13</v>
      </c>
      <c r="B20" s="2" t="n">
        <v>120</v>
      </c>
      <c r="C20" s="4">
        <f>B20/1000</f>
        <v/>
      </c>
      <c r="D20" s="13" t="n">
        <v>33.7</v>
      </c>
      <c r="E20" s="13" t="n">
        <v>67.90000000000001</v>
      </c>
      <c r="F20" s="13" t="n">
        <v>93.90000000000001</v>
      </c>
      <c r="G20" s="4">
        <f>36*(1-((C20)/(3)))</f>
        <v/>
      </c>
      <c r="H20" s="4">
        <f>(D20*$B$5)/G20</f>
        <v/>
      </c>
      <c r="I20" s="4">
        <f>(E20*$B$5)/G20</f>
        <v/>
      </c>
      <c r="J20" s="4">
        <f>(F20*$B$5)/G20</f>
        <v/>
      </c>
    </row>
    <row r="21">
      <c r="A21" s="2" t="n">
        <v>14</v>
      </c>
      <c r="B21" s="2" t="n">
        <v>130</v>
      </c>
      <c r="C21" s="4">
        <f>B21/1000</f>
        <v/>
      </c>
      <c r="D21" s="13" t="n">
        <v>34.5</v>
      </c>
      <c r="E21" s="13" t="n">
        <v>67.8</v>
      </c>
      <c r="F21" s="13" t="n">
        <v>96.5</v>
      </c>
      <c r="G21" s="4">
        <f>36*(1-((C21)/(3)))</f>
        <v/>
      </c>
      <c r="H21" s="4">
        <f>(D21*$B$5)/G21</f>
        <v/>
      </c>
      <c r="I21" s="4">
        <f>(E21*$B$5)/G21</f>
        <v/>
      </c>
      <c r="J21" s="4">
        <f>(F21*$B$5)/G21</f>
        <v/>
      </c>
    </row>
    <row r="22">
      <c r="A22" s="2" t="n">
        <v>15</v>
      </c>
      <c r="B22" s="2" t="n">
        <v>140</v>
      </c>
      <c r="C22" s="4">
        <f>B22/1000</f>
        <v/>
      </c>
      <c r="D22" s="13" t="n">
        <v>34.9</v>
      </c>
      <c r="E22" s="13" t="n">
        <v>66.8</v>
      </c>
      <c r="F22" s="13" t="n">
        <v>92.90000000000001</v>
      </c>
      <c r="G22" s="4">
        <f>36*(1-((C22)/(3)))</f>
        <v/>
      </c>
      <c r="H22" s="4">
        <f>(D22*$B$5)/G22</f>
        <v/>
      </c>
      <c r="I22" s="4">
        <f>(E22*$B$5)/G22</f>
        <v/>
      </c>
      <c r="J22" s="4">
        <f>(F22*$B$5)/G22</f>
        <v/>
      </c>
    </row>
    <row r="23">
      <c r="A23" s="2" t="n">
        <v>16</v>
      </c>
      <c r="B23" s="2" t="n">
        <v>150</v>
      </c>
      <c r="C23" s="4">
        <f>B23/1000</f>
        <v/>
      </c>
      <c r="D23" s="13" t="n">
        <v>35.1</v>
      </c>
      <c r="E23" s="13" t="n">
        <v>69.8</v>
      </c>
      <c r="F23" s="13" t="n">
        <v>96.59999999999999</v>
      </c>
      <c r="G23" s="4">
        <f>36*(1-((C23)/(3)))</f>
        <v/>
      </c>
      <c r="H23" s="4">
        <f>(D23*$B$5)/G23</f>
        <v/>
      </c>
      <c r="I23" s="4">
        <f>(E23*$B$5)/G23</f>
        <v/>
      </c>
      <c r="J23" s="4">
        <f>(F23*$B$5)/G23</f>
        <v/>
      </c>
      <c r="N23" s="17" t="n"/>
    </row>
    <row r="24">
      <c r="A24" s="2" t="n">
        <v>17</v>
      </c>
      <c r="B24" s="2" t="n">
        <v>160</v>
      </c>
      <c r="C24" s="4">
        <f>B24/1000</f>
        <v/>
      </c>
      <c r="D24" s="13" t="n">
        <v>34.5</v>
      </c>
      <c r="E24" s="13" t="n">
        <v>68.40000000000001</v>
      </c>
      <c r="F24" s="13" t="n">
        <v>93.8</v>
      </c>
      <c r="G24" s="4">
        <f>36*(1-((C24)/(3)))</f>
        <v/>
      </c>
      <c r="H24" s="4">
        <f>(D24*$B$5)/G24</f>
        <v/>
      </c>
      <c r="I24" s="4">
        <f>(E24*$B$5)/G24</f>
        <v/>
      </c>
      <c r="J24" s="4">
        <f>(F24*$B$5)/G24</f>
        <v/>
      </c>
      <c r="N24" s="17" t="n"/>
    </row>
    <row r="25">
      <c r="A25" s="2" t="n">
        <v>18</v>
      </c>
      <c r="B25" s="2" t="n">
        <v>170</v>
      </c>
      <c r="C25" s="4">
        <f>B25/1000</f>
        <v/>
      </c>
      <c r="D25" s="13" t="n">
        <v>35.1</v>
      </c>
      <c r="E25" s="13" t="n">
        <v>70.3</v>
      </c>
      <c r="F25" s="13" t="n">
        <v>97.40000000000001</v>
      </c>
      <c r="G25" s="4">
        <f>36*(1-((C25)/(3)))</f>
        <v/>
      </c>
      <c r="H25" s="4">
        <f>(D25*$B$5)/G25</f>
        <v/>
      </c>
      <c r="I25" s="4">
        <f>(E25*$B$5)/G25</f>
        <v/>
      </c>
      <c r="J25" s="4">
        <f>(F25*$B$5)/G25</f>
        <v/>
      </c>
      <c r="N25" s="17" t="n"/>
    </row>
    <row r="26">
      <c r="A26" s="2" t="n">
        <v>19</v>
      </c>
      <c r="B26" s="2" t="n">
        <v>180</v>
      </c>
      <c r="C26" s="4">
        <f>B26/1000</f>
        <v/>
      </c>
      <c r="D26" s="13" t="n">
        <v>35.3</v>
      </c>
      <c r="E26" s="13" t="n">
        <v>71</v>
      </c>
      <c r="F26" s="13" t="n">
        <v>100.3</v>
      </c>
      <c r="G26" s="4">
        <f>36*(1-((C26)/(3)))</f>
        <v/>
      </c>
      <c r="H26" s="4">
        <f>(D26*$B$5)/G26</f>
        <v/>
      </c>
      <c r="I26" s="4">
        <f>(E26*$B$5)/G26</f>
        <v/>
      </c>
      <c r="J26" s="4">
        <f>(F26*$B$5)/G26</f>
        <v/>
      </c>
      <c r="N26" s="17" t="n"/>
    </row>
    <row r="27">
      <c r="A27" s="2" t="n">
        <v>20</v>
      </c>
      <c r="B27" s="2" t="n">
        <v>190</v>
      </c>
      <c r="C27" s="4">
        <f>B27/1000</f>
        <v/>
      </c>
      <c r="D27" s="13" t="n">
        <v>36.6</v>
      </c>
      <c r="E27" s="13" t="n">
        <v>72</v>
      </c>
      <c r="F27" s="13" t="n">
        <v>99.90000000000001</v>
      </c>
      <c r="G27" s="4">
        <f>36*(1-((C27)/(3)))</f>
        <v/>
      </c>
      <c r="H27" s="4">
        <f>(D27*$B$5)/G27</f>
        <v/>
      </c>
      <c r="I27" s="4">
        <f>(E27*$B$5)/G27</f>
        <v/>
      </c>
      <c r="J27" s="4">
        <f>(F27*$B$5)/G27</f>
        <v/>
      </c>
      <c r="N27" s="17" t="n"/>
    </row>
    <row r="28">
      <c r="A28" s="2" t="n">
        <v>21</v>
      </c>
      <c r="B28" s="2" t="n">
        <v>200</v>
      </c>
      <c r="C28" s="4">
        <f>B28/1000</f>
        <v/>
      </c>
      <c r="D28" s="14" t="n">
        <v>36.4</v>
      </c>
      <c r="E28" s="14" t="n">
        <v>70.5</v>
      </c>
      <c r="F28" s="14" t="n">
        <v>99.59999999999999</v>
      </c>
      <c r="G28" s="4">
        <f>36*(1-((C28)/(3)))</f>
        <v/>
      </c>
      <c r="H28" s="4">
        <f>(D28*$B$5)/G28</f>
        <v/>
      </c>
      <c r="I28" s="4">
        <f>(E28*$B$5)/G28</f>
        <v/>
      </c>
      <c r="J28" s="4">
        <f>(F28*$B$5)/G28</f>
        <v/>
      </c>
      <c r="N28" s="17" t="n"/>
    </row>
    <row r="29">
      <c r="A29" s="2" t="n">
        <v>22</v>
      </c>
      <c r="B29" s="2" t="n">
        <v>210</v>
      </c>
      <c r="C29" s="4">
        <f>B29/1000</f>
        <v/>
      </c>
      <c r="D29" s="14" t="n">
        <v>36.3</v>
      </c>
      <c r="E29" s="14" t="n">
        <v>71.5</v>
      </c>
      <c r="F29" s="14" t="n">
        <v>97.40000000000001</v>
      </c>
      <c r="G29" s="4">
        <f>36*(1-((C29)/(3)))</f>
        <v/>
      </c>
      <c r="H29" s="4">
        <f>(D29*$B$5)/G29</f>
        <v/>
      </c>
      <c r="I29" s="4">
        <f>(E29*$B$5)/G29</f>
        <v/>
      </c>
      <c r="J29" s="4">
        <f>(F29*$B$5)/G29</f>
        <v/>
      </c>
      <c r="N29" s="17" t="n"/>
    </row>
    <row r="30">
      <c r="A30" s="2" t="n">
        <v>23</v>
      </c>
      <c r="B30" s="2" t="n">
        <v>220</v>
      </c>
      <c r="C30" s="4">
        <f>B30/1000</f>
        <v/>
      </c>
      <c r="D30" s="14" t="n">
        <v>36.2</v>
      </c>
      <c r="E30" s="14" t="n">
        <v>71.2</v>
      </c>
      <c r="F30" s="14" t="n">
        <v>98.3</v>
      </c>
      <c r="G30" s="4">
        <f>36*(1-((C30)/(3)))</f>
        <v/>
      </c>
      <c r="H30" s="4">
        <f>(D30*$B$5)/G30</f>
        <v/>
      </c>
      <c r="I30" s="4">
        <f>(E30*$B$5)/G30</f>
        <v/>
      </c>
      <c r="J30" s="4">
        <f>(F30*$B$5)/G30</f>
        <v/>
      </c>
      <c r="N30" s="17" t="n"/>
    </row>
    <row r="31">
      <c r="A31" s="2" t="n">
        <v>24</v>
      </c>
      <c r="B31" s="2" t="n">
        <v>230</v>
      </c>
      <c r="C31" s="4">
        <f>B31/1000</f>
        <v/>
      </c>
      <c r="D31" s="14" t="n">
        <v>35.6</v>
      </c>
      <c r="E31" s="14" t="n">
        <v>71</v>
      </c>
      <c r="F31" s="14" t="n">
        <v>98.5</v>
      </c>
      <c r="G31" s="4">
        <f>36*(1-((C31)/(3)))</f>
        <v/>
      </c>
      <c r="H31" s="4">
        <f>(D31*$B$5)/G31</f>
        <v/>
      </c>
      <c r="I31" s="4">
        <f>(E31*$B$5)/G31</f>
        <v/>
      </c>
      <c r="J31" s="4">
        <f>(F31*$B$5)/G31</f>
        <v/>
      </c>
      <c r="N31" s="17" t="n"/>
    </row>
    <row r="32">
      <c r="A32" s="2" t="n">
        <v>25</v>
      </c>
      <c r="B32" s="2" t="n">
        <v>240</v>
      </c>
      <c r="C32" s="4">
        <f>B32/1000</f>
        <v/>
      </c>
      <c r="D32" s="14" t="n">
        <v>35.2</v>
      </c>
      <c r="E32" s="14" t="n">
        <v>70.59999999999999</v>
      </c>
      <c r="F32" s="14" t="n">
        <v>98.2</v>
      </c>
      <c r="G32" s="4">
        <f>36*(1-((C32)/(3)))</f>
        <v/>
      </c>
      <c r="H32" s="4">
        <f>(D32*$B$5)/G32</f>
        <v/>
      </c>
      <c r="I32" s="4">
        <f>(E32*$B$5)/G32</f>
        <v/>
      </c>
      <c r="J32" s="4">
        <f>(F32*$B$5)/G32</f>
        <v/>
      </c>
      <c r="N32" s="17" t="n"/>
    </row>
    <row r="33">
      <c r="A33" s="2" t="n">
        <v>26</v>
      </c>
      <c r="B33" s="2" t="n">
        <v>250</v>
      </c>
      <c r="C33" s="4">
        <f>B33/1000</f>
        <v/>
      </c>
      <c r="D33" s="14" t="n">
        <v>34.8</v>
      </c>
      <c r="E33" s="14" t="n">
        <v>69.3</v>
      </c>
      <c r="F33" s="14" t="n">
        <v>97.8</v>
      </c>
      <c r="G33" s="4">
        <f>36*(1-((C33)/(3)))</f>
        <v/>
      </c>
      <c r="H33" s="4">
        <f>(D33*$B$5)/G33</f>
        <v/>
      </c>
      <c r="I33" s="4">
        <f>(E33*$B$5)/G33</f>
        <v/>
      </c>
      <c r="J33" s="4">
        <f>(F33*$B$5)/G33</f>
        <v/>
      </c>
      <c r="N33" s="17" t="n"/>
    </row>
    <row r="34">
      <c r="A34" s="2" t="n">
        <v>27</v>
      </c>
      <c r="B34" s="2" t="n">
        <v>260</v>
      </c>
      <c r="C34" s="4">
        <f>B34/1000</f>
        <v/>
      </c>
      <c r="D34" s="14" t="n">
        <v>35</v>
      </c>
      <c r="E34" s="14" t="n">
        <v>70.2</v>
      </c>
      <c r="F34" s="14" t="n">
        <v>95.3</v>
      </c>
      <c r="G34" s="4">
        <f>36*(1-((C34)/(3)))</f>
        <v/>
      </c>
      <c r="H34" s="4">
        <f>(D34*$B$5)/G34</f>
        <v/>
      </c>
      <c r="I34" s="4">
        <f>(E34*$B$5)/G34</f>
        <v/>
      </c>
      <c r="J34" s="4">
        <f>(F34*$B$5)/G34</f>
        <v/>
      </c>
      <c r="N34" s="19" t="n"/>
    </row>
    <row r="35">
      <c r="A35" s="2" t="n">
        <v>28</v>
      </c>
      <c r="B35" s="2" t="n">
        <v>270</v>
      </c>
      <c r="C35" s="4">
        <f>B35/1000</f>
        <v/>
      </c>
      <c r="D35" s="14" t="n">
        <v>35</v>
      </c>
      <c r="E35" s="14" t="n">
        <v>68.59999999999999</v>
      </c>
      <c r="F35" s="14" t="n">
        <v>97.09999999999999</v>
      </c>
      <c r="G35" s="4">
        <f>36*(1-((C35)/(3)))</f>
        <v/>
      </c>
      <c r="H35" s="4">
        <f>(D35*$B$5)/G35</f>
        <v/>
      </c>
      <c r="I35" s="4">
        <f>(E35*$B$5)/G35</f>
        <v/>
      </c>
      <c r="J35" s="4">
        <f>(F35*$B$5)/G35</f>
        <v/>
      </c>
    </row>
    <row r="36">
      <c r="A36" s="2" t="n">
        <v>29</v>
      </c>
      <c r="B36" s="2" t="n">
        <v>280</v>
      </c>
      <c r="C36" s="4">
        <f>B36/1000</f>
        <v/>
      </c>
      <c r="D36" s="14" t="n">
        <v>35</v>
      </c>
      <c r="E36" s="14" t="n">
        <v>69.59999999999999</v>
      </c>
      <c r="F36" s="14" t="n">
        <v>96.09999999999999</v>
      </c>
      <c r="G36" s="4">
        <f>36*(1-((C36)/(3)))</f>
        <v/>
      </c>
      <c r="H36" s="4">
        <f>(D36*$B$5)/G36</f>
        <v/>
      </c>
      <c r="I36" s="4">
        <f>(E36*$B$5)/G36</f>
        <v/>
      </c>
      <c r="J36" s="4">
        <f>(F36*$B$5)/G36</f>
        <v/>
      </c>
    </row>
    <row r="37">
      <c r="A37" s="2" t="n">
        <v>30</v>
      </c>
      <c r="B37" s="2" t="n">
        <v>290</v>
      </c>
      <c r="C37" s="4">
        <f>B37/1000</f>
        <v/>
      </c>
      <c r="D37" s="14" t="n">
        <v>34.8</v>
      </c>
      <c r="E37" s="14" t="n">
        <v>69.2</v>
      </c>
      <c r="F37" s="14" t="n">
        <v>93.7</v>
      </c>
      <c r="G37" s="4">
        <f>36*(1-((C37)/(3)))</f>
        <v/>
      </c>
      <c r="H37" s="4">
        <f>(D37*$B$5)/G37</f>
        <v/>
      </c>
      <c r="I37" s="4">
        <f>(E37*$B$5)/G37</f>
        <v/>
      </c>
      <c r="J37" s="4">
        <f>(F37*$B$5)/G37</f>
        <v/>
      </c>
    </row>
    <row r="38">
      <c r="A38" s="2" t="n">
        <v>31</v>
      </c>
      <c r="B38" s="2" t="n">
        <v>300</v>
      </c>
      <c r="C38" s="4">
        <f>B38/1000</f>
        <v/>
      </c>
      <c r="D38" s="14" t="n">
        <v>35.1</v>
      </c>
      <c r="E38" s="14" t="n">
        <v>66.8</v>
      </c>
      <c r="F38" s="14" t="n">
        <v>95.09999999999999</v>
      </c>
      <c r="G38" s="4">
        <f>36*(1-((C38)/(3)))</f>
        <v/>
      </c>
      <c r="H38" s="4">
        <f>(D38*$B$5)/G38</f>
        <v/>
      </c>
      <c r="I38" s="4">
        <f>(E38*$B$5)/G38</f>
        <v/>
      </c>
      <c r="J38" s="4">
        <f>(F38*$B$5)/G38</f>
        <v/>
      </c>
    </row>
    <row r="39">
      <c r="A39" s="2" t="n">
        <v>32</v>
      </c>
      <c r="B39" s="2" t="n">
        <v>310</v>
      </c>
      <c r="C39" s="4">
        <f>B39/1000</f>
        <v/>
      </c>
      <c r="D39" s="14" t="n">
        <v>34.9</v>
      </c>
      <c r="E39" s="14" t="n">
        <v>68.90000000000001</v>
      </c>
      <c r="F39" s="14" t="n">
        <v>92.2</v>
      </c>
      <c r="G39" s="4">
        <f>36*(1-((C39)/(3)))</f>
        <v/>
      </c>
      <c r="H39" s="4">
        <f>(D39*$B$5)/G39</f>
        <v/>
      </c>
      <c r="I39" s="4">
        <f>(E39*$B$5)/G39</f>
        <v/>
      </c>
      <c r="J39" s="4">
        <f>(F39*$B$5)/G39</f>
        <v/>
      </c>
    </row>
    <row r="40">
      <c r="A40" s="2" t="n">
        <v>33</v>
      </c>
      <c r="B40" s="2" t="n">
        <v>320</v>
      </c>
      <c r="C40" s="4">
        <f>B40/1000</f>
        <v/>
      </c>
      <c r="D40" s="14" t="n">
        <v>33.7</v>
      </c>
      <c r="E40" s="14" t="n">
        <v>66.90000000000001</v>
      </c>
      <c r="F40" s="14" t="n">
        <v>93.8</v>
      </c>
      <c r="G40" s="4">
        <f>36*(1-((C40)/(3)))</f>
        <v/>
      </c>
      <c r="H40" s="4">
        <f>(D40*$B$5)/G40</f>
        <v/>
      </c>
      <c r="I40" s="4">
        <f>(E40*$B$5)/G40</f>
        <v/>
      </c>
      <c r="J40" s="4">
        <f>(F40*$B$5)/G40</f>
        <v/>
      </c>
    </row>
    <row r="41">
      <c r="A41" s="2" t="n">
        <v>34</v>
      </c>
      <c r="B41" s="2" t="n">
        <v>330</v>
      </c>
      <c r="C41" s="4">
        <f>B41/1000</f>
        <v/>
      </c>
      <c r="D41" s="14" t="n">
        <v>34.5</v>
      </c>
      <c r="E41" s="14" t="n">
        <v>68.2</v>
      </c>
      <c r="F41" s="14" t="n">
        <v>94.2</v>
      </c>
      <c r="G41" s="4">
        <f>36*(1-((C41)/(3)))</f>
        <v/>
      </c>
      <c r="H41" s="4">
        <f>(D41*$B$5)/G41</f>
        <v/>
      </c>
      <c r="I41" s="4">
        <f>(E41*$B$5)/G41</f>
        <v/>
      </c>
      <c r="J41" s="4">
        <f>(F41*$B$5)/G41</f>
        <v/>
      </c>
    </row>
    <row r="42">
      <c r="A42" s="2" t="n">
        <v>35</v>
      </c>
      <c r="B42" s="2" t="n">
        <v>340</v>
      </c>
      <c r="C42" s="4">
        <f>B42/1000</f>
        <v/>
      </c>
      <c r="D42" s="14" t="n">
        <v>33.3</v>
      </c>
      <c r="E42" s="14" t="n">
        <v>67.3</v>
      </c>
      <c r="F42" s="14" t="n">
        <v>91.3</v>
      </c>
      <c r="G42" s="4">
        <f>36*(1-((C42)/(3)))</f>
        <v/>
      </c>
      <c r="H42" s="4">
        <f>(D42*$B$5)/G42</f>
        <v/>
      </c>
      <c r="I42" s="4">
        <f>(E42*$B$5)/G42</f>
        <v/>
      </c>
      <c r="J42" s="4">
        <f>(F42*$B$5)/G42</f>
        <v/>
      </c>
    </row>
    <row r="43">
      <c r="A43" s="2" t="n">
        <v>36</v>
      </c>
      <c r="B43" s="2" t="n">
        <v>350</v>
      </c>
      <c r="C43" s="4">
        <f>B43/1000</f>
        <v/>
      </c>
      <c r="D43" s="14" t="n">
        <v>33.8</v>
      </c>
      <c r="E43" s="14" t="n">
        <v>63.9</v>
      </c>
      <c r="F43" s="14" t="n">
        <v>90.59999999999999</v>
      </c>
      <c r="G43" s="4">
        <f>36*(1-((C43)/(3)))</f>
        <v/>
      </c>
      <c r="H43" s="4">
        <f>(D43*$B$5)/G43</f>
        <v/>
      </c>
      <c r="I43" s="4">
        <f>(E43*$B$5)/G43</f>
        <v/>
      </c>
      <c r="J43" s="4">
        <f>(F43*$B$5)/G43</f>
        <v/>
      </c>
    </row>
    <row r="44">
      <c r="A44" s="2" t="n">
        <v>37</v>
      </c>
      <c r="B44" s="2" t="n">
        <v>360</v>
      </c>
      <c r="C44" s="4">
        <f>B44/1000</f>
        <v/>
      </c>
      <c r="D44" s="14" t="n">
        <v>33.6</v>
      </c>
      <c r="E44" s="14" t="n">
        <v>65.7</v>
      </c>
      <c r="F44" s="14" t="n">
        <v>93.90000000000001</v>
      </c>
      <c r="G44" s="4">
        <f>36*(1-((C44)/(3)))</f>
        <v/>
      </c>
      <c r="H44" s="4">
        <f>(D44*$B$5)/G44</f>
        <v/>
      </c>
      <c r="I44" s="4">
        <f>(E44*$B$5)/G44</f>
        <v/>
      </c>
      <c r="J44" s="4">
        <f>(F44*$B$5)/G44</f>
        <v/>
      </c>
    </row>
    <row r="45">
      <c r="A45" s="2" t="n">
        <v>38</v>
      </c>
      <c r="B45" s="2" t="n">
        <v>370</v>
      </c>
      <c r="C45" s="4">
        <f>B45/1000</f>
        <v/>
      </c>
      <c r="D45" s="14" t="n">
        <v>32.4</v>
      </c>
      <c r="E45" s="14" t="n">
        <v>65.59999999999999</v>
      </c>
      <c r="F45" s="14" t="n">
        <v>89.90000000000001</v>
      </c>
      <c r="G45" s="4">
        <f>36*(1-((C45)/(3)))</f>
        <v/>
      </c>
      <c r="H45" s="4">
        <f>(D45*$B$5)/G45</f>
        <v/>
      </c>
      <c r="I45" s="4">
        <f>(E45*$B$5)/G45</f>
        <v/>
      </c>
      <c r="J45" s="4">
        <f>(F45*$B$5)/G45</f>
        <v/>
      </c>
    </row>
    <row r="46">
      <c r="A46" s="2" t="n">
        <v>39</v>
      </c>
      <c r="B46" s="2" t="n">
        <v>380</v>
      </c>
      <c r="C46" s="4">
        <f>B46/1000</f>
        <v/>
      </c>
      <c r="D46" s="14" t="n">
        <v>33.4</v>
      </c>
      <c r="E46" s="14" t="n">
        <v>62.3</v>
      </c>
      <c r="F46" s="14" t="n">
        <v>92.09999999999999</v>
      </c>
      <c r="G46" s="4">
        <f>36*(1-((C46)/(3)))</f>
        <v/>
      </c>
      <c r="H46" s="4">
        <f>(D46*$B$5)/G46</f>
        <v/>
      </c>
      <c r="I46" s="4">
        <f>(E46*$B$5)/G46</f>
        <v/>
      </c>
      <c r="J46" s="4">
        <f>(F46*$B$5)/G46</f>
        <v/>
      </c>
    </row>
    <row r="47">
      <c r="A47" s="2" t="n">
        <v>40</v>
      </c>
      <c r="B47" s="2" t="n">
        <v>390</v>
      </c>
      <c r="C47" s="4">
        <f>B47/1000</f>
        <v/>
      </c>
      <c r="D47" s="14" t="n">
        <v>31.8</v>
      </c>
      <c r="E47" s="14" t="n">
        <v>62.4</v>
      </c>
      <c r="F47" s="14" t="n">
        <v>88.2</v>
      </c>
      <c r="G47" s="4">
        <f>36*(1-((C47)/(3)))</f>
        <v/>
      </c>
      <c r="H47" s="4">
        <f>(D47*$B$5)/G47</f>
        <v/>
      </c>
      <c r="I47" s="4">
        <f>(E47*$B$5)/G47</f>
        <v/>
      </c>
      <c r="J47" s="4">
        <f>(F47*$B$5)/G47</f>
        <v/>
      </c>
    </row>
    <row r="48">
      <c r="A48" s="2" t="n">
        <v>41</v>
      </c>
      <c r="B48" s="2" t="n">
        <v>400</v>
      </c>
      <c r="C48" s="4">
        <f>B48/1000</f>
        <v/>
      </c>
      <c r="D48" s="14" t="n">
        <v>31.4</v>
      </c>
      <c r="E48" s="14" t="n">
        <v>63.3</v>
      </c>
      <c r="F48" s="14" t="n">
        <v>87.8</v>
      </c>
      <c r="G48" s="4">
        <f>36*(1-((C48)/(3)))</f>
        <v/>
      </c>
      <c r="H48" s="4">
        <f>(D48*$B$5)/G48</f>
        <v/>
      </c>
      <c r="I48" s="4">
        <f>(E48*$B$5)/G48</f>
        <v/>
      </c>
      <c r="J48" s="4">
        <f>(F48*$B$5)/G48</f>
        <v/>
      </c>
    </row>
    <row r="49">
      <c r="A49" s="2" t="n">
        <v>42</v>
      </c>
      <c r="B49" s="2" t="n">
        <v>410</v>
      </c>
      <c r="C49" s="4">
        <f>B49/1000</f>
        <v/>
      </c>
      <c r="D49" s="14" t="n">
        <v>30.8</v>
      </c>
      <c r="E49" s="14" t="n">
        <v>63</v>
      </c>
      <c r="F49" s="14" t="n">
        <v>85</v>
      </c>
      <c r="G49" s="4">
        <f>36*(1-((C49)/(3)))</f>
        <v/>
      </c>
      <c r="H49" s="4">
        <f>(D49*$B$5)/G49</f>
        <v/>
      </c>
      <c r="I49" s="4">
        <f>(E49*$B$5)/G49</f>
        <v/>
      </c>
      <c r="J49" s="4">
        <f>(F49*$B$5)/G49</f>
        <v/>
      </c>
    </row>
    <row r="50">
      <c r="A50" s="2" t="n">
        <v>43</v>
      </c>
      <c r="B50" s="2" t="n">
        <v>420</v>
      </c>
      <c r="C50" s="4">
        <f>B50/1000</f>
        <v/>
      </c>
      <c r="D50" s="14" t="n">
        <v>31.3</v>
      </c>
      <c r="E50" s="14" t="n">
        <v>64.2</v>
      </c>
      <c r="F50" s="14" t="n">
        <v>85.8</v>
      </c>
      <c r="G50" s="4">
        <f>36*(1-((C50)/(3)))</f>
        <v/>
      </c>
      <c r="H50" s="4">
        <f>(D50*$B$5)/G50</f>
        <v/>
      </c>
      <c r="I50" s="4">
        <f>(E50*$B$5)/G50</f>
        <v/>
      </c>
      <c r="J50" s="4">
        <f>(F50*$B$5)/G50</f>
        <v/>
      </c>
    </row>
    <row r="51">
      <c r="A51" s="2" t="n">
        <v>44</v>
      </c>
      <c r="B51" s="2" t="n">
        <v>430</v>
      </c>
      <c r="C51" s="4">
        <f>B51/1000</f>
        <v/>
      </c>
      <c r="D51" s="14" t="n">
        <v>30.9</v>
      </c>
      <c r="E51" s="14" t="n">
        <v>62.7</v>
      </c>
      <c r="F51" s="14" t="n">
        <v>82.7</v>
      </c>
      <c r="G51" s="4">
        <f>36*(1-((C51)/(3)))</f>
        <v/>
      </c>
      <c r="H51" s="4">
        <f>(D51*$B$5)/G51</f>
        <v/>
      </c>
      <c r="I51" s="4">
        <f>(E51*$B$5)/G51</f>
        <v/>
      </c>
      <c r="J51" s="4">
        <f>(F51*$B$5)/G51</f>
        <v/>
      </c>
    </row>
    <row r="52">
      <c r="A52" s="2" t="n">
        <v>45</v>
      </c>
      <c r="B52" s="2" t="n">
        <v>440</v>
      </c>
      <c r="C52" s="4">
        <f>B52/1000</f>
        <v/>
      </c>
      <c r="D52" s="14" t="n">
        <v>30.4</v>
      </c>
      <c r="E52" s="14" t="n">
        <v>61.9</v>
      </c>
      <c r="F52" s="14" t="n">
        <v>82.7</v>
      </c>
      <c r="G52" s="4">
        <f>36*(1-((C52)/(3)))</f>
        <v/>
      </c>
      <c r="H52" s="4">
        <f>(D52*$B$5)/G52</f>
        <v/>
      </c>
      <c r="I52" s="4">
        <f>(E52*$B$5)/G52</f>
        <v/>
      </c>
      <c r="J52" s="4">
        <f>(F52*$B$5)/G52</f>
        <v/>
      </c>
    </row>
    <row r="53">
      <c r="A53" s="2" t="n">
        <v>46</v>
      </c>
      <c r="B53" s="2" t="n">
        <v>450</v>
      </c>
      <c r="C53" s="4">
        <f>B53/1000</f>
        <v/>
      </c>
      <c r="D53" s="14" t="n">
        <v>29.3</v>
      </c>
      <c r="E53" s="14" t="n">
        <v>61.3</v>
      </c>
      <c r="F53" s="14" t="n">
        <v>84</v>
      </c>
      <c r="G53" s="4">
        <f>36*(1-((C53)/(3)))</f>
        <v/>
      </c>
      <c r="H53" s="4">
        <f>(D53*$B$5)/G53</f>
        <v/>
      </c>
      <c r="I53" s="4">
        <f>(E53*$B$5)/G53</f>
        <v/>
      </c>
      <c r="J53" s="4">
        <f>(F53*$B$5)/G53</f>
        <v/>
      </c>
    </row>
    <row r="54">
      <c r="A54" s="2" t="n">
        <v>47</v>
      </c>
      <c r="B54" s="2" t="n">
        <v>460</v>
      </c>
      <c r="C54" s="4">
        <f>B54/1000</f>
        <v/>
      </c>
      <c r="D54" s="14" t="n">
        <v>30.9</v>
      </c>
      <c r="E54" s="14" t="n">
        <v>61.2</v>
      </c>
      <c r="F54" s="14" t="n">
        <v>81.3</v>
      </c>
      <c r="G54" s="4">
        <f>36*(1-((C54)/(3)))</f>
        <v/>
      </c>
      <c r="H54" s="4">
        <f>(D54*$B$5)/G54</f>
        <v/>
      </c>
      <c r="I54" s="4">
        <f>(E54*$B$5)/G54</f>
        <v/>
      </c>
      <c r="J54" s="4">
        <f>(F54*$B$5)/G54</f>
        <v/>
      </c>
    </row>
    <row r="55">
      <c r="A55" s="2" t="n">
        <v>48</v>
      </c>
      <c r="B55" s="2" t="n">
        <v>470</v>
      </c>
      <c r="C55" s="4">
        <f>B55/1000</f>
        <v/>
      </c>
      <c r="D55" s="14" t="n">
        <v>29</v>
      </c>
      <c r="E55" s="14" t="n">
        <v>58</v>
      </c>
      <c r="F55" s="14" t="n">
        <v>79.2</v>
      </c>
      <c r="G55" s="4">
        <f>36*(1-((C55)/(3)))</f>
        <v/>
      </c>
      <c r="H55" s="4">
        <f>(D55*$B$5)/G55</f>
        <v/>
      </c>
      <c r="I55" s="4">
        <f>(E55*$B$5)/G55</f>
        <v/>
      </c>
      <c r="J55" s="4">
        <f>(F55*$B$5)/G55</f>
        <v/>
      </c>
    </row>
    <row r="56">
      <c r="A56" s="2" t="n">
        <v>49</v>
      </c>
      <c r="B56" s="2" t="n">
        <v>480</v>
      </c>
      <c r="C56" s="4">
        <f>B56/1000</f>
        <v/>
      </c>
      <c r="D56" s="14" t="n">
        <v>30.4</v>
      </c>
      <c r="E56" s="14" t="n">
        <v>58.4</v>
      </c>
      <c r="F56" s="14" t="n">
        <v>76.5</v>
      </c>
      <c r="G56" s="4">
        <f>36*(1-((C56)/(3)))</f>
        <v/>
      </c>
      <c r="H56" s="4">
        <f>(D56*$B$5)/G56</f>
        <v/>
      </c>
      <c r="I56" s="4">
        <f>(E56*$B$5)/G56</f>
        <v/>
      </c>
      <c r="J56" s="4">
        <f>(F56*$B$5)/G56</f>
        <v/>
      </c>
    </row>
    <row r="57">
      <c r="A57" s="2" t="n">
        <v>50</v>
      </c>
      <c r="B57" s="2" t="n">
        <v>490</v>
      </c>
      <c r="C57" s="4">
        <f>B57/1000</f>
        <v/>
      </c>
      <c r="D57" s="14" t="n">
        <v>28.7</v>
      </c>
      <c r="E57" s="14" t="n">
        <v>58</v>
      </c>
      <c r="F57" s="14" t="n">
        <v>77.40000000000001</v>
      </c>
      <c r="G57" s="4">
        <f>36*(1-((C57)/(3)))</f>
        <v/>
      </c>
      <c r="H57" s="4">
        <f>(D57*$B$5)/G57</f>
        <v/>
      </c>
      <c r="I57" s="4">
        <f>(E57*$B$5)/G57</f>
        <v/>
      </c>
      <c r="J57" s="4">
        <f>(F57*$B$5)/G57</f>
        <v/>
      </c>
    </row>
    <row r="58">
      <c r="A58" s="2" t="n">
        <v>51</v>
      </c>
      <c r="B58" s="2" t="n">
        <v>500</v>
      </c>
      <c r="C58" s="4">
        <f>B58/1000</f>
        <v/>
      </c>
      <c r="D58" s="14" t="n">
        <v>28.8</v>
      </c>
      <c r="E58" s="14" t="n">
        <v>56.4</v>
      </c>
      <c r="F58" s="14" t="n">
        <v>73.8</v>
      </c>
      <c r="G58" s="4">
        <f>36*(1-((C58)/(3)))</f>
        <v/>
      </c>
      <c r="H58" s="4">
        <f>(D58*$B$5)/G58</f>
        <v/>
      </c>
      <c r="I58" s="4">
        <f>(E58*$B$5)/G58</f>
        <v/>
      </c>
      <c r="J58" s="4">
        <f>(F58*$B$5)/G58</f>
        <v/>
      </c>
    </row>
    <row r="59">
      <c r="A59" s="2" t="n">
        <v>52</v>
      </c>
      <c r="B59" s="2" t="n">
        <v>510</v>
      </c>
      <c r="C59" s="4">
        <f>B59/1000</f>
        <v/>
      </c>
      <c r="D59" s="14" t="n">
        <v>28.5</v>
      </c>
      <c r="E59" s="14" t="n">
        <v>56.9</v>
      </c>
      <c r="F59" s="14" t="n">
        <v>75.8</v>
      </c>
      <c r="G59" s="4">
        <f>36*(1-((C59)/(3)))</f>
        <v/>
      </c>
      <c r="H59" s="4">
        <f>(D59*$B$5)/G59</f>
        <v/>
      </c>
      <c r="I59" s="4">
        <f>(E59*$B$5)/G59</f>
        <v/>
      </c>
      <c r="J59" s="4">
        <f>(F59*$B$5)/G59</f>
        <v/>
      </c>
    </row>
    <row r="60">
      <c r="A60" s="2" t="n">
        <v>53</v>
      </c>
      <c r="B60" s="2" t="n">
        <v>520</v>
      </c>
      <c r="C60" s="4">
        <f>B60/1000</f>
        <v/>
      </c>
      <c r="D60" s="14" t="n">
        <v>28.1</v>
      </c>
      <c r="E60" s="14" t="n">
        <v>54.4</v>
      </c>
      <c r="F60" s="14" t="n">
        <v>71.59999999999999</v>
      </c>
      <c r="G60" s="4">
        <f>36*(1-((C60)/(3)))</f>
        <v/>
      </c>
      <c r="H60" s="4">
        <f>(D60*$B$5)/G60</f>
        <v/>
      </c>
      <c r="I60" s="4">
        <f>(E60*$B$5)/G60</f>
        <v/>
      </c>
      <c r="J60" s="4">
        <f>(F60*$B$5)/G60</f>
        <v/>
      </c>
    </row>
    <row r="61">
      <c r="A61" s="2" t="n">
        <v>54</v>
      </c>
      <c r="B61" s="2" t="n">
        <v>530</v>
      </c>
      <c r="C61" s="4">
        <f>B61/1000</f>
        <v/>
      </c>
      <c r="D61" s="14" t="n">
        <v>27.9</v>
      </c>
      <c r="E61" s="14" t="n">
        <v>57.2</v>
      </c>
      <c r="F61" s="14" t="n">
        <v>72.40000000000001</v>
      </c>
      <c r="G61" s="4">
        <f>36*(1-((C61)/(3)))</f>
        <v/>
      </c>
      <c r="H61" s="4">
        <f>(D61*$B$5)/G61</f>
        <v/>
      </c>
      <c r="I61" s="4">
        <f>(E61*$B$5)/G61</f>
        <v/>
      </c>
      <c r="J61" s="4">
        <f>(F61*$B$5)/G61</f>
        <v/>
      </c>
    </row>
    <row r="62">
      <c r="A62" s="2" t="n">
        <v>55</v>
      </c>
      <c r="B62" s="2" t="n">
        <v>540</v>
      </c>
      <c r="C62" s="4">
        <f>B62/1000</f>
        <v/>
      </c>
      <c r="D62" s="14" t="n">
        <v>26.6</v>
      </c>
      <c r="E62" s="14" t="n">
        <v>56.3</v>
      </c>
      <c r="F62" s="14" t="n">
        <v>71.7</v>
      </c>
      <c r="G62" s="4">
        <f>36*(1-((C62)/(3)))</f>
        <v/>
      </c>
      <c r="H62" s="4">
        <f>(D62*$B$5)/G62</f>
        <v/>
      </c>
      <c r="I62" s="4">
        <f>(E62*$B$5)/G62</f>
        <v/>
      </c>
      <c r="J62" s="4">
        <f>(F62*$B$5)/G62</f>
        <v/>
      </c>
    </row>
    <row r="63">
      <c r="A63" s="2" t="n">
        <v>56</v>
      </c>
      <c r="B63" s="2" t="n">
        <v>550</v>
      </c>
      <c r="C63" s="4">
        <f>B63/1000</f>
        <v/>
      </c>
      <c r="D63" s="14" t="n">
        <v>27.2</v>
      </c>
      <c r="E63" s="14" t="n">
        <v>52.1</v>
      </c>
      <c r="F63" s="14" t="n">
        <v>67.5</v>
      </c>
      <c r="G63" s="4">
        <f>36*(1-((C63)/(3)))</f>
        <v/>
      </c>
      <c r="H63" s="4">
        <f>(D63*$B$5)/G63</f>
        <v/>
      </c>
      <c r="I63" s="4">
        <f>(E63*$B$5)/G63</f>
        <v/>
      </c>
      <c r="J63" s="4">
        <f>(F63*$B$5)/G63</f>
        <v/>
      </c>
    </row>
    <row r="64">
      <c r="A64" s="2" t="n">
        <v>57</v>
      </c>
      <c r="B64" s="2" t="n">
        <v>560</v>
      </c>
      <c r="C64" s="4">
        <f>B64/1000</f>
        <v/>
      </c>
      <c r="D64" s="14" t="n">
        <v>26.1</v>
      </c>
      <c r="E64" s="14" t="n">
        <v>53.1</v>
      </c>
      <c r="F64" s="14" t="n">
        <v>69.59999999999999</v>
      </c>
      <c r="G64" s="4">
        <f>36*(1-((C64)/(3)))</f>
        <v/>
      </c>
      <c r="H64" s="4">
        <f>(D64*$B$5)/G64</f>
        <v/>
      </c>
      <c r="I64" s="4">
        <f>(E64*$B$5)/G64</f>
        <v/>
      </c>
      <c r="J64" s="4">
        <f>(F64*$B$5)/G64</f>
        <v/>
      </c>
    </row>
    <row r="65">
      <c r="A65" s="2" t="n">
        <v>58</v>
      </c>
      <c r="B65" s="2" t="n">
        <v>570</v>
      </c>
      <c r="C65" s="4">
        <f>B65/1000</f>
        <v/>
      </c>
      <c r="D65" s="14" t="n">
        <v>26.8</v>
      </c>
      <c r="E65" s="14" t="n">
        <v>53.1</v>
      </c>
      <c r="F65" s="14" t="n">
        <v>65.2</v>
      </c>
      <c r="G65" s="4">
        <f>36*(1-((C65)/(3)))</f>
        <v/>
      </c>
      <c r="H65" s="4">
        <f>(D65*$B$5)/G65</f>
        <v/>
      </c>
      <c r="I65" s="4">
        <f>(E65*$B$5)/G65</f>
        <v/>
      </c>
      <c r="J65" s="4">
        <f>(F65*$B$5)/G65</f>
        <v/>
      </c>
    </row>
    <row r="66">
      <c r="A66" s="2" t="n">
        <v>59</v>
      </c>
      <c r="B66" s="2" t="n">
        <v>580</v>
      </c>
      <c r="C66" s="4">
        <f>B66/1000</f>
        <v/>
      </c>
      <c r="D66" s="14" t="n">
        <v>25.7</v>
      </c>
      <c r="E66" s="14" t="n">
        <v>51</v>
      </c>
      <c r="F66" s="14" t="n">
        <v>65.5</v>
      </c>
      <c r="G66" s="4">
        <f>36*(1-((C66)/(3)))</f>
        <v/>
      </c>
      <c r="H66" s="4">
        <f>(D66*$B$5)/G66</f>
        <v/>
      </c>
      <c r="I66" s="4">
        <f>(E66*$B$5)/G66</f>
        <v/>
      </c>
      <c r="J66" s="4">
        <f>(F66*$B$5)/G66</f>
        <v/>
      </c>
    </row>
    <row r="67">
      <c r="A67" s="2" t="n">
        <v>60</v>
      </c>
      <c r="B67" s="2" t="n">
        <v>590</v>
      </c>
      <c r="C67" s="4">
        <f>B67/1000</f>
        <v/>
      </c>
      <c r="D67" s="14" t="n">
        <v>26.3</v>
      </c>
      <c r="E67" s="14" t="n">
        <v>51.9</v>
      </c>
      <c r="F67" s="14" t="n">
        <v>64.09999999999999</v>
      </c>
      <c r="G67" s="4">
        <f>36*(1-((C67)/(3)))</f>
        <v/>
      </c>
      <c r="H67" s="4">
        <f>(D67*$B$5)/G67</f>
        <v/>
      </c>
      <c r="I67" s="4">
        <f>(E67*$B$5)/G67</f>
        <v/>
      </c>
      <c r="J67" s="4">
        <f>(F67*$B$5)/G67</f>
        <v/>
      </c>
    </row>
    <row r="68">
      <c r="A68" s="2" t="n">
        <v>61</v>
      </c>
      <c r="B68" s="2" t="n">
        <v>600</v>
      </c>
      <c r="C68" s="4">
        <f>B68/1000</f>
        <v/>
      </c>
      <c r="D68" s="14" t="n">
        <v>25.1</v>
      </c>
      <c r="E68" s="14" t="n">
        <v>50.9</v>
      </c>
      <c r="F68" s="14" t="n">
        <v>62.8</v>
      </c>
      <c r="G68" s="4">
        <f>36*(1-((C68)/(3)))</f>
        <v/>
      </c>
      <c r="H68" s="4">
        <f>(D68*$B$5)/G68</f>
        <v/>
      </c>
      <c r="I68" s="4">
        <f>(E68*$B$5)/G68</f>
        <v/>
      </c>
      <c r="J68" s="4">
        <f>(F68*$B$5)/G68</f>
        <v/>
      </c>
    </row>
  </sheetData>
  <mergeCells count="5">
    <mergeCell ref="F3:G3"/>
    <mergeCell ref="F4:G4"/>
    <mergeCell ref="F2:G2"/>
    <mergeCell ref="F5:G5"/>
    <mergeCell ref="F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baps</dc:creator>
  <dcterms:created xsi:type="dcterms:W3CDTF">2026-08-05T08:52:29Z</dcterms:created>
  <dcterms:modified xsi:type="dcterms:W3CDTF">2026-09-24T06:37:02Z</dcterms:modified>
  <cp:lastModifiedBy>baps</cp:lastModifiedBy>
</cp:coreProperties>
</file>