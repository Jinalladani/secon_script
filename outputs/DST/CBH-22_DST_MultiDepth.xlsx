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" sheetId="1" state="visible" r:id="rId1"/>
    <sheet name="Depth_1.50m" sheetId="2" state="visible" r:id="rId2"/>
    <sheet name="Depth_3.50m" sheetId="3" state="visible" r:id="rId3"/>
    <sheet name="Depth_4.50m" sheetId="4" state="visible" r:id="rId4"/>
    <sheet name="Depth_6.50m" sheetId="5" state="visible" r:id="rId5"/>
    <sheet name="Depth_7.50m" sheetId="6" state="visible" r:id="rId6"/>
    <sheet name="Depth_9.50m" sheetId="7" state="visible" r:id="rId7"/>
    <sheet name="Depth_10.50m" sheetId="8" state="visible" r:id="rId8"/>
    <sheet name="Depth_12.50m" sheetId="9" state="visible" r:id="rId9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  <vertAlign val="superscript"/>
      <scheme val="minor"/>
    </font>
    <font>
      <name val="Calibri"/>
      <family val="2"/>
      <b val="1"/>
      <color theme="1"/>
      <sz val="11"/>
    </font>
    <font>
      <name val="Calibri"/>
      <family val="2"/>
      <b val="1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 vertical="center"/>
    </xf>
    <xf numFmtId="2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pivotButton="0" quotePrefix="0" xfId="0"/>
    <xf numFmtId="164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2" fontId="0" fillId="0" borderId="0" pivotButton="0" quotePrefix="0" xfId="0"/>
    <xf numFmtId="164" fontId="0" fillId="0" borderId="0" pivotButton="0" quotePrefix="0" xfId="0"/>
    <xf numFmtId="0" fontId="0" fillId="0" borderId="6" pivotButton="0" quotePrefix="0" xfId="0"/>
    <xf numFmtId="0" fontId="0" fillId="0" borderId="3" pivotButton="0" quotePrefix="0" xfId="0"/>
    <xf numFmtId="0" fontId="1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Shear Stress Vs Longitudinal Displacment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114773273919538"/>
          <y val="0.1170938164001672"/>
          <w val="0.5959061869677866"/>
          <h val="0.7619764944414458"/>
        </manualLayout>
      </layout>
      <scatterChart>
        <scatterStyle val="smoothMarker"/>
        <varyColors val="0"/>
        <ser>
          <idx val="0"/>
          <order val="0"/>
          <tx>
            <strRef>
              <f>Template!$H$7</f>
              <strCache>
                <ptCount val="1"/>
                <pt idx="0">
                  <v>Shear Stress at Normal Stress of 0.5 kg/cm2</v>
                </pt>
              </strCache>
            </strRef>
          </tx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Template!$H$8:$H$68</f>
              <numCache>
                <formatCode>0.00</formatCode>
                <ptCount val="61"/>
                <pt idx="0">
                  <v>0.001805555555555556</v>
                </pt>
                <pt idx="1">
                  <v>0.1399608501118568</v>
                </pt>
                <pt idx="2">
                  <v>0.2104448198198198</v>
                </pt>
                <pt idx="3">
                  <v>0.2634637188208617</v>
                </pt>
                <pt idx="4">
                  <v>0.3125713470319635</v>
                </pt>
                <pt idx="5">
                  <v>0.3455459770114943</v>
                </pt>
                <pt idx="6">
                  <v>0.357349537037037</v>
                </pt>
                <pt idx="7">
                  <v>0.3712121212121213</v>
                </pt>
                <pt idx="8">
                  <v>0.3795481220657277</v>
                </pt>
                <pt idx="9">
                  <v>0.3822399527186761</v>
                </pt>
                <pt idx="10">
                  <v>0.3936755952380953</v>
                </pt>
                <pt idx="11">
                  <v>0.4004046762589928</v>
                </pt>
                <pt idx="12">
                  <v>0.4013435990338164</v>
                </pt>
                <pt idx="13">
                  <v>0.4082268856447688</v>
                </pt>
                <pt idx="14">
                  <v>0.417202818627451</v>
                </pt>
                <pt idx="15">
                  <v>0.4243055555555555</v>
                </pt>
                <pt idx="16">
                  <v>0.4264614427860697</v>
                </pt>
                <pt idx="17">
                  <v>0.4337406015037594</v>
                </pt>
                <pt idx="18">
                  <v>0.4421559343434344</v>
                </pt>
                <pt idx="19">
                  <v>0.4455311704834606</v>
                </pt>
                <pt idx="20">
                  <v>0.4510416666666666</v>
                </pt>
                <pt idx="21">
                  <v>0.4524386304909561</v>
                </pt>
                <pt idx="22">
                  <v>0.4612630208333334</v>
                </pt>
                <pt idx="23">
                  <v>0.458497375328084</v>
                </pt>
                <pt idx="24">
                  <v>0.461061507936508</v>
                </pt>
                <pt idx="25">
                  <v>0.4669166666666667</v>
                </pt>
                <pt idx="26">
                  <v>0.4674059139784947</v>
                </pt>
                <pt idx="27">
                  <v>0.4723069105691057</v>
                </pt>
                <pt idx="28">
                  <v>0.4761782786885246</v>
                </pt>
                <pt idx="29">
                  <v>0.4834710743801653</v>
                </pt>
                <pt idx="30">
                  <v>0.4796006944444444</v>
                </pt>
                <pt idx="31">
                  <v>0.4881827731092437</v>
                </pt>
                <pt idx="32">
                  <v>0.4877295197740113</v>
                </pt>
                <pt idx="33">
                  <v>0.4849537037037037</v>
                </pt>
                <pt idx="34">
                  <v>0.4879669540229885</v>
                </pt>
                <pt idx="35">
                  <v>0.4839673913043478</v>
                </pt>
                <pt idx="36">
                  <v>0.4870248538011697</v>
                </pt>
                <pt idx="37">
                  <v>0.4829461651917404</v>
                </pt>
                <pt idx="38">
                  <v>0.4824218750000001</v>
                </pt>
                <pt idx="39">
                  <v>0.485548048048048</v>
                </pt>
                <pt idx="40">
                  <v>0.481344696969697</v>
                </pt>
                <pt idx="41">
                  <v>0.4857607033639144</v>
                </pt>
                <pt idx="42">
                  <v>0.4827353395061729</v>
                </pt>
                <pt idx="43">
                  <v>0.4821845794392524</v>
                </pt>
                <pt idx="44">
                  <v>0.4829009433962264</v>
                </pt>
                <pt idx="45">
                  <v>0.4797619047619048</v>
                </pt>
                <pt idx="46">
                  <v>0.4830729166666667</v>
                </pt>
                <pt idx="47">
                  <v>0.4798745954692556</v>
                </pt>
                <pt idx="48">
                  <v>0.4805964052287582</v>
                </pt>
                <pt idx="49">
                  <v>0.4786509900990099</v>
                </pt>
                <pt idx="50">
                  <v>0.4793749999999999</v>
                </pt>
                <pt idx="51">
                  <v>0.4773779461279462</v>
                </pt>
                <pt idx="52">
                  <v>0.4739583333333333</v>
                </pt>
                <pt idx="53">
                  <v>0.4746563573883162</v>
                </pt>
                <pt idx="54">
                  <v>0.4753689236111112</v>
                </pt>
                <pt idx="55">
                  <v>0.474671052631579</v>
                </pt>
                <pt idx="56">
                  <v>0.4739583333333333</v>
                </pt>
                <pt idx="57">
                  <v>0.4703181003584228</v>
                </pt>
                <pt idx="58">
                  <v>0.4724864130434783</v>
                </pt>
                <pt idx="59">
                  <v>0.4717261904761905</v>
                </pt>
                <pt idx="60">
                  <v>0.4664351851851852</v>
                </pt>
              </numCache>
            </numRef>
          </yVal>
          <smooth val="1"/>
        </ser>
        <ser>
          <idx val="1"/>
          <order val="1"/>
          <tx>
            <strRef>
              <f>Template!$I$7</f>
              <strCache>
                <ptCount val="1"/>
                <pt idx="0">
                  <v>Shear Stress at Normal Stress of 1.0 kg/cm2</v>
                </pt>
              </strCache>
            </strRef>
          </tx>
          <spPr>
            <a:ln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Template!$I$8:$I$68</f>
              <numCache>
                <formatCode>0.00</formatCode>
                <ptCount val="61"/>
                <pt idx="0">
                  <v>0.003611111111111111</v>
                </pt>
                <pt idx="1">
                  <v>0.1872203579418345</v>
                </pt>
                <pt idx="2">
                  <v>0.2726632882882883</v>
                </pt>
                <pt idx="3">
                  <v>0.342687074829932</v>
                </pt>
                <pt idx="4">
                  <v>0.4071775114155251</v>
                </pt>
                <pt idx="5">
                  <v>0.4613505747126437</v>
                </pt>
                <pt idx="6">
                  <v>0.5078125</v>
                </pt>
                <pt idx="7">
                  <v>0.540719696969697</v>
                </pt>
                <pt idx="8">
                  <v>0.55024941314554</v>
                </pt>
                <pt idx="9">
                  <v>0.557993498817967</v>
                </pt>
                <pt idx="10">
                  <v>0.5648809523809524</v>
                </pt>
                <pt idx="11">
                  <v>0.5777128297362111</v>
                </pt>
                <pt idx="12">
                  <v>0.5877868357487922</v>
                </pt>
                <pt idx="13">
                  <v>0.5970194647201946</v>
                </pt>
                <pt idx="14">
                  <v>0.5984221813725491</v>
                </pt>
                <pt idx="15">
                  <v>0.6138888888888889</v>
                </pt>
                <pt idx="16">
                  <v>0.6164490049751244</v>
                </pt>
                <pt idx="17">
                  <v>0.6282111528822055</v>
                </pt>
                <pt idx="18">
                  <v>0.6329703282828284</v>
                </pt>
                <pt idx="19">
                  <v>0.6336673027989822</v>
                </pt>
                <pt idx="20">
                  <v>0.6427083333333333</v>
                </pt>
                <pt idx="21">
                  <v>0.6497900516795866</v>
                </pt>
                <pt idx="22">
                  <v>0.6622721354166667</v>
                </pt>
                <pt idx="23">
                  <v>0.6664206036745407</v>
                </pt>
                <pt idx="24">
                  <v>0.6717096560846562</v>
                </pt>
                <pt idx="25">
                  <v>0.676</v>
                </pt>
                <pt idx="26">
                  <v>0.6803595430107527</v>
                </pt>
                <pt idx="27">
                  <v>0.6880928184281843</v>
                </pt>
                <pt idx="28">
                  <v>0.6915129781420765</v>
                </pt>
                <pt idx="29">
                  <v>0.6961088154269972</v>
                </pt>
                <pt idx="30">
                  <v>0.7098090277777778</v>
                </pt>
                <pt idx="31">
                  <v>0.7055322128851542</v>
                </pt>
                <pt idx="32">
                  <v>0.7115112994350283</v>
                </pt>
                <pt idx="33">
                  <v>0.71875</v>
                </pt>
                <pt idx="34">
                  <v>0.7121048850574713</v>
                </pt>
                <pt idx="35">
                  <v>0.7194746376811595</v>
                </pt>
                <pt idx="36">
                  <v>0.7281615497076024</v>
                </pt>
                <pt idx="37">
                  <v>0.7226216814159293</v>
                </pt>
                <pt idx="38">
                  <v>0.7363281250000001</v>
                </pt>
                <pt idx="39">
                  <v>0.7319819819819819</v>
                </pt>
                <pt idx="40">
                  <v>0.7423295454545454</v>
                </pt>
                <pt idx="41">
                  <v>0.7441704892966361</v>
                </pt>
                <pt idx="42">
                  <v>0.7485532407407408</v>
                </pt>
                <pt idx="43">
                  <v>0.7492211838006232</v>
                </pt>
                <pt idx="44">
                  <v>0.7447916666666665</v>
                </pt>
                <pt idx="45">
                  <v>0.7441468253968254</v>
                </pt>
                <pt idx="46">
                  <v>0.7395833333333334</v>
                </pt>
                <pt idx="47">
                  <v>0.7454490291262136</v>
                </pt>
                <pt idx="48">
                  <v>0.739481209150327</v>
                </pt>
                <pt idx="49">
                  <v>0.7360767326732673</v>
                </pt>
                <pt idx="50">
                  <v>0.7393749999999999</v>
                </pt>
                <pt idx="51">
                  <v>0.7317971380471381</v>
                </pt>
                <pt idx="52">
                  <v>0.7295918367346939</v>
                </pt>
                <pt idx="53">
                  <v>0.7301331615120275</v>
                </pt>
                <pt idx="54">
                  <v>0.7292751736111114</v>
                </pt>
                <pt idx="55">
                  <v>0.7298245614035089</v>
                </pt>
                <pt idx="56">
                  <v>0.7275044326241135</v>
                </pt>
                <pt idx="57">
                  <v>0.7265905017921146</v>
                </pt>
                <pt idx="58">
                  <v>0.7197690217391305</v>
                </pt>
                <pt idx="59">
                  <v>0.7232142857142858</v>
                </pt>
                <pt idx="60">
                  <v>0.7192129629629629</v>
                </pt>
              </numCache>
            </numRef>
          </yVal>
          <smooth val="1"/>
        </ser>
        <ser>
          <idx val="2"/>
          <order val="2"/>
          <tx>
            <strRef>
              <f>Template!$J$7</f>
              <strCache>
                <ptCount val="1"/>
                <pt idx="0">
                  <v>Shear Stress at Normal Stress of 1.5 kg/cm2</v>
                </pt>
              </strCache>
            </strRef>
          </tx>
          <spPr>
            <a:ln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Template!$J$8:$J$68</f>
              <numCache>
                <formatCode>0.00</formatCode>
                <ptCount val="61"/>
                <pt idx="0">
                  <v>0</v>
                </pt>
                <pt idx="1">
                  <v>0.2980984340044743</v>
                </pt>
                <pt idx="2">
                  <v>0.446509009009009</v>
                </pt>
                <pt idx="3">
                  <v>0.5895691609977324</v>
                </pt>
                <pt idx="4">
                  <v>0.698416095890411</v>
                </pt>
                <pt idx="5">
                  <v>0.7919540229885058</v>
                </pt>
                <pt idx="6">
                  <v>0.8134403935185185</v>
                </pt>
                <pt idx="7">
                  <v>0.8352272727272728</v>
                </pt>
                <pt idx="8">
                  <v>0.8573210093896715</v>
                </pt>
                <pt idx="9">
                  <v>0.8778073286052011</v>
                </pt>
                <pt idx="10">
                  <v>0.8908482142857141</v>
                </pt>
                <pt idx="11">
                  <v>0.9167416067146283</v>
                </pt>
                <pt idx="12">
                  <v>0.915534420289855</v>
                </pt>
                <pt idx="13">
                  <v>0.943962895377129</v>
                </pt>
                <pt idx="14">
                  <v>0.9469209558823529</v>
                </pt>
                <pt idx="15">
                  <v>0.9659722222222222</v>
                </pt>
                <pt idx="16">
                  <v>0.9812655472636818</v>
                </pt>
                <pt idx="17">
                  <v>0.9927161654135338</v>
                </pt>
                <pt idx="18">
                  <v>1.009469696969697</v>
                </pt>
                <pt idx="19">
                  <v>1.013040712468193</v>
                </pt>
                <pt idx="20">
                  <v>1.030208333333333</v>
                </pt>
                <pt idx="21">
                  <v>1.037144702842377</v>
                </pt>
                <pt idx="22">
                  <v>1.051595052083333</v>
                </pt>
                <pt idx="23">
                  <v>1.05880905511811</v>
                </pt>
                <pt idx="24">
                  <v>1.066137566137566</v>
                </pt>
                <pt idx="25">
                  <v>1.06925</v>
                </pt>
                <pt idx="26">
                  <v>1.072412634408602</v>
                </pt>
                <pt idx="27">
                  <v>1.076727642276423</v>
                </pt>
                <pt idx="28">
                  <v>1.089993169398907</v>
                </pt>
                <pt idx="29">
                  <v>1.09340564738292</v>
                </pt>
                <pt idx="30">
                  <v>1.108159722222222</v>
                </pt>
                <pt idx="31">
                  <v>1.10609243697479</v>
                </pt>
                <pt idx="32">
                  <v>1.115466101694915</v>
                </pt>
                <pt idx="33">
                  <v>1.128472222222222</v>
                </pt>
                <pt idx="34">
                  <v>1.12652658045977</v>
                </pt>
                <pt idx="35">
                  <v>1.119836956521739</v>
                </pt>
                <pt idx="36">
                  <v>1.121345029239766</v>
                </pt>
                <pt idx="37">
                  <v>1.124078171091446</v>
                </pt>
                <pt idx="38">
                  <v>1.12202380952381</v>
                </pt>
                <pt idx="39">
                  <v>1.118712462462462</v>
                </pt>
                <pt idx="40">
                  <v>1.121496212121212</v>
                </pt>
                <pt idx="41">
                  <v>1.114392201834862</v>
                </pt>
                <pt idx="42">
                  <v>1.114679783950618</v>
                </pt>
                <pt idx="43">
                  <v>1.113707165109034</v>
                </pt>
                <pt idx="44">
                  <v>1.120381289308176</v>
                </pt>
                <pt idx="45">
                  <v>1.106547619047619</v>
                </pt>
                <pt idx="46">
                  <v>1.104166666666667</v>
                </pt>
                <pt idx="47">
                  <v>1.106998381877023</v>
                </pt>
                <pt idx="48">
                  <v>1.109885620915033</v>
                </pt>
                <pt idx="49">
                  <v>1.104785478547855</v>
                </pt>
                <pt idx="50">
                  <v>1.1009375</v>
                </pt>
                <pt idx="51">
                  <v>1.10385101010101</v>
                </pt>
                <pt idx="52">
                  <v>1.093005952380952</v>
                </pt>
                <pt idx="53">
                  <v>1.09729381443299</v>
                </pt>
                <pt idx="54">
                  <v>1.100260416666667</v>
                </pt>
                <pt idx="55">
                  <v>1.099013157894737</v>
                </pt>
                <pt idx="56">
                  <v>1.093417553191489</v>
                </pt>
                <pt idx="57">
                  <v>1.08915770609319</v>
                </pt>
                <pt idx="58">
                  <v>1.093636775362319</v>
                </pt>
                <pt idx="59">
                  <v>1.086309523809524</v>
                </pt>
                <pt idx="60">
                  <v>1.078819444444445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61760351"/>
        <axId val="907822671"/>
      </scatterChart>
      <valAx>
        <axId val="761760351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Longitudinal Displacment (cm)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07822671"/>
        <crosses val="autoZero"/>
        <crossBetween val="midCat"/>
      </valAx>
      <valAx>
        <axId val="90782267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14898177920686"/>
              <y val="0.3603602256861116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61760351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7284767619481648"/>
          <y val="0.1302874340267373"/>
          <w val="0.2457997653830249"/>
          <h val="0.243156477804534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Direct</a:t>
            </a:r>
            <a:r>
              <a:rPr lang="en-IN" baseline="0"/>
              <a:t xml:space="preserve"> Shear Test</a:t>
            </a:r>
            <a:endParaRPr lang="en-IN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rgbClr val="FF0000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ysClr val="windowText" lastClr="000000"/>
                </a:solidFill>
                <a:prstDash val="sysDot"/>
              </a:ln>
            </spPr>
            <trendlineType val="linear"/>
            <backward val="0.5"/>
            <dispRSqr val="0"/>
            <dispEq val="1"/>
            <trendlineLbl>
              <layout>
                <manualLayout>
                  <wMode val="factor"/>
                  <hMode val="factor"/>
                  <x val="0.1851868351982318"/>
                  <y val="-0.08718851755123216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Template!$H$4:$J$4</f>
              <numCache>
                <formatCode>0.000</formatCode>
                <ptCount val="3"/>
                <pt idx="0">
                  <v>0.5</v>
                </pt>
                <pt idx="1">
                  <v>1</v>
                </pt>
                <pt idx="2">
                  <v>1.5</v>
                </pt>
              </numCache>
            </numRef>
          </xVal>
          <yVal>
            <numRef>
              <f>Template!$H$5:$J$5</f>
              <numCache>
                <formatCode>0.000</formatCode>
                <ptCount val="3"/>
                <pt idx="0">
                  <v>0.4881827731092437</v>
                </pt>
                <pt idx="1">
                  <v>0.7492211838006232</v>
                </pt>
                <pt idx="2">
                  <v>1.128472222222222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303864239"/>
        <axId val="1303870063"/>
      </scatterChart>
      <valAx>
        <axId val="1303864239"/>
        <scaling>
          <orientation val="minMax"/>
          <max val="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Normal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70063"/>
        <crosses val="autoZero"/>
        <crossBetween val="midCat"/>
        <majorUnit val="0.5"/>
      </valAx>
      <valAx>
        <axId val="1303870063"/>
        <scaling>
          <orientation val="minMax"/>
          <max val="2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54385964912281"/>
              <y val="0.3156584975937297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64239"/>
        <crosses val="autoZero"/>
        <crossBetween val="midCat"/>
        <majorUnit val="0.5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533401</colOff>
      <row>6</row>
      <rowOff>14286</rowOff>
    </from>
    <to>
      <col>21</col>
      <colOff>247651</colOff>
      <row>25</row>
      <rowOff>142874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13</col>
      <colOff>581025</colOff>
      <row>26</row>
      <rowOff>90487</rowOff>
    </from>
    <to>
      <col>21</col>
      <colOff>276225</colOff>
      <row>44</row>
      <rowOff>161925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6" customWidth="1" min="4" max="4"/>
    <col width="19" customWidth="1" min="5" max="5"/>
    <col width="20" customWidth="1" min="6" max="6"/>
    <col width="14" customWidth="1" min="7" max="7"/>
    <col width="24" customWidth="1" min="8" max="8"/>
    <col width="19" customWidth="1" min="9" max="9"/>
    <col width="10" customWidth="1" min="10" max="10"/>
  </cols>
  <sheetData>
    <row r="1">
      <c r="A1" s="24" t="inlineStr">
        <is>
          <t>BH ID</t>
        </is>
      </c>
      <c r="B1" s="24" t="inlineStr">
        <is>
          <t>Depth (m)</t>
        </is>
      </c>
      <c r="C1" s="24" t="inlineStr">
        <is>
          <t>Soil Type</t>
        </is>
      </c>
      <c r="D1" s="24" t="inlineStr">
        <is>
          <t>Density (g/cc)</t>
        </is>
      </c>
      <c r="E1" s="24" t="inlineStr">
        <is>
          <t>Sample Weight (g)</t>
        </is>
      </c>
      <c r="F1" s="24" t="inlineStr">
        <is>
          <t>Target c (kg/cm²)</t>
        </is>
      </c>
      <c r="G1" s="24" t="inlineStr">
        <is>
          <t>Target φ (°)</t>
        </is>
      </c>
      <c r="H1" s="24" t="inlineStr">
        <is>
          <t>Calculated c (kg/cm²)</t>
        </is>
      </c>
      <c r="I1" s="24" t="inlineStr">
        <is>
          <t>Calculated φ (°)</t>
        </is>
      </c>
      <c r="J1" s="24" t="inlineStr">
        <is>
          <t>R²</t>
        </is>
      </c>
    </row>
    <row r="2">
      <c r="A2" t="inlineStr">
        <is>
          <t>CBH-22</t>
        </is>
      </c>
      <c r="B2" s="25" t="n">
        <v>1.5</v>
      </c>
      <c r="C2" t="inlineStr">
        <is>
          <t>Medium Clay</t>
        </is>
      </c>
      <c r="D2" s="25" t="n">
        <v>1.78</v>
      </c>
      <c r="E2" s="25" t="n">
        <v>160.2</v>
      </c>
      <c r="F2" s="26" t="n">
        <v>0.111</v>
      </c>
      <c r="G2" s="25" t="n">
        <v>22.2</v>
      </c>
      <c r="H2" s="26" t="n">
        <v>0.1029006529918026</v>
      </c>
      <c r="I2" s="25" t="n">
        <v>23.00057514915452</v>
      </c>
      <c r="J2" s="26" t="n">
        <v>0.9890020088417583</v>
      </c>
    </row>
    <row r="3">
      <c r="A3" t="inlineStr">
        <is>
          <t>CBH-22</t>
        </is>
      </c>
      <c r="B3" s="25" t="n">
        <v>3.5</v>
      </c>
      <c r="C3" t="inlineStr">
        <is>
          <t>Silty Soil</t>
        </is>
      </c>
      <c r="D3" s="25" t="n">
        <v>1.89</v>
      </c>
      <c r="E3" s="25" t="n">
        <v>170.1</v>
      </c>
      <c r="F3" s="26" t="n">
        <v>0.08699999999999999</v>
      </c>
      <c r="G3" s="25" t="n">
        <v>25.46</v>
      </c>
      <c r="H3" s="26" t="n">
        <v>0.08111200349196229</v>
      </c>
      <c r="I3" s="25" t="n">
        <v>25.97481411384051</v>
      </c>
      <c r="J3" s="26" t="n">
        <v>0.9918133777395396</v>
      </c>
    </row>
    <row r="4">
      <c r="A4" t="inlineStr">
        <is>
          <t>CBH-22</t>
        </is>
      </c>
      <c r="B4" s="25" t="n">
        <v>4.5</v>
      </c>
      <c r="C4" t="inlineStr">
        <is>
          <t>Stiff Clay</t>
        </is>
      </c>
      <c r="D4" s="25" t="n">
        <v>1.89</v>
      </c>
      <c r="E4" s="25" t="n">
        <v>170.1</v>
      </c>
      <c r="F4" s="26" t="n">
        <v>0.121</v>
      </c>
      <c r="G4" s="25" t="n">
        <v>23.5</v>
      </c>
      <c r="H4" s="26" t="n">
        <v>0.1318841662892266</v>
      </c>
      <c r="I4" s="25" t="n">
        <v>22.79649786862692</v>
      </c>
      <c r="J4" s="26" t="n">
        <v>0.9927973890865129</v>
      </c>
    </row>
    <row r="5">
      <c r="A5" t="inlineStr">
        <is>
          <t>CBH-22</t>
        </is>
      </c>
      <c r="B5" s="25" t="n">
        <v>6.5</v>
      </c>
      <c r="C5" t="inlineStr">
        <is>
          <t>Dense Sand</t>
        </is>
      </c>
      <c r="D5" s="25" t="n">
        <v>1.92</v>
      </c>
      <c r="E5" s="25" t="n">
        <v>172.8</v>
      </c>
      <c r="F5" s="26" t="n">
        <v>0.093</v>
      </c>
      <c r="G5" s="25" t="n">
        <v>21.97</v>
      </c>
      <c r="H5" s="26" t="n">
        <v>0.1003262134743136</v>
      </c>
      <c r="I5" s="25" t="n">
        <v>21.37521964420468</v>
      </c>
      <c r="J5" s="26" t="n">
        <v>0.9939170472901466</v>
      </c>
    </row>
    <row r="6">
      <c r="A6" t="inlineStr">
        <is>
          <t>CBH-22</t>
        </is>
      </c>
      <c r="B6" s="25" t="n">
        <v>7.5</v>
      </c>
      <c r="C6" t="inlineStr">
        <is>
          <t>Stiff Clay</t>
        </is>
      </c>
      <c r="D6" s="25" t="n">
        <v>1.92</v>
      </c>
      <c r="E6" s="25" t="n">
        <v>172.8</v>
      </c>
      <c r="F6" s="26" t="n">
        <v>0.128</v>
      </c>
      <c r="G6" s="25" t="n">
        <v>23.26</v>
      </c>
      <c r="H6" s="26" t="n">
        <v>0.1250640577684604</v>
      </c>
      <c r="I6" s="25" t="n">
        <v>23.54909310652045</v>
      </c>
      <c r="J6" s="26" t="n">
        <v>0.9941941284528834</v>
      </c>
    </row>
    <row r="7">
      <c r="A7" t="inlineStr">
        <is>
          <t>CBH-22</t>
        </is>
      </c>
      <c r="B7" s="25" t="n">
        <v>9.5</v>
      </c>
      <c r="C7" t="inlineStr">
        <is>
          <t>Stiff Clay</t>
        </is>
      </c>
      <c r="D7" s="25" t="n">
        <v>1.97</v>
      </c>
      <c r="E7" s="25" t="n">
        <v>177.3</v>
      </c>
      <c r="F7" s="26" t="n">
        <v>0.116</v>
      </c>
      <c r="G7" s="25" t="n">
        <v>24.21</v>
      </c>
      <c r="H7" s="26" t="n">
        <v>0.1229586275574869</v>
      </c>
      <c r="I7" s="25" t="n">
        <v>23.75635163118764</v>
      </c>
      <c r="J7" s="26" t="n">
        <v>0.9945985801006796</v>
      </c>
    </row>
    <row r="8">
      <c r="A8" t="inlineStr">
        <is>
          <t>CBH-22</t>
        </is>
      </c>
      <c r="B8" s="25" t="n">
        <v>10.5</v>
      </c>
      <c r="C8" t="inlineStr">
        <is>
          <t>Dense Sand</t>
        </is>
      </c>
      <c r="D8" s="25" t="n">
        <v>1.97</v>
      </c>
      <c r="E8" s="25" t="n">
        <v>177.3</v>
      </c>
      <c r="F8" s="26" t="n">
        <v>0.07099999999999999</v>
      </c>
      <c r="G8" s="25" t="n">
        <v>27.91</v>
      </c>
      <c r="H8" s="26" t="n">
        <v>0.08118681475805412</v>
      </c>
      <c r="I8" s="25" t="n">
        <v>27.29974910214159</v>
      </c>
      <c r="J8" s="26" t="n">
        <v>0.9938597844575087</v>
      </c>
    </row>
    <row r="9">
      <c r="A9" t="inlineStr">
        <is>
          <t>CBH-22</t>
        </is>
      </c>
      <c r="B9" s="25" t="n">
        <v>12.5</v>
      </c>
      <c r="C9" t="inlineStr">
        <is>
          <t>Dense Sand</t>
        </is>
      </c>
      <c r="D9" s="25" t="n">
        <v>1.97</v>
      </c>
      <c r="E9" s="25" t="n">
        <v>177.3</v>
      </c>
      <c r="F9" s="26" t="n">
        <v>0.064</v>
      </c>
      <c r="G9" s="25" t="n">
        <v>28.66</v>
      </c>
      <c r="H9" s="26" t="n">
        <v>0.07213029791374936</v>
      </c>
      <c r="I9" s="25" t="n">
        <v>28.0102437845739</v>
      </c>
      <c r="J9" s="26" t="n">
        <v>0.9941929877928863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tabColor rgb="FF92D050"/>
    <outlinePr summaryBelow="1" summaryRight="1"/>
    <pageSetUpPr/>
  </sheetPr>
  <dimension ref="A1:N68"/>
  <sheetViews>
    <sheetView tabSelected="1" zoomScale="85" zoomScaleNormal="85" workbookViewId="0">
      <selection activeCell="D10" sqref="D10"/>
    </sheetView>
  </sheetViews>
  <sheetFormatPr baseColWidth="8" defaultRowHeight="15"/>
  <cols>
    <col width="11.140625" bestFit="1" customWidth="1" min="1" max="1"/>
    <col width="12" bestFit="1" customWidth="1" min="2" max="2"/>
    <col width="12" customWidth="1" min="3" max="3"/>
    <col width="14.28515625" customWidth="1" min="4" max="4"/>
    <col width="15.140625" customWidth="1" min="5" max="6"/>
    <col width="10.85546875" customWidth="1" min="7" max="7"/>
    <col width="13.85546875" customWidth="1" min="8" max="8"/>
    <col width="14" customWidth="1" min="9" max="10"/>
    <col width="11.5703125" bestFit="1" customWidth="1" min="12" max="12"/>
    <col width="61.140625" bestFit="1" customWidth="1" min="14" max="14"/>
  </cols>
  <sheetData>
    <row r="1">
      <c r="A1" s="1" t="inlineStr">
        <is>
          <t>BH ID</t>
        </is>
      </c>
      <c r="B1" s="2" t="inlineStr">
        <is>
          <t>CBH-22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0.1029006529918026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1.78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23.00057514915452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160.2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Format="1" customHeight="1" s="1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11.1</v>
      </c>
      <c r="E9" s="13" t="n">
        <v>16.7</v>
      </c>
      <c r="F9" s="13" t="n">
        <v>28.3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15.7</v>
      </c>
      <c r="E10" s="13" t="n">
        <v>24.6</v>
      </c>
      <c r="F10" s="13" t="n">
        <v>41.4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19.7</v>
      </c>
      <c r="E11" s="13" t="n">
        <v>30.5</v>
      </c>
      <c r="F11" s="13" t="n">
        <v>51.6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23.4</v>
      </c>
      <c r="E12" s="13" t="n">
        <v>36</v>
      </c>
      <c r="F12" s="13" t="n">
        <v>56.8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25.1</v>
      </c>
      <c r="E13" s="13" t="n">
        <v>38.4</v>
      </c>
      <c r="F13" s="13" t="n">
        <v>60.5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26.2</v>
      </c>
      <c r="E14" s="13" t="n">
        <v>39.6</v>
      </c>
      <c r="F14" s="13" t="n">
        <v>61.8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26.2</v>
      </c>
      <c r="E15" s="13" t="n">
        <v>40.7</v>
      </c>
      <c r="F15" s="13" t="n">
        <v>62.4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26.8</v>
      </c>
      <c r="E16" s="13" t="n">
        <v>40.6</v>
      </c>
      <c r="F16" s="13" t="n">
        <v>63.6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27.5</v>
      </c>
      <c r="E17" s="13" t="n">
        <v>41.5</v>
      </c>
      <c r="F17" s="13" t="n">
        <v>65.2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28.2</v>
      </c>
      <c r="E18" s="13" t="n">
        <v>42.5</v>
      </c>
      <c r="F18" s="13" t="n">
        <v>67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28</v>
      </c>
      <c r="E19" s="13" t="n">
        <v>42.4</v>
      </c>
      <c r="F19" s="13" t="n">
        <v>66.90000000000001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29.4</v>
      </c>
      <c r="E20" s="13" t="n">
        <v>43.5</v>
      </c>
      <c r="F20" s="13" t="n">
        <v>68.7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29.7</v>
      </c>
      <c r="E21" s="13" t="n">
        <v>45.2</v>
      </c>
      <c r="F21" s="13" t="n">
        <v>69.59999999999999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29.5</v>
      </c>
      <c r="E22" s="13" t="n">
        <v>44.5</v>
      </c>
      <c r="F22" s="13" t="n">
        <v>69.09999999999999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29.8</v>
      </c>
      <c r="E23" s="13" t="n">
        <v>46.2</v>
      </c>
      <c r="F23" s="13" t="n">
        <v>71.3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30.5</v>
      </c>
      <c r="E24" s="13" t="n">
        <v>45.9</v>
      </c>
      <c r="F24" s="13" t="n">
        <v>72.2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30.2</v>
      </c>
      <c r="E25" s="13" t="n">
        <v>46.6</v>
      </c>
      <c r="F25" s="13" t="n">
        <v>74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31.1</v>
      </c>
      <c r="E26" s="13" t="n">
        <v>47.7</v>
      </c>
      <c r="F26" s="13" t="n">
        <v>74.59999999999999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30.2</v>
      </c>
      <c r="E27" s="13" t="n">
        <v>47.9</v>
      </c>
      <c r="F27" s="13" t="n">
        <v>73.40000000000001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30.7</v>
      </c>
      <c r="E28" s="14" t="n">
        <v>49</v>
      </c>
      <c r="F28" s="14" t="n">
        <v>75.3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30.9</v>
      </c>
      <c r="E29" s="14" t="n">
        <v>49.2</v>
      </c>
      <c r="F29" s="14" t="n">
        <v>75.3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32.8</v>
      </c>
      <c r="E30" s="14" t="n">
        <v>47.9</v>
      </c>
      <c r="F30" s="14" t="n">
        <v>74.5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32.4</v>
      </c>
      <c r="E31" s="14" t="n">
        <v>48.3</v>
      </c>
      <c r="F31" s="14" t="n">
        <v>74.2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31.8</v>
      </c>
      <c r="E32" s="14" t="n">
        <v>48.3</v>
      </c>
      <c r="F32" s="14" t="n">
        <v>75.3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32.2</v>
      </c>
      <c r="E33" s="14" t="n">
        <v>48.4</v>
      </c>
      <c r="F33" s="14" t="n">
        <v>76.40000000000001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31.9</v>
      </c>
      <c r="E34" s="14" t="n">
        <v>47.5</v>
      </c>
      <c r="F34" s="14" t="n">
        <v>76.09999999999999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32.1</v>
      </c>
      <c r="E35" s="14" t="n">
        <v>49.1</v>
      </c>
      <c r="F35" s="14" t="n">
        <v>75.8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32</v>
      </c>
      <c r="E36" s="14" t="n">
        <v>49.1</v>
      </c>
      <c r="F36" s="14" t="n">
        <v>75.5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32.7</v>
      </c>
      <c r="E37" s="14" t="n">
        <v>49</v>
      </c>
      <c r="F37" s="14" t="n">
        <v>74.40000000000001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32.7</v>
      </c>
      <c r="E38" s="14" t="n">
        <v>50</v>
      </c>
      <c r="F38" s="14" t="n">
        <v>75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32.5</v>
      </c>
      <c r="E39" s="14" t="n">
        <v>49.8</v>
      </c>
      <c r="F39" s="14" t="n">
        <v>74.2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32.4</v>
      </c>
      <c r="E40" s="14" t="n">
        <v>49.1</v>
      </c>
      <c r="F40" s="14" t="n">
        <v>74.40000000000001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32.1</v>
      </c>
      <c r="E41" s="14" t="n">
        <v>49.3</v>
      </c>
      <c r="F41" s="14" t="n">
        <v>73.2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31.7</v>
      </c>
      <c r="E42" s="14" t="n">
        <v>49.2</v>
      </c>
      <c r="F42" s="14" t="n">
        <v>73.40000000000001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32.1</v>
      </c>
      <c r="E43" s="14" t="n">
        <v>47.9</v>
      </c>
      <c r="F43" s="14" t="n">
        <v>72.7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31.7</v>
      </c>
      <c r="E44" s="14" t="n">
        <v>48.6</v>
      </c>
      <c r="F44" s="14" t="n">
        <v>73.3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31.8</v>
      </c>
      <c r="E45" s="14" t="n">
        <v>47.8</v>
      </c>
      <c r="F45" s="14" t="n">
        <v>72.2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31</v>
      </c>
      <c r="E46" s="14" t="n">
        <v>47.5</v>
      </c>
      <c r="F46" s="14" t="n">
        <v>72.5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31.1</v>
      </c>
      <c r="E47" s="14" t="n">
        <v>47.9</v>
      </c>
      <c r="F47" s="14" t="n">
        <v>70.5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30.5</v>
      </c>
      <c r="E48" s="14" t="n">
        <v>48.1</v>
      </c>
      <c r="F48" s="14" t="n">
        <v>72.2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30.9</v>
      </c>
      <c r="E49" s="14" t="n">
        <v>46.7</v>
      </c>
      <c r="F49" s="14" t="n">
        <v>70.5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30.5</v>
      </c>
      <c r="E50" s="14" t="n">
        <v>46.9</v>
      </c>
      <c r="F50" s="14" t="n">
        <v>69.90000000000001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30</v>
      </c>
      <c r="E51" s="14" t="n">
        <v>46.8</v>
      </c>
      <c r="F51" s="14" t="n">
        <v>70.7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29.8</v>
      </c>
      <c r="E52" s="14" t="n">
        <v>46.3</v>
      </c>
      <c r="F52" s="14" t="n">
        <v>69.3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30</v>
      </c>
      <c r="E53" s="14" t="n">
        <v>45.9</v>
      </c>
      <c r="F53" s="14" t="n">
        <v>69.3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29.8</v>
      </c>
      <c r="E54" s="14" t="n">
        <v>45.1</v>
      </c>
      <c r="F54" s="14" t="n">
        <v>69.2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30.3</v>
      </c>
      <c r="E55" s="14" t="n">
        <v>45.7</v>
      </c>
      <c r="F55" s="14" t="n">
        <v>70.3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29.1</v>
      </c>
      <c r="E56" s="14" t="n">
        <v>44.8</v>
      </c>
      <c r="F56" s="14" t="n">
        <v>68.5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29.8</v>
      </c>
      <c r="E57" s="14" t="n">
        <v>44.2</v>
      </c>
      <c r="F57" s="14" t="n">
        <v>66.90000000000001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29.5</v>
      </c>
      <c r="E58" s="14" t="n">
        <v>44.6</v>
      </c>
      <c r="F58" s="14" t="n">
        <v>68.5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29.5</v>
      </c>
      <c r="E59" s="14" t="n">
        <v>43.8</v>
      </c>
      <c r="F59" s="14" t="n">
        <v>66.40000000000001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29.2</v>
      </c>
      <c r="E60" s="14" t="n">
        <v>43.5</v>
      </c>
      <c r="F60" s="14" t="n">
        <v>66.59999999999999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28.2</v>
      </c>
      <c r="E61" s="14" t="n">
        <v>43.4</v>
      </c>
      <c r="F61" s="14" t="n">
        <v>66.3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28.6</v>
      </c>
      <c r="E62" s="14" t="n">
        <v>43.2</v>
      </c>
      <c r="F62" s="14" t="n">
        <v>65.7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28.1</v>
      </c>
      <c r="E63" s="14" t="n">
        <v>42.5</v>
      </c>
      <c r="F63" s="14" t="n">
        <v>67.2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28.3</v>
      </c>
      <c r="E64" s="14" t="n">
        <v>41.4</v>
      </c>
      <c r="F64" s="14" t="n">
        <v>64.59999999999999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27.4</v>
      </c>
      <c r="E65" s="14" t="n">
        <v>41.5</v>
      </c>
      <c r="F65" s="14" t="n">
        <v>64.90000000000001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27.7</v>
      </c>
      <c r="E66" s="14" t="n">
        <v>41.1</v>
      </c>
      <c r="F66" s="14" t="n">
        <v>63.3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27.4</v>
      </c>
      <c r="E67" s="14" t="n">
        <v>41</v>
      </c>
      <c r="F67" s="14" t="n">
        <v>63.8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27.4</v>
      </c>
      <c r="E68" s="14" t="n">
        <v>39.8</v>
      </c>
      <c r="F68" s="14" t="n">
        <v>63.5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dataValidations count="1">
    <dataValidation sqref="E1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CBH-22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0.08111200349196229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1.89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25.97481411384051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170.1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10.1</v>
      </c>
      <c r="E9" s="13" t="n">
        <v>17.2</v>
      </c>
      <c r="F9" s="13" t="n">
        <v>27.8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15.8</v>
      </c>
      <c r="E10" s="13" t="n">
        <v>25</v>
      </c>
      <c r="F10" s="13" t="n">
        <v>42.3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18.6</v>
      </c>
      <c r="E11" s="13" t="n">
        <v>30.9</v>
      </c>
      <c r="F11" s="13" t="n">
        <v>51.6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22.3</v>
      </c>
      <c r="E12" s="13" t="n">
        <v>36.3</v>
      </c>
      <c r="F12" s="13" t="n">
        <v>61.7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25.6</v>
      </c>
      <c r="E13" s="13" t="n">
        <v>40.8</v>
      </c>
      <c r="F13" s="13" t="n">
        <v>63.6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26.2</v>
      </c>
      <c r="E14" s="13" t="n">
        <v>42.1</v>
      </c>
      <c r="F14" s="13" t="n">
        <v>64.5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25.8</v>
      </c>
      <c r="E15" s="13" t="n">
        <v>42.8</v>
      </c>
      <c r="F15" s="13" t="n">
        <v>67.59999999999999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26.8</v>
      </c>
      <c r="E16" s="13" t="n">
        <v>43.7</v>
      </c>
      <c r="F16" s="13" t="n">
        <v>67.8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27.1</v>
      </c>
      <c r="E17" s="13" t="n">
        <v>44.9</v>
      </c>
      <c r="F17" s="13" t="n">
        <v>68.09999999999999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28.3</v>
      </c>
      <c r="E18" s="13" t="n">
        <v>45</v>
      </c>
      <c r="F18" s="13" t="n">
        <v>67.8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28.8</v>
      </c>
      <c r="E19" s="13" t="n">
        <v>45.4</v>
      </c>
      <c r="F19" s="13" t="n">
        <v>71.59999999999999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28.2</v>
      </c>
      <c r="E20" s="13" t="n">
        <v>46.9</v>
      </c>
      <c r="F20" s="13" t="n">
        <v>69.7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29.8</v>
      </c>
      <c r="E21" s="13" t="n">
        <v>46.8</v>
      </c>
      <c r="F21" s="13" t="n">
        <v>73.09999999999999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30.1</v>
      </c>
      <c r="E22" s="13" t="n">
        <v>47.9</v>
      </c>
      <c r="F22" s="13" t="n">
        <v>72.59999999999999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31</v>
      </c>
      <c r="E23" s="13" t="n">
        <v>47.8</v>
      </c>
      <c r="F23" s="13" t="n">
        <v>73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30.2</v>
      </c>
      <c r="E24" s="13" t="n">
        <v>49.6</v>
      </c>
      <c r="F24" s="13" t="n">
        <v>75.40000000000001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30.8</v>
      </c>
      <c r="E25" s="13" t="n">
        <v>47.9</v>
      </c>
      <c r="F25" s="13" t="n">
        <v>77.90000000000001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31</v>
      </c>
      <c r="E26" s="13" t="n">
        <v>49.7</v>
      </c>
      <c r="F26" s="13" t="n">
        <v>79.40000000000001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30.9</v>
      </c>
      <c r="E27" s="13" t="n">
        <v>48.2</v>
      </c>
      <c r="F27" s="13" t="n">
        <v>77.7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31.1</v>
      </c>
      <c r="E28" s="14" t="n">
        <v>51.3</v>
      </c>
      <c r="F28" s="14" t="n">
        <v>80.2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31.1</v>
      </c>
      <c r="E29" s="14" t="n">
        <v>52.5</v>
      </c>
      <c r="F29" s="14" t="n">
        <v>80.8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32.2</v>
      </c>
      <c r="E30" s="14" t="n">
        <v>52.4</v>
      </c>
      <c r="F30" s="14" t="n">
        <v>82.7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32.4</v>
      </c>
      <c r="E31" s="14" t="n">
        <v>50.3</v>
      </c>
      <c r="F31" s="14" t="n">
        <v>80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32.2</v>
      </c>
      <c r="E32" s="14" t="n">
        <v>52.2</v>
      </c>
      <c r="F32" s="14" t="n">
        <v>82.7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32.3</v>
      </c>
      <c r="E33" s="14" t="n">
        <v>53.3</v>
      </c>
      <c r="F33" s="14" t="n">
        <v>82.40000000000001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32.1</v>
      </c>
      <c r="E34" s="14" t="n">
        <v>52.5</v>
      </c>
      <c r="F34" s="14" t="n">
        <v>82.3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32.3</v>
      </c>
      <c r="E35" s="14" t="n">
        <v>52.6</v>
      </c>
      <c r="F35" s="14" t="n">
        <v>83.09999999999999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32.6</v>
      </c>
      <c r="E36" s="14" t="n">
        <v>51.1</v>
      </c>
      <c r="F36" s="14" t="n">
        <v>82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32.4</v>
      </c>
      <c r="E37" s="14" t="n">
        <v>51</v>
      </c>
      <c r="F37" s="14" t="n">
        <v>82.5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33.2</v>
      </c>
      <c r="E38" s="14" t="n">
        <v>53.9</v>
      </c>
      <c r="F38" s="14" t="n">
        <v>82.2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33.4</v>
      </c>
      <c r="E39" s="14" t="n">
        <v>52.6</v>
      </c>
      <c r="F39" s="14" t="n">
        <v>81.90000000000001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33.2</v>
      </c>
      <c r="E40" s="14" t="n">
        <v>53.1</v>
      </c>
      <c r="F40" s="14" t="n">
        <v>81.59999999999999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32.7</v>
      </c>
      <c r="E41" s="14" t="n">
        <v>52.3</v>
      </c>
      <c r="F41" s="14" t="n">
        <v>81.3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33.1</v>
      </c>
      <c r="E42" s="14" t="n">
        <v>52.6</v>
      </c>
      <c r="F42" s="14" t="n">
        <v>80.40000000000001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33</v>
      </c>
      <c r="E43" s="14" t="n">
        <v>53.1</v>
      </c>
      <c r="F43" s="14" t="n">
        <v>79.5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32.8</v>
      </c>
      <c r="E44" s="14" t="n">
        <v>52.9</v>
      </c>
      <c r="F44" s="14" t="n">
        <v>80.3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32.7</v>
      </c>
      <c r="E45" s="14" t="n">
        <v>52.7</v>
      </c>
      <c r="F45" s="14" t="n">
        <v>80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32</v>
      </c>
      <c r="E46" s="14" t="n">
        <v>52.5</v>
      </c>
      <c r="F46" s="14" t="n">
        <v>77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32.5</v>
      </c>
      <c r="E47" s="14" t="n">
        <v>51.4</v>
      </c>
      <c r="F47" s="14" t="n">
        <v>78.3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32.3</v>
      </c>
      <c r="E48" s="14" t="n">
        <v>52.1</v>
      </c>
      <c r="F48" s="14" t="n">
        <v>78.8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32.2</v>
      </c>
      <c r="E49" s="14" t="n">
        <v>51.4</v>
      </c>
      <c r="F49" s="14" t="n">
        <v>78.8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31.9</v>
      </c>
      <c r="E50" s="14" t="n">
        <v>50</v>
      </c>
      <c r="F50" s="14" t="n">
        <v>78.5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31.5</v>
      </c>
      <c r="E51" s="14" t="n">
        <v>50.2</v>
      </c>
      <c r="F51" s="14" t="n">
        <v>78.2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31.9</v>
      </c>
      <c r="E52" s="14" t="n">
        <v>49.4</v>
      </c>
      <c r="F52" s="14" t="n">
        <v>75.3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31.7</v>
      </c>
      <c r="E53" s="14" t="n">
        <v>49</v>
      </c>
      <c r="F53" s="14" t="n">
        <v>77.59999999999999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31.3</v>
      </c>
      <c r="E54" s="14" t="n">
        <v>48.6</v>
      </c>
      <c r="F54" s="14" t="n">
        <v>73.90000000000001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31.5</v>
      </c>
      <c r="E55" s="14" t="n">
        <v>49</v>
      </c>
      <c r="F55" s="14" t="n">
        <v>76.5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30.2</v>
      </c>
      <c r="E56" s="14" t="n">
        <v>49.1</v>
      </c>
      <c r="F56" s="14" t="n">
        <v>73.3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30.4</v>
      </c>
      <c r="E57" s="14" t="n">
        <v>50.3</v>
      </c>
      <c r="F57" s="14" t="n">
        <v>75.8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30.2</v>
      </c>
      <c r="E58" s="14" t="n">
        <v>47.4</v>
      </c>
      <c r="F58" s="14" t="n">
        <v>71.5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30.8</v>
      </c>
      <c r="E59" s="14" t="n">
        <v>47.2</v>
      </c>
      <c r="F59" s="14" t="n">
        <v>70.8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29.5</v>
      </c>
      <c r="E60" s="14" t="n">
        <v>46.1</v>
      </c>
      <c r="F60" s="14" t="n">
        <v>72.40000000000001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29.3</v>
      </c>
      <c r="E61" s="14" t="n">
        <v>47</v>
      </c>
      <c r="F61" s="14" t="n">
        <v>72.59999999999999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30.3</v>
      </c>
      <c r="E62" s="14" t="n">
        <v>47.3</v>
      </c>
      <c r="F62" s="14" t="n">
        <v>68.3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28.2</v>
      </c>
      <c r="E63" s="14" t="n">
        <v>46.3</v>
      </c>
      <c r="F63" s="14" t="n">
        <v>71.90000000000001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29.6</v>
      </c>
      <c r="E64" s="14" t="n">
        <v>45.4</v>
      </c>
      <c r="F64" s="14" t="n">
        <v>69.59999999999999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28.9</v>
      </c>
      <c r="E65" s="14" t="n">
        <v>44.5</v>
      </c>
      <c r="F65" s="14" t="n">
        <v>70.59999999999999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27.9</v>
      </c>
      <c r="E66" s="14" t="n">
        <v>45.2</v>
      </c>
      <c r="F66" s="14" t="n">
        <v>71.09999999999999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28.6</v>
      </c>
      <c r="E67" s="14" t="n">
        <v>43.6</v>
      </c>
      <c r="F67" s="14" t="n">
        <v>67.7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29.1</v>
      </c>
      <c r="E68" s="14" t="n">
        <v>44.2</v>
      </c>
      <c r="F68" s="14" t="n">
        <v>68.09999999999999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CBH-22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4.5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0.1318841662892266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1.89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22.79649786862692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170.1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12.4</v>
      </c>
      <c r="E9" s="13" t="n">
        <v>23.4</v>
      </c>
      <c r="F9" s="13" t="n">
        <v>28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17.5</v>
      </c>
      <c r="E10" s="13" t="n">
        <v>33.6</v>
      </c>
      <c r="F10" s="13" t="n">
        <v>39.9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21.1</v>
      </c>
      <c r="E11" s="13" t="n">
        <v>41.6</v>
      </c>
      <c r="F11" s="13" t="n">
        <v>48.7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24.7</v>
      </c>
      <c r="E12" s="13" t="n">
        <v>44.5</v>
      </c>
      <c r="F12" s="13" t="n">
        <v>57.3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25.9</v>
      </c>
      <c r="E13" s="13" t="n">
        <v>46.2</v>
      </c>
      <c r="F13" s="13" t="n">
        <v>59.3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26.7</v>
      </c>
      <c r="E14" s="13" t="n">
        <v>46.5</v>
      </c>
      <c r="F14" s="13" t="n">
        <v>61.4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27.3</v>
      </c>
      <c r="E15" s="13" t="n">
        <v>49.2</v>
      </c>
      <c r="F15" s="13" t="n">
        <v>62.1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27.8</v>
      </c>
      <c r="E16" s="13" t="n">
        <v>49.5</v>
      </c>
      <c r="F16" s="13" t="n">
        <v>64.3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28.6</v>
      </c>
      <c r="E17" s="13" t="n">
        <v>50.5</v>
      </c>
      <c r="F17" s="13" t="n">
        <v>65.90000000000001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28.7</v>
      </c>
      <c r="E18" s="13" t="n">
        <v>51</v>
      </c>
      <c r="F18" s="13" t="n">
        <v>65.8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29.1</v>
      </c>
      <c r="E19" s="13" t="n">
        <v>52.9</v>
      </c>
      <c r="F19" s="13" t="n">
        <v>66.40000000000001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29</v>
      </c>
      <c r="E20" s="13" t="n">
        <v>52.9</v>
      </c>
      <c r="F20" s="13" t="n">
        <v>67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30.2</v>
      </c>
      <c r="E21" s="13" t="n">
        <v>53.8</v>
      </c>
      <c r="F21" s="13" t="n">
        <v>67.7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30.4</v>
      </c>
      <c r="E22" s="13" t="n">
        <v>54.5</v>
      </c>
      <c r="F22" s="13" t="n">
        <v>69.3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30.8</v>
      </c>
      <c r="E23" s="13" t="n">
        <v>56.7</v>
      </c>
      <c r="F23" s="13" t="n">
        <v>70.40000000000001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31.6</v>
      </c>
      <c r="E24" s="13" t="n">
        <v>55.9</v>
      </c>
      <c r="F24" s="13" t="n">
        <v>72.59999999999999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31.2</v>
      </c>
      <c r="E25" s="13" t="n">
        <v>57.3</v>
      </c>
      <c r="F25" s="13" t="n">
        <v>72.5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31.4</v>
      </c>
      <c r="E26" s="13" t="n">
        <v>56.6</v>
      </c>
      <c r="F26" s="13" t="n">
        <v>73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32.2</v>
      </c>
      <c r="E27" s="13" t="n">
        <v>56.9</v>
      </c>
      <c r="F27" s="13" t="n">
        <v>73.09999999999999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32.4</v>
      </c>
      <c r="E28" s="14" t="n">
        <v>56.6</v>
      </c>
      <c r="F28" s="14" t="n">
        <v>73.3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32.8</v>
      </c>
      <c r="E29" s="14" t="n">
        <v>58.1</v>
      </c>
      <c r="F29" s="14" t="n">
        <v>73.2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31.9</v>
      </c>
      <c r="E30" s="14" t="n">
        <v>58.8</v>
      </c>
      <c r="F30" s="14" t="n">
        <v>72.90000000000001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32.6</v>
      </c>
      <c r="E31" s="14" t="n">
        <v>57.9</v>
      </c>
      <c r="F31" s="14" t="n">
        <v>73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33.2</v>
      </c>
      <c r="E32" s="14" t="n">
        <v>58.3</v>
      </c>
      <c r="F32" s="14" t="n">
        <v>74.7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33</v>
      </c>
      <c r="E33" s="14" t="n">
        <v>58.1</v>
      </c>
      <c r="F33" s="14" t="n">
        <v>73.7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33.2</v>
      </c>
      <c r="E34" s="14" t="n">
        <v>57.6</v>
      </c>
      <c r="F34" s="14" t="n">
        <v>74.3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33.4</v>
      </c>
      <c r="E35" s="14" t="n">
        <v>57.6</v>
      </c>
      <c r="F35" s="14" t="n">
        <v>75.8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33.3</v>
      </c>
      <c r="E36" s="14" t="n">
        <v>56.9</v>
      </c>
      <c r="F36" s="14" t="n">
        <v>74.2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32.8</v>
      </c>
      <c r="E37" s="14" t="n">
        <v>56.2</v>
      </c>
      <c r="F37" s="14" t="n">
        <v>75.2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33</v>
      </c>
      <c r="E38" s="14" t="n">
        <v>56.6</v>
      </c>
      <c r="F38" s="14" t="n">
        <v>73.2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32.9</v>
      </c>
      <c r="E39" s="14" t="n">
        <v>56.7</v>
      </c>
      <c r="F39" s="14" t="n">
        <v>73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32.6</v>
      </c>
      <c r="E40" s="14" t="n">
        <v>56.4</v>
      </c>
      <c r="F40" s="14" t="n">
        <v>73.59999999999999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32.7</v>
      </c>
      <c r="E41" s="14" t="n">
        <v>56.1</v>
      </c>
      <c r="F41" s="14" t="n">
        <v>73.2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32.5</v>
      </c>
      <c r="E42" s="14" t="n">
        <v>55.6</v>
      </c>
      <c r="F42" s="14" t="n">
        <v>71.59999999999999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31.7</v>
      </c>
      <c r="E43" s="14" t="n">
        <v>55</v>
      </c>
      <c r="F43" s="14" t="n">
        <v>72.7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32.2</v>
      </c>
      <c r="E44" s="14" t="n">
        <v>55.4</v>
      </c>
      <c r="F44" s="14" t="n">
        <v>72.5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31.9</v>
      </c>
      <c r="E45" s="14" t="n">
        <v>55.6</v>
      </c>
      <c r="F45" s="14" t="n">
        <v>72.40000000000001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31.7</v>
      </c>
      <c r="E46" s="14" t="n">
        <v>54.6</v>
      </c>
      <c r="F46" s="14" t="n">
        <v>71.40000000000001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31.8</v>
      </c>
      <c r="E47" s="14" t="n">
        <v>55.2</v>
      </c>
      <c r="F47" s="14" t="n">
        <v>71.8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31.8</v>
      </c>
      <c r="E48" s="14" t="n">
        <v>54.7</v>
      </c>
      <c r="F48" s="14" t="n">
        <v>71.40000000000001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31.7</v>
      </c>
      <c r="E49" s="14" t="n">
        <v>54</v>
      </c>
      <c r="F49" s="14" t="n">
        <v>70.59999999999999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31.1</v>
      </c>
      <c r="E50" s="14" t="n">
        <v>54.5</v>
      </c>
      <c r="F50" s="14" t="n">
        <v>70.3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30.6</v>
      </c>
      <c r="E51" s="14" t="n">
        <v>53.7</v>
      </c>
      <c r="F51" s="14" t="n">
        <v>70.7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30.9</v>
      </c>
      <c r="E52" s="14" t="n">
        <v>53</v>
      </c>
      <c r="F52" s="14" t="n">
        <v>69.7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30.5</v>
      </c>
      <c r="E53" s="14" t="n">
        <v>53.3</v>
      </c>
      <c r="F53" s="14" t="n">
        <v>69.09999999999999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30.1</v>
      </c>
      <c r="E54" s="14" t="n">
        <v>52.3</v>
      </c>
      <c r="F54" s="14" t="n">
        <v>69.7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29.8</v>
      </c>
      <c r="E55" s="14" t="n">
        <v>52.1</v>
      </c>
      <c r="F55" s="14" t="n">
        <v>67.90000000000001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30</v>
      </c>
      <c r="E56" s="14" t="n">
        <v>51.7</v>
      </c>
      <c r="F56" s="14" t="n">
        <v>68.09999999999999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29.7</v>
      </c>
      <c r="E57" s="14" t="n">
        <v>51.9</v>
      </c>
      <c r="F57" s="14" t="n">
        <v>67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29.3</v>
      </c>
      <c r="E58" s="14" t="n">
        <v>51.7</v>
      </c>
      <c r="F58" s="14" t="n">
        <v>68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29.2</v>
      </c>
      <c r="E59" s="14" t="n">
        <v>51.3</v>
      </c>
      <c r="F59" s="14" t="n">
        <v>68.09999999999999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29.1</v>
      </c>
      <c r="E60" s="14" t="n">
        <v>50.4</v>
      </c>
      <c r="F60" s="14" t="n">
        <v>67.3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29</v>
      </c>
      <c r="E61" s="14" t="n">
        <v>50.1</v>
      </c>
      <c r="F61" s="14" t="n">
        <v>66.40000000000001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28.9</v>
      </c>
      <c r="E62" s="14" t="n">
        <v>51</v>
      </c>
      <c r="F62" s="14" t="n">
        <v>66.7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28.9</v>
      </c>
      <c r="E63" s="14" t="n">
        <v>50.4</v>
      </c>
      <c r="F63" s="14" t="n">
        <v>67.2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28.2</v>
      </c>
      <c r="E64" s="14" t="n">
        <v>49.2</v>
      </c>
      <c r="F64" s="14" t="n">
        <v>67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27.7</v>
      </c>
      <c r="E65" s="14" t="n">
        <v>48.9</v>
      </c>
      <c r="F65" s="14" t="n">
        <v>65.90000000000001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28</v>
      </c>
      <c r="E66" s="14" t="n">
        <v>48.4</v>
      </c>
      <c r="F66" s="14" t="n">
        <v>65.59999999999999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27.7</v>
      </c>
      <c r="E67" s="14" t="n">
        <v>49</v>
      </c>
      <c r="F67" s="14" t="n">
        <v>64.59999999999999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27.6</v>
      </c>
      <c r="E68" s="14" t="n">
        <v>48.2</v>
      </c>
      <c r="F68" s="14" t="n">
        <v>64.3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CBH-22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6.5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0.1003262134743136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1.92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21.37521964420468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172.8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17.7</v>
      </c>
      <c r="E9" s="13" t="n">
        <v>26.5</v>
      </c>
      <c r="F9" s="13" t="n">
        <v>34.8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23.3</v>
      </c>
      <c r="E10" s="13" t="n">
        <v>35.8</v>
      </c>
      <c r="F10" s="13" t="n">
        <v>46.9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24.6</v>
      </c>
      <c r="E11" s="13" t="n">
        <v>40.4</v>
      </c>
      <c r="F11" s="13" t="n">
        <v>54.9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25.3</v>
      </c>
      <c r="E12" s="13" t="n">
        <v>41.3</v>
      </c>
      <c r="F12" s="13" t="n">
        <v>57.5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26.1</v>
      </c>
      <c r="E13" s="13" t="n">
        <v>43.5</v>
      </c>
      <c r="F13" s="13" t="n">
        <v>57.5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26.4</v>
      </c>
      <c r="E14" s="13" t="n">
        <v>46.1</v>
      </c>
      <c r="F14" s="13" t="n">
        <v>60.9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27.6</v>
      </c>
      <c r="E15" s="13" t="n">
        <v>46.8</v>
      </c>
      <c r="F15" s="13" t="n">
        <v>60.8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28.9</v>
      </c>
      <c r="E16" s="13" t="n">
        <v>47.1</v>
      </c>
      <c r="F16" s="13" t="n">
        <v>63.5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28.1</v>
      </c>
      <c r="E17" s="13" t="n">
        <v>50</v>
      </c>
      <c r="F17" s="13" t="n">
        <v>66.09999999999999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28.8</v>
      </c>
      <c r="E18" s="13" t="n">
        <v>49.8</v>
      </c>
      <c r="F18" s="13" t="n">
        <v>65.09999999999999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30.1</v>
      </c>
      <c r="E19" s="13" t="n">
        <v>49.6</v>
      </c>
      <c r="F19" s="13" t="n">
        <v>66.7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30.5</v>
      </c>
      <c r="E20" s="13" t="n">
        <v>50.9</v>
      </c>
      <c r="F20" s="13" t="n">
        <v>65.09999999999999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29.6</v>
      </c>
      <c r="E21" s="13" t="n">
        <v>51.7</v>
      </c>
      <c r="F21" s="13" t="n">
        <v>68.5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30.2</v>
      </c>
      <c r="E22" s="13" t="n">
        <v>50.9</v>
      </c>
      <c r="F22" s="13" t="n">
        <v>69.8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30</v>
      </c>
      <c r="E23" s="13" t="n">
        <v>53.1</v>
      </c>
      <c r="F23" s="13" t="n">
        <v>69.5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30.1</v>
      </c>
      <c r="E24" s="13" t="n">
        <v>52.9</v>
      </c>
      <c r="F24" s="13" t="n">
        <v>71.09999999999999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28.7</v>
      </c>
      <c r="E25" s="13" t="n">
        <v>53.2</v>
      </c>
      <c r="F25" s="13" t="n">
        <v>70.90000000000001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29.9</v>
      </c>
      <c r="E26" s="13" t="n">
        <v>53</v>
      </c>
      <c r="F26" s="13" t="n">
        <v>70.59999999999999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28.9</v>
      </c>
      <c r="E27" s="13" t="n">
        <v>52.8</v>
      </c>
      <c r="F27" s="13" t="n">
        <v>68.7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29.2</v>
      </c>
      <c r="E28" s="14" t="n">
        <v>52.6</v>
      </c>
      <c r="F28" s="14" t="n">
        <v>70.09999999999999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29</v>
      </c>
      <c r="E29" s="14" t="n">
        <v>51.4</v>
      </c>
      <c r="F29" s="14" t="n">
        <v>68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29.4</v>
      </c>
      <c r="E30" s="14" t="n">
        <v>52.2</v>
      </c>
      <c r="F30" s="14" t="n">
        <v>69.59999999999999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27.9</v>
      </c>
      <c r="E31" s="14" t="n">
        <v>52.1</v>
      </c>
      <c r="F31" s="14" t="n">
        <v>67.90000000000001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28.2</v>
      </c>
      <c r="E32" s="14" t="n">
        <v>51.9</v>
      </c>
      <c r="F32" s="14" t="n">
        <v>69.09999999999999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28.7</v>
      </c>
      <c r="E33" s="14" t="n">
        <v>51.7</v>
      </c>
      <c r="F33" s="14" t="n">
        <v>68.90000000000001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28.1</v>
      </c>
      <c r="E34" s="14" t="n">
        <v>51.5</v>
      </c>
      <c r="F34" s="14" t="n">
        <v>66.8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28.2</v>
      </c>
      <c r="E35" s="14" t="n">
        <v>49</v>
      </c>
      <c r="F35" s="14" t="n">
        <v>68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28.8</v>
      </c>
      <c r="E36" s="14" t="n">
        <v>51.1</v>
      </c>
      <c r="F36" s="14" t="n">
        <v>66.09999999999999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27.5</v>
      </c>
      <c r="E37" s="14" t="n">
        <v>50.3</v>
      </c>
      <c r="F37" s="14" t="n">
        <v>67.90000000000001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28.2</v>
      </c>
      <c r="E38" s="14" t="n">
        <v>50.7</v>
      </c>
      <c r="F38" s="14" t="n">
        <v>64.2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27.8</v>
      </c>
      <c r="E39" s="14" t="n">
        <v>50.1</v>
      </c>
      <c r="F39" s="14" t="n">
        <v>67.09999999999999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27.3</v>
      </c>
      <c r="E40" s="14" t="n">
        <v>50.4</v>
      </c>
      <c r="F40" s="14" t="n">
        <v>67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26.2</v>
      </c>
      <c r="E41" s="14" t="n">
        <v>48.6</v>
      </c>
      <c r="F41" s="14" t="n">
        <v>64.59999999999999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26.6</v>
      </c>
      <c r="E42" s="14" t="n">
        <v>48</v>
      </c>
      <c r="F42" s="14" t="n">
        <v>66.40000000000001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28.1</v>
      </c>
      <c r="E43" s="14" t="n">
        <v>48.9</v>
      </c>
      <c r="F43" s="14" t="n">
        <v>61.7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26.4</v>
      </c>
      <c r="E44" s="14" t="n">
        <v>48.3</v>
      </c>
      <c r="F44" s="14" t="n">
        <v>63.9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25.9</v>
      </c>
      <c r="E45" s="14" t="n">
        <v>45.5</v>
      </c>
      <c r="F45" s="14" t="n">
        <v>63.7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26</v>
      </c>
      <c r="E46" s="14" t="n">
        <v>47.6</v>
      </c>
      <c r="F46" s="14" t="n">
        <v>62.1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25.9</v>
      </c>
      <c r="E47" s="14" t="n">
        <v>46.2</v>
      </c>
      <c r="F47" s="14" t="n">
        <v>62.2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24.8</v>
      </c>
      <c r="E48" s="14" t="n">
        <v>47.3</v>
      </c>
      <c r="F48" s="14" t="n">
        <v>62.4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26.1</v>
      </c>
      <c r="E49" s="14" t="n">
        <v>44.5</v>
      </c>
      <c r="F49" s="14" t="n">
        <v>60.4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25.7</v>
      </c>
      <c r="E50" s="14" t="n">
        <v>46</v>
      </c>
      <c r="F50" s="14" t="n">
        <v>63.3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25.2</v>
      </c>
      <c r="E51" s="14" t="n">
        <v>45</v>
      </c>
      <c r="F51" s="14" t="n">
        <v>60.9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25.6</v>
      </c>
      <c r="E52" s="14" t="n">
        <v>45.6</v>
      </c>
      <c r="F52" s="14" t="n">
        <v>62.5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24.3</v>
      </c>
      <c r="E53" s="14" t="n">
        <v>44.3</v>
      </c>
      <c r="F53" s="14" t="n">
        <v>59.5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24.5</v>
      </c>
      <c r="E54" s="14" t="n">
        <v>43.2</v>
      </c>
      <c r="F54" s="14" t="n">
        <v>57.4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24.3</v>
      </c>
      <c r="E55" s="14" t="n">
        <v>42.1</v>
      </c>
      <c r="F55" s="14" t="n">
        <v>60.9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24.5</v>
      </c>
      <c r="E56" s="14" t="n">
        <v>43.1</v>
      </c>
      <c r="F56" s="14" t="n">
        <v>56.5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23.4</v>
      </c>
      <c r="E57" s="14" t="n">
        <v>42.5</v>
      </c>
      <c r="F57" s="14" t="n">
        <v>58.5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24.1</v>
      </c>
      <c r="E58" s="14" t="n">
        <v>39.6</v>
      </c>
      <c r="F58" s="14" t="n">
        <v>55.7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23.1</v>
      </c>
      <c r="E59" s="14" t="n">
        <v>41.6</v>
      </c>
      <c r="F59" s="14" t="n">
        <v>58.7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23.5</v>
      </c>
      <c r="E60" s="14" t="n">
        <v>40.5</v>
      </c>
      <c r="F60" s="14" t="n">
        <v>55.5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23.6</v>
      </c>
      <c r="E61" s="14" t="n">
        <v>40.9</v>
      </c>
      <c r="F61" s="14" t="n">
        <v>57.4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22.5</v>
      </c>
      <c r="E62" s="14" t="n">
        <v>39.7</v>
      </c>
      <c r="F62" s="14" t="n">
        <v>56.6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21.7</v>
      </c>
      <c r="E63" s="14" t="n">
        <v>38.7</v>
      </c>
      <c r="F63" s="14" t="n">
        <v>54.1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21.2</v>
      </c>
      <c r="E64" s="14" t="n">
        <v>38.6</v>
      </c>
      <c r="F64" s="14" t="n">
        <v>56.3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21.8</v>
      </c>
      <c r="E65" s="14" t="n">
        <v>38.1</v>
      </c>
      <c r="F65" s="14" t="n">
        <v>54.9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21.2</v>
      </c>
      <c r="E66" s="14" t="n">
        <v>37.8</v>
      </c>
      <c r="F66" s="14" t="n">
        <v>52.4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21.1</v>
      </c>
      <c r="E67" s="14" t="n">
        <v>38.1</v>
      </c>
      <c r="F67" s="14" t="n">
        <v>52.9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21</v>
      </c>
      <c r="E68" s="14" t="n">
        <v>37.8</v>
      </c>
      <c r="F68" s="14" t="n">
        <v>54.3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CBH-22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7.5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0.1250640577684604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1.92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23.54909310652045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172.8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12.8</v>
      </c>
      <c r="E9" s="13" t="n">
        <v>18.9</v>
      </c>
      <c r="F9" s="13" t="n">
        <v>31.4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18.3</v>
      </c>
      <c r="E10" s="13" t="n">
        <v>27.4</v>
      </c>
      <c r="F10" s="13" t="n">
        <v>44.4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22.4</v>
      </c>
      <c r="E11" s="13" t="n">
        <v>34.1</v>
      </c>
      <c r="F11" s="13" t="n">
        <v>54.9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26.4</v>
      </c>
      <c r="E12" s="13" t="n">
        <v>38.6</v>
      </c>
      <c r="F12" s="13" t="n">
        <v>61.2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27.6</v>
      </c>
      <c r="E13" s="13" t="n">
        <v>42.6</v>
      </c>
      <c r="F13" s="13" t="n">
        <v>63.1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28.6</v>
      </c>
      <c r="E14" s="13" t="n">
        <v>44.1</v>
      </c>
      <c r="F14" s="13" t="n">
        <v>64.40000000000001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29.2</v>
      </c>
      <c r="E15" s="13" t="n">
        <v>44.7</v>
      </c>
      <c r="F15" s="13" t="n">
        <v>66.09999999999999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29.2</v>
      </c>
      <c r="E16" s="13" t="n">
        <v>45.5</v>
      </c>
      <c r="F16" s="13" t="n">
        <v>67.3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30.5</v>
      </c>
      <c r="E17" s="13" t="n">
        <v>46</v>
      </c>
      <c r="F17" s="13" t="n">
        <v>68.59999999999999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30.8</v>
      </c>
      <c r="E18" s="13" t="n">
        <v>45.6</v>
      </c>
      <c r="F18" s="13" t="n">
        <v>69.3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31</v>
      </c>
      <c r="E19" s="13" t="n">
        <v>47.2</v>
      </c>
      <c r="F19" s="13" t="n">
        <v>71.40000000000001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31.7</v>
      </c>
      <c r="E20" s="13" t="n">
        <v>48.5</v>
      </c>
      <c r="F20" s="13" t="n">
        <v>72.59999999999999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32.1</v>
      </c>
      <c r="E21" s="13" t="n">
        <v>49.1</v>
      </c>
      <c r="F21" s="13" t="n">
        <v>72.59999999999999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32.5</v>
      </c>
      <c r="E22" s="13" t="n">
        <v>49.7</v>
      </c>
      <c r="F22" s="13" t="n">
        <v>74.3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32.7</v>
      </c>
      <c r="E23" s="13" t="n">
        <v>50.2</v>
      </c>
      <c r="F23" s="13" t="n">
        <v>75.2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33.4</v>
      </c>
      <c r="E24" s="13" t="n">
        <v>49.4</v>
      </c>
      <c r="F24" s="13" t="n">
        <v>76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33.7</v>
      </c>
      <c r="E25" s="13" t="n">
        <v>50.6</v>
      </c>
      <c r="F25" s="13" t="n">
        <v>77.3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33.5</v>
      </c>
      <c r="E26" s="13" t="n">
        <v>51.6</v>
      </c>
      <c r="F26" s="13" t="n">
        <v>77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34</v>
      </c>
      <c r="E27" s="13" t="n">
        <v>52.3</v>
      </c>
      <c r="F27" s="13" t="n">
        <v>78.2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34.5</v>
      </c>
      <c r="E28" s="14" t="n">
        <v>51.7</v>
      </c>
      <c r="F28" s="14" t="n">
        <v>78.2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34.4</v>
      </c>
      <c r="E29" s="14" t="n">
        <v>52.5</v>
      </c>
      <c r="F29" s="14" t="n">
        <v>78.3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34.6</v>
      </c>
      <c r="E30" s="14" t="n">
        <v>52.5</v>
      </c>
      <c r="F30" s="14" t="n">
        <v>78.5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34.2</v>
      </c>
      <c r="E31" s="14" t="n">
        <v>52.2</v>
      </c>
      <c r="F31" s="14" t="n">
        <v>79.2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34.7</v>
      </c>
      <c r="E32" s="14" t="n">
        <v>52.7</v>
      </c>
      <c r="F32" s="14" t="n">
        <v>79.40000000000001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34.6</v>
      </c>
      <c r="E33" s="14" t="n">
        <v>52.2</v>
      </c>
      <c r="F33" s="14" t="n">
        <v>80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35.3</v>
      </c>
      <c r="E34" s="14" t="n">
        <v>53.4</v>
      </c>
      <c r="F34" s="14" t="n">
        <v>79.7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35.4</v>
      </c>
      <c r="E35" s="14" t="n">
        <v>52.9</v>
      </c>
      <c r="F35" s="14" t="n">
        <v>79.3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35.4</v>
      </c>
      <c r="E36" s="14" t="n">
        <v>54</v>
      </c>
      <c r="F36" s="14" t="n">
        <v>79.09999999999999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35.1</v>
      </c>
      <c r="E37" s="14" t="n">
        <v>54.2</v>
      </c>
      <c r="F37" s="14" t="n">
        <v>77.8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35.1</v>
      </c>
      <c r="E38" s="14" t="n">
        <v>54</v>
      </c>
      <c r="F38" s="14" t="n">
        <v>78.59999999999999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34.7</v>
      </c>
      <c r="E39" s="14" t="n">
        <v>53.6</v>
      </c>
      <c r="F39" s="14" t="n">
        <v>76.8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34.3</v>
      </c>
      <c r="E40" s="14" t="n">
        <v>53.6</v>
      </c>
      <c r="F40" s="14" t="n">
        <v>77.3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34.5</v>
      </c>
      <c r="E41" s="14" t="n">
        <v>53.4</v>
      </c>
      <c r="F41" s="14" t="n">
        <v>77.7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34</v>
      </c>
      <c r="E42" s="14" t="n">
        <v>53.2</v>
      </c>
      <c r="F42" s="14" t="n">
        <v>75.7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34.5</v>
      </c>
      <c r="E43" s="14" t="n">
        <v>53</v>
      </c>
      <c r="F43" s="14" t="n">
        <v>74.7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34.1</v>
      </c>
      <c r="E44" s="14" t="n">
        <v>51.9</v>
      </c>
      <c r="F44" s="14" t="n">
        <v>75.59999999999999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34.2</v>
      </c>
      <c r="E45" s="14" t="n">
        <v>52.6</v>
      </c>
      <c r="F45" s="14" t="n">
        <v>75.59999999999999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33.8</v>
      </c>
      <c r="E46" s="14" t="n">
        <v>52.1</v>
      </c>
      <c r="F46" s="14" t="n">
        <v>74.90000000000001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33.9</v>
      </c>
      <c r="E47" s="14" t="n">
        <v>51.8</v>
      </c>
      <c r="F47" s="14" t="n">
        <v>73.8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33.6</v>
      </c>
      <c r="E48" s="14" t="n">
        <v>51.2</v>
      </c>
      <c r="F48" s="14" t="n">
        <v>73.90000000000001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32.8</v>
      </c>
      <c r="E49" s="14" t="n">
        <v>51.5</v>
      </c>
      <c r="F49" s="14" t="n">
        <v>74.2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33.3</v>
      </c>
      <c r="E50" s="14" t="n">
        <v>50.9</v>
      </c>
      <c r="F50" s="14" t="n">
        <v>73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32.6</v>
      </c>
      <c r="E51" s="14" t="n">
        <v>50.4</v>
      </c>
      <c r="F51" s="14" t="n">
        <v>72.90000000000001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32.7</v>
      </c>
      <c r="E52" s="14" t="n">
        <v>50.3</v>
      </c>
      <c r="F52" s="14" t="n">
        <v>72.90000000000001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32.4</v>
      </c>
      <c r="E53" s="14" t="n">
        <v>49.7</v>
      </c>
      <c r="F53" s="14" t="n">
        <v>72.8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31.8</v>
      </c>
      <c r="E54" s="14" t="n">
        <v>49.7</v>
      </c>
      <c r="F54" s="14" t="n">
        <v>72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31.8</v>
      </c>
      <c r="E55" s="14" t="n">
        <v>50.6</v>
      </c>
      <c r="F55" s="14" t="n">
        <v>70.59999999999999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31.9</v>
      </c>
      <c r="E56" s="14" t="n">
        <v>49.5</v>
      </c>
      <c r="F56" s="14" t="n">
        <v>71.2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31.8</v>
      </c>
      <c r="E57" s="14" t="n">
        <v>48.8</v>
      </c>
      <c r="F57" s="14" t="n">
        <v>70.40000000000001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32</v>
      </c>
      <c r="E58" s="14" t="n">
        <v>48.8</v>
      </c>
      <c r="F58" s="14" t="n">
        <v>70.3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31.7</v>
      </c>
      <c r="E59" s="14" t="n">
        <v>48.4</v>
      </c>
      <c r="F59" s="14" t="n">
        <v>68.7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31.2</v>
      </c>
      <c r="E60" s="14" t="n">
        <v>48</v>
      </c>
      <c r="F60" s="14" t="n">
        <v>70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30.2</v>
      </c>
      <c r="E61" s="14" t="n">
        <v>48.1</v>
      </c>
      <c r="F61" s="14" t="n">
        <v>68.5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30.8</v>
      </c>
      <c r="E62" s="14" t="n">
        <v>48</v>
      </c>
      <c r="F62" s="14" t="n">
        <v>66.8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30.8</v>
      </c>
      <c r="E63" s="14" t="n">
        <v>46.9</v>
      </c>
      <c r="F63" s="14" t="n">
        <v>68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30.1</v>
      </c>
      <c r="E64" s="14" t="n">
        <v>48</v>
      </c>
      <c r="F64" s="14" t="n">
        <v>68.2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30.1</v>
      </c>
      <c r="E65" s="14" t="n">
        <v>46.9</v>
      </c>
      <c r="F65" s="14" t="n">
        <v>67.5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29.9</v>
      </c>
      <c r="E66" s="14" t="n">
        <v>46.2</v>
      </c>
      <c r="F66" s="14" t="n">
        <v>66.3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29.6</v>
      </c>
      <c r="E67" s="14" t="n">
        <v>46.3</v>
      </c>
      <c r="F67" s="14" t="n">
        <v>65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29.4</v>
      </c>
      <c r="E68" s="14" t="n">
        <v>46.6</v>
      </c>
      <c r="F68" s="14" t="n">
        <v>65.5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CBH-22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9.5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0.1229586275574869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1.97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23.75635163118764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177.3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14</v>
      </c>
      <c r="E9" s="13" t="n">
        <v>21.4</v>
      </c>
      <c r="F9" s="13" t="n">
        <v>34.6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19.6</v>
      </c>
      <c r="E10" s="13" t="n">
        <v>30.6</v>
      </c>
      <c r="F10" s="13" t="n">
        <v>49.4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24.4</v>
      </c>
      <c r="E11" s="13" t="n">
        <v>37.4</v>
      </c>
      <c r="F11" s="13" t="n">
        <v>59.4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26.3</v>
      </c>
      <c r="E12" s="13" t="n">
        <v>43</v>
      </c>
      <c r="F12" s="13" t="n">
        <v>62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27.5</v>
      </c>
      <c r="E13" s="13" t="n">
        <v>45.6</v>
      </c>
      <c r="F13" s="13" t="n">
        <v>64.09999999999999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27.9</v>
      </c>
      <c r="E14" s="13" t="n">
        <v>47.2</v>
      </c>
      <c r="F14" s="13" t="n">
        <v>66.90000000000001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29</v>
      </c>
      <c r="E15" s="13" t="n">
        <v>47.6</v>
      </c>
      <c r="F15" s="13" t="n">
        <v>67.90000000000001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29.3</v>
      </c>
      <c r="E16" s="13" t="n">
        <v>48.6</v>
      </c>
      <c r="F16" s="13" t="n">
        <v>69.59999999999999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29.7</v>
      </c>
      <c r="E17" s="13" t="n">
        <v>49.6</v>
      </c>
      <c r="F17" s="13" t="n">
        <v>70.3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30.4</v>
      </c>
      <c r="E18" s="13" t="n">
        <v>50.2</v>
      </c>
      <c r="F18" s="13" t="n">
        <v>71.5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30.9</v>
      </c>
      <c r="E19" s="13" t="n">
        <v>51.2</v>
      </c>
      <c r="F19" s="13" t="n">
        <v>73.59999999999999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31.2</v>
      </c>
      <c r="E20" s="13" t="n">
        <v>52.4</v>
      </c>
      <c r="F20" s="13" t="n">
        <v>76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31.5</v>
      </c>
      <c r="E21" s="13" t="n">
        <v>51.8</v>
      </c>
      <c r="F21" s="13" t="n">
        <v>76.8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31.6</v>
      </c>
      <c r="E22" s="13" t="n">
        <v>52.6</v>
      </c>
      <c r="F22" s="13" t="n">
        <v>76.09999999999999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32</v>
      </c>
      <c r="E23" s="13" t="n">
        <v>53</v>
      </c>
      <c r="F23" s="13" t="n">
        <v>76.59999999999999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33.5</v>
      </c>
      <c r="E24" s="13" t="n">
        <v>54.1</v>
      </c>
      <c r="F24" s="13" t="n">
        <v>78.09999999999999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32.6</v>
      </c>
      <c r="E25" s="13" t="n">
        <v>54</v>
      </c>
      <c r="F25" s="13" t="n">
        <v>78.3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32.8</v>
      </c>
      <c r="E26" s="13" t="n">
        <v>54.8</v>
      </c>
      <c r="F26" s="13" t="n">
        <v>78.8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33.3</v>
      </c>
      <c r="E27" s="13" t="n">
        <v>56</v>
      </c>
      <c r="F27" s="13" t="n">
        <v>78.09999999999999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33.2</v>
      </c>
      <c r="E28" s="14" t="n">
        <v>56.5</v>
      </c>
      <c r="F28" s="14" t="n">
        <v>80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33.4</v>
      </c>
      <c r="E29" s="14" t="n">
        <v>55.6</v>
      </c>
      <c r="F29" s="14" t="n">
        <v>79.40000000000001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33.5</v>
      </c>
      <c r="E30" s="14" t="n">
        <v>57.4</v>
      </c>
      <c r="F30" s="14" t="n">
        <v>79.40000000000001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34.1</v>
      </c>
      <c r="E31" s="14" t="n">
        <v>56.9</v>
      </c>
      <c r="F31" s="14" t="n">
        <v>78.09999999999999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34</v>
      </c>
      <c r="E32" s="14" t="n">
        <v>57</v>
      </c>
      <c r="F32" s="14" t="n">
        <v>78.5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33.7</v>
      </c>
      <c r="E33" s="14" t="n">
        <v>56.8</v>
      </c>
      <c r="F33" s="14" t="n">
        <v>78.5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33.5</v>
      </c>
      <c r="E34" s="14" t="n">
        <v>57.2</v>
      </c>
      <c r="F34" s="14" t="n">
        <v>77.8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33.4</v>
      </c>
      <c r="E35" s="14" t="n">
        <v>57.1</v>
      </c>
      <c r="F35" s="14" t="n">
        <v>77.40000000000001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33.5</v>
      </c>
      <c r="E36" s="14" t="n">
        <v>58.4</v>
      </c>
      <c r="F36" s="14" t="n">
        <v>76.90000000000001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33.2</v>
      </c>
      <c r="E37" s="14" t="n">
        <v>58.2</v>
      </c>
      <c r="F37" s="14" t="n">
        <v>76.7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33.2</v>
      </c>
      <c r="E38" s="14" t="n">
        <v>57</v>
      </c>
      <c r="F38" s="14" t="n">
        <v>77.09999999999999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33.1</v>
      </c>
      <c r="E39" s="14" t="n">
        <v>57.7</v>
      </c>
      <c r="F39" s="14" t="n">
        <v>76.8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33</v>
      </c>
      <c r="E40" s="14" t="n">
        <v>57.5</v>
      </c>
      <c r="F40" s="14" t="n">
        <v>74.5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31.7</v>
      </c>
      <c r="E41" s="14" t="n">
        <v>57.3</v>
      </c>
      <c r="F41" s="14" t="n">
        <v>75.59999999999999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32</v>
      </c>
      <c r="E42" s="14" t="n">
        <v>56.8</v>
      </c>
      <c r="F42" s="14" t="n">
        <v>74.40000000000001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32.6</v>
      </c>
      <c r="E43" s="14" t="n">
        <v>56</v>
      </c>
      <c r="F43" s="14" t="n">
        <v>75.7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31.9</v>
      </c>
      <c r="E44" s="14" t="n">
        <v>56.7</v>
      </c>
      <c r="F44" s="14" t="n">
        <v>73.8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31.8</v>
      </c>
      <c r="E45" s="14" t="n">
        <v>56.5</v>
      </c>
      <c r="F45" s="14" t="n">
        <v>74.09999999999999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31.7</v>
      </c>
      <c r="E46" s="14" t="n">
        <v>56</v>
      </c>
      <c r="F46" s="14" t="n">
        <v>72.8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31.2</v>
      </c>
      <c r="E47" s="14" t="n">
        <v>55.4</v>
      </c>
      <c r="F47" s="14" t="n">
        <v>72.09999999999999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31.6</v>
      </c>
      <c r="E48" s="14" t="n">
        <v>55.5</v>
      </c>
      <c r="F48" s="14" t="n">
        <v>72.8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31.4</v>
      </c>
      <c r="E49" s="14" t="n">
        <v>54.3</v>
      </c>
      <c r="F49" s="14" t="n">
        <v>71.3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31.4</v>
      </c>
      <c r="E50" s="14" t="n">
        <v>54.5</v>
      </c>
      <c r="F50" s="14" t="n">
        <v>72.3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30.8</v>
      </c>
      <c r="E51" s="14" t="n">
        <v>54</v>
      </c>
      <c r="F51" s="14" t="n">
        <v>72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31.3</v>
      </c>
      <c r="E52" s="14" t="n">
        <v>53.1</v>
      </c>
      <c r="F52" s="14" t="n">
        <v>70.3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31.4</v>
      </c>
      <c r="E53" s="14" t="n">
        <v>54.4</v>
      </c>
      <c r="F53" s="14" t="n">
        <v>70.59999999999999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30.6</v>
      </c>
      <c r="E54" s="14" t="n">
        <v>53.8</v>
      </c>
      <c r="F54" s="14" t="n">
        <v>69.90000000000001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31.1</v>
      </c>
      <c r="E55" s="14" t="n">
        <v>52.4</v>
      </c>
      <c r="F55" s="14" t="n">
        <v>68.09999999999999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30.6</v>
      </c>
      <c r="E56" s="14" t="n">
        <v>52.5</v>
      </c>
      <c r="F56" s="14" t="n">
        <v>69.5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30.8</v>
      </c>
      <c r="E57" s="14" t="n">
        <v>51.7</v>
      </c>
      <c r="F57" s="14" t="n">
        <v>68.59999999999999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30.8</v>
      </c>
      <c r="E58" s="14" t="n">
        <v>52</v>
      </c>
      <c r="F58" s="14" t="n">
        <v>67.59999999999999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29.9</v>
      </c>
      <c r="E59" s="14" t="n">
        <v>52</v>
      </c>
      <c r="F59" s="14" t="n">
        <v>67.59999999999999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30</v>
      </c>
      <c r="E60" s="14" t="n">
        <v>50.5</v>
      </c>
      <c r="F60" s="14" t="n">
        <v>66.59999999999999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30.1</v>
      </c>
      <c r="E61" s="14" t="n">
        <v>51.2</v>
      </c>
      <c r="F61" s="14" t="n">
        <v>67.5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29.5</v>
      </c>
      <c r="E62" s="14" t="n">
        <v>50.6</v>
      </c>
      <c r="F62" s="14" t="n">
        <v>65.5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29.9</v>
      </c>
      <c r="E63" s="14" t="n">
        <v>50.6</v>
      </c>
      <c r="F63" s="14" t="n">
        <v>67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29.5</v>
      </c>
      <c r="E64" s="14" t="n">
        <v>50.2</v>
      </c>
      <c r="F64" s="14" t="n">
        <v>66.2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29.5</v>
      </c>
      <c r="E65" s="14" t="n">
        <v>48.8</v>
      </c>
      <c r="F65" s="14" t="n">
        <v>65.09999999999999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29.2</v>
      </c>
      <c r="E66" s="14" t="n">
        <v>49.3</v>
      </c>
      <c r="F66" s="14" t="n">
        <v>64.7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29.1</v>
      </c>
      <c r="E67" s="14" t="n">
        <v>48.2</v>
      </c>
      <c r="F67" s="14" t="n">
        <v>63.4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28.9</v>
      </c>
      <c r="E68" s="14" t="n">
        <v>48.2</v>
      </c>
      <c r="F68" s="14" t="n">
        <v>63.2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CBH-22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0.08118681475805412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1.97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27.29974910214159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177.3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19.8</v>
      </c>
      <c r="E9" s="13" t="n">
        <v>32.9</v>
      </c>
      <c r="F9" s="13" t="n">
        <v>40.7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25.7</v>
      </c>
      <c r="E10" s="13" t="n">
        <v>42.1</v>
      </c>
      <c r="F10" s="13" t="n">
        <v>56.6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27.9</v>
      </c>
      <c r="E11" s="13" t="n">
        <v>48.1</v>
      </c>
      <c r="F11" s="13" t="n">
        <v>65.8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29.2</v>
      </c>
      <c r="E12" s="13" t="n">
        <v>51.8</v>
      </c>
      <c r="F12" s="13" t="n">
        <v>70.40000000000001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29.7</v>
      </c>
      <c r="E13" s="13" t="n">
        <v>51.8</v>
      </c>
      <c r="F13" s="13" t="n">
        <v>72.59999999999999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31.4</v>
      </c>
      <c r="E14" s="13" t="n">
        <v>54.8</v>
      </c>
      <c r="F14" s="13" t="n">
        <v>75.59999999999999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33.1</v>
      </c>
      <c r="E15" s="13" t="n">
        <v>55.5</v>
      </c>
      <c r="F15" s="13" t="n">
        <v>76.90000000000001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32.5</v>
      </c>
      <c r="E16" s="13" t="n">
        <v>59</v>
      </c>
      <c r="F16" s="13" t="n">
        <v>77.40000000000001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34.4</v>
      </c>
      <c r="E17" s="13" t="n">
        <v>58</v>
      </c>
      <c r="F17" s="13" t="n">
        <v>78.40000000000001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34.2</v>
      </c>
      <c r="E18" s="13" t="n">
        <v>59.9</v>
      </c>
      <c r="F18" s="13" t="n">
        <v>76.7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34.9</v>
      </c>
      <c r="E19" s="13" t="n">
        <v>62.3</v>
      </c>
      <c r="F19" s="13" t="n">
        <v>82.2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34.8</v>
      </c>
      <c r="E20" s="13" t="n">
        <v>62.1</v>
      </c>
      <c r="F20" s="13" t="n">
        <v>83.7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34.6</v>
      </c>
      <c r="E21" s="13" t="n">
        <v>62.3</v>
      </c>
      <c r="F21" s="13" t="n">
        <v>85.40000000000001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34.5</v>
      </c>
      <c r="E22" s="13" t="n">
        <v>63.7</v>
      </c>
      <c r="F22" s="13" t="n">
        <v>81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34.4</v>
      </c>
      <c r="E23" s="13" t="n">
        <v>62.4</v>
      </c>
      <c r="F23" s="13" t="n">
        <v>83.40000000000001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34.3</v>
      </c>
      <c r="E24" s="13" t="n">
        <v>61.2</v>
      </c>
      <c r="F24" s="13" t="n">
        <v>83.40000000000001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33.5</v>
      </c>
      <c r="E25" s="13" t="n">
        <v>64.3</v>
      </c>
      <c r="F25" s="13" t="n">
        <v>88.09999999999999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33.9</v>
      </c>
      <c r="E26" s="13" t="n">
        <v>64.59999999999999</v>
      </c>
      <c r="F26" s="13" t="n">
        <v>87.8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33.9</v>
      </c>
      <c r="E27" s="13" t="n">
        <v>64.40000000000001</v>
      </c>
      <c r="F27" s="13" t="n">
        <v>85.8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33.8</v>
      </c>
      <c r="E28" s="14" t="n">
        <v>61</v>
      </c>
      <c r="F28" s="14" t="n">
        <v>87.2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33.2</v>
      </c>
      <c r="E29" s="14" t="n">
        <v>63.9</v>
      </c>
      <c r="F29" s="14" t="n">
        <v>86.5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33.6</v>
      </c>
      <c r="E30" s="14" t="n">
        <v>63.7</v>
      </c>
      <c r="F30" s="14" t="n">
        <v>86.59999999999999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33.5</v>
      </c>
      <c r="E31" s="14" t="n">
        <v>63.4</v>
      </c>
      <c r="F31" s="14" t="n">
        <v>84.3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32.2</v>
      </c>
      <c r="E32" s="14" t="n">
        <v>63.2</v>
      </c>
      <c r="F32" s="14" t="n">
        <v>85.90000000000001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33.1</v>
      </c>
      <c r="E33" s="14" t="n">
        <v>63</v>
      </c>
      <c r="F33" s="14" t="n">
        <v>84.90000000000001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32.7</v>
      </c>
      <c r="E34" s="14" t="n">
        <v>62.8</v>
      </c>
      <c r="F34" s="14" t="n">
        <v>85.3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33</v>
      </c>
      <c r="E35" s="14" t="n">
        <v>61.9</v>
      </c>
      <c r="F35" s="14" t="n">
        <v>83.59999999999999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32.7</v>
      </c>
      <c r="E36" s="14" t="n">
        <v>62.3</v>
      </c>
      <c r="F36" s="14" t="n">
        <v>83.40000000000001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32.7</v>
      </c>
      <c r="E37" s="14" t="n">
        <v>61.2</v>
      </c>
      <c r="F37" s="14" t="n">
        <v>83.5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32.6</v>
      </c>
      <c r="E38" s="14" t="n">
        <v>61.5</v>
      </c>
      <c r="F38" s="14" t="n">
        <v>82.3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32.5</v>
      </c>
      <c r="E39" s="14" t="n">
        <v>61.6</v>
      </c>
      <c r="F39" s="14" t="n">
        <v>80.2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32.4</v>
      </c>
      <c r="E40" s="14" t="n">
        <v>61.1</v>
      </c>
      <c r="F40" s="14" t="n">
        <v>81.59999999999999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31.2</v>
      </c>
      <c r="E41" s="14" t="n">
        <v>58.4</v>
      </c>
      <c r="F41" s="14" t="n">
        <v>82.40000000000001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30.1</v>
      </c>
      <c r="E42" s="14" t="n">
        <v>60.1</v>
      </c>
      <c r="F42" s="14" t="n">
        <v>81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31.9</v>
      </c>
      <c r="E43" s="14" t="n">
        <v>57.9</v>
      </c>
      <c r="F43" s="14" t="n">
        <v>78.90000000000001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31.3</v>
      </c>
      <c r="E44" s="14" t="n">
        <v>58.9</v>
      </c>
      <c r="F44" s="14" t="n">
        <v>81.5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30</v>
      </c>
      <c r="E45" s="14" t="n">
        <v>59.7</v>
      </c>
      <c r="F45" s="14" t="n">
        <v>75.5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29.2</v>
      </c>
      <c r="E46" s="14" t="n">
        <v>56.7</v>
      </c>
      <c r="F46" s="14" t="n">
        <v>78.7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30.2</v>
      </c>
      <c r="E47" s="14" t="n">
        <v>57</v>
      </c>
      <c r="F47" s="14" t="n">
        <v>75.40000000000001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30.4</v>
      </c>
      <c r="E48" s="14" t="n">
        <v>57.1</v>
      </c>
      <c r="F48" s="14" t="n">
        <v>75.40000000000001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29.6</v>
      </c>
      <c r="E49" s="14" t="n">
        <v>59.1</v>
      </c>
      <c r="F49" s="14" t="n">
        <v>76.8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29.2</v>
      </c>
      <c r="E50" s="14" t="n">
        <v>56.7</v>
      </c>
      <c r="F50" s="14" t="n">
        <v>73.7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29.1</v>
      </c>
      <c r="E51" s="14" t="n">
        <v>54.3</v>
      </c>
      <c r="F51" s="14" t="n">
        <v>73.2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29</v>
      </c>
      <c r="E52" s="14" t="n">
        <v>52.5</v>
      </c>
      <c r="F52" s="14" t="n">
        <v>75.40000000000001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29.1</v>
      </c>
      <c r="E53" s="14" t="n">
        <v>55.5</v>
      </c>
      <c r="F53" s="14" t="n">
        <v>73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28.6</v>
      </c>
      <c r="E54" s="14" t="n">
        <v>52.9</v>
      </c>
      <c r="F54" s="14" t="n">
        <v>72.8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29.1</v>
      </c>
      <c r="E55" s="14" t="n">
        <v>53.1</v>
      </c>
      <c r="F55" s="14" t="n">
        <v>69.59999999999999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28.2</v>
      </c>
      <c r="E56" s="14" t="n">
        <v>52.3</v>
      </c>
      <c r="F56" s="14" t="n">
        <v>68.7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27.8</v>
      </c>
      <c r="E57" s="14" t="n">
        <v>54.7</v>
      </c>
      <c r="F57" s="14" t="n">
        <v>66.7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27.8</v>
      </c>
      <c r="E58" s="14" t="n">
        <v>51.9</v>
      </c>
      <c r="F58" s="14" t="n">
        <v>70.40000000000001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27.3</v>
      </c>
      <c r="E59" s="14" t="n">
        <v>52</v>
      </c>
      <c r="F59" s="14" t="n">
        <v>69.5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27.4</v>
      </c>
      <c r="E60" s="14" t="n">
        <v>51.1</v>
      </c>
      <c r="F60" s="14" t="n">
        <v>64.3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27.8</v>
      </c>
      <c r="E61" s="14" t="n">
        <v>50.8</v>
      </c>
      <c r="F61" s="14" t="n">
        <v>62.4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26.2</v>
      </c>
      <c r="E62" s="14" t="n">
        <v>48.9</v>
      </c>
      <c r="F62" s="14" t="n">
        <v>62.7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25.5</v>
      </c>
      <c r="E63" s="14" t="n">
        <v>48.3</v>
      </c>
      <c r="F63" s="14" t="n">
        <v>63.3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25.8</v>
      </c>
      <c r="E64" s="14" t="n">
        <v>50</v>
      </c>
      <c r="F64" s="14" t="n">
        <v>61.7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26.2</v>
      </c>
      <c r="E65" s="14" t="n">
        <v>50.5</v>
      </c>
      <c r="F65" s="14" t="n">
        <v>60.9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25.7</v>
      </c>
      <c r="E66" s="14" t="n">
        <v>46.7</v>
      </c>
      <c r="F66" s="14" t="n">
        <v>59.3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25.2</v>
      </c>
      <c r="E67" s="14" t="n">
        <v>48.2</v>
      </c>
      <c r="F67" s="14" t="n">
        <v>57.7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24.7</v>
      </c>
      <c r="E68" s="14" t="n">
        <v>48</v>
      </c>
      <c r="F68" s="14" t="n">
        <v>57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CBH-22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12.5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0.07213029791374936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1.97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28.0102437845739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177.3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19.4</v>
      </c>
      <c r="E9" s="13" t="n">
        <v>38.1</v>
      </c>
      <c r="F9" s="13" t="n">
        <v>41.7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26.9</v>
      </c>
      <c r="E10" s="13" t="n">
        <v>51.1</v>
      </c>
      <c r="F10" s="13" t="n">
        <v>54.9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27.6</v>
      </c>
      <c r="E11" s="13" t="n">
        <v>54.1</v>
      </c>
      <c r="F11" s="13" t="n">
        <v>65.59999999999999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28.4</v>
      </c>
      <c r="E12" s="13" t="n">
        <v>56.3</v>
      </c>
      <c r="F12" s="13" t="n">
        <v>71.7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29.3</v>
      </c>
      <c r="E13" s="13" t="n">
        <v>58.1</v>
      </c>
      <c r="F13" s="13" t="n">
        <v>73.40000000000001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31.2</v>
      </c>
      <c r="E14" s="13" t="n">
        <v>61.2</v>
      </c>
      <c r="F14" s="13" t="n">
        <v>75.90000000000001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32.2</v>
      </c>
      <c r="E15" s="13" t="n">
        <v>61.5</v>
      </c>
      <c r="F15" s="13" t="n">
        <v>75.2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32.8</v>
      </c>
      <c r="E16" s="13" t="n">
        <v>63.1</v>
      </c>
      <c r="F16" s="13" t="n">
        <v>76.8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32.5</v>
      </c>
      <c r="E17" s="13" t="n">
        <v>64</v>
      </c>
      <c r="F17" s="13" t="n">
        <v>80.2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33.7</v>
      </c>
      <c r="E18" s="13" t="n">
        <v>66.2</v>
      </c>
      <c r="F18" s="13" t="n">
        <v>81.8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32.8</v>
      </c>
      <c r="E19" s="13" t="n">
        <v>63.2</v>
      </c>
      <c r="F19" s="13" t="n">
        <v>84.09999999999999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34.7</v>
      </c>
      <c r="E20" s="13" t="n">
        <v>66.7</v>
      </c>
      <c r="F20" s="13" t="n">
        <v>84.09999999999999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34.4</v>
      </c>
      <c r="E21" s="13" t="n">
        <v>66.5</v>
      </c>
      <c r="F21" s="13" t="n">
        <v>84.90000000000001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33.8</v>
      </c>
      <c r="E22" s="13" t="n">
        <v>66.2</v>
      </c>
      <c r="F22" s="13" t="n">
        <v>85.3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34.1</v>
      </c>
      <c r="E23" s="13" t="n">
        <v>66</v>
      </c>
      <c r="F23" s="13" t="n">
        <v>86.3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33.7</v>
      </c>
      <c r="E24" s="13" t="n">
        <v>65.3</v>
      </c>
      <c r="F24" s="13" t="n">
        <v>85.90000000000001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33</v>
      </c>
      <c r="E25" s="13" t="n">
        <v>64</v>
      </c>
      <c r="F25" s="13" t="n">
        <v>84.40000000000001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33.5</v>
      </c>
      <c r="E26" s="13" t="n">
        <v>64.8</v>
      </c>
      <c r="F26" s="13" t="n">
        <v>87.5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33.8</v>
      </c>
      <c r="E27" s="13" t="n">
        <v>62.7</v>
      </c>
      <c r="F27" s="13" t="n">
        <v>88.2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33.3</v>
      </c>
      <c r="E28" s="14" t="n">
        <v>64.8</v>
      </c>
      <c r="F28" s="14" t="n">
        <v>88.7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33.6</v>
      </c>
      <c r="E29" s="14" t="n">
        <v>62.7</v>
      </c>
      <c r="F29" s="14" t="n">
        <v>86.2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33.5</v>
      </c>
      <c r="E30" s="14" t="n">
        <v>64.40000000000001</v>
      </c>
      <c r="F30" s="14" t="n">
        <v>86.40000000000001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33.2</v>
      </c>
      <c r="E31" s="14" t="n">
        <v>58.6</v>
      </c>
      <c r="F31" s="14" t="n">
        <v>87.5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31.1</v>
      </c>
      <c r="E32" s="14" t="n">
        <v>62.5</v>
      </c>
      <c r="F32" s="14" t="n">
        <v>86.90000000000001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31.8</v>
      </c>
      <c r="E33" s="14" t="n">
        <v>60.2</v>
      </c>
      <c r="F33" s="14" t="n">
        <v>87.09999999999999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31.1</v>
      </c>
      <c r="E34" s="14" t="n">
        <v>63.4</v>
      </c>
      <c r="F34" s="14" t="n">
        <v>86.8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31.7</v>
      </c>
      <c r="E35" s="14" t="n">
        <v>59.7</v>
      </c>
      <c r="F35" s="14" t="n">
        <v>86.09999999999999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32.3</v>
      </c>
      <c r="E36" s="14" t="n">
        <v>63</v>
      </c>
      <c r="F36" s="14" t="n">
        <v>86.2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32.2</v>
      </c>
      <c r="E37" s="14" t="n">
        <v>61.3</v>
      </c>
      <c r="F37" s="14" t="n">
        <v>84.2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32</v>
      </c>
      <c r="E38" s="14" t="n">
        <v>59.8</v>
      </c>
      <c r="F38" s="14" t="n">
        <v>85.5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30.8</v>
      </c>
      <c r="E39" s="14" t="n">
        <v>62.3</v>
      </c>
      <c r="F39" s="14" t="n">
        <v>83.09999999999999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31.6</v>
      </c>
      <c r="E40" s="14" t="n">
        <v>58.1</v>
      </c>
      <c r="F40" s="14" t="n">
        <v>83.2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30.7</v>
      </c>
      <c r="E41" s="14" t="n">
        <v>59.5</v>
      </c>
      <c r="F41" s="14" t="n">
        <v>82.59999999999999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31.2</v>
      </c>
      <c r="E42" s="14" t="n">
        <v>57.1</v>
      </c>
      <c r="F42" s="14" t="n">
        <v>82.2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30.7</v>
      </c>
      <c r="E43" s="14" t="n">
        <v>57.3</v>
      </c>
      <c r="F43" s="14" t="n">
        <v>78.2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29.2</v>
      </c>
      <c r="E44" s="14" t="n">
        <v>58.7</v>
      </c>
      <c r="F44" s="14" t="n">
        <v>81.8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30.3</v>
      </c>
      <c r="E45" s="14" t="n">
        <v>56.1</v>
      </c>
      <c r="F45" s="14" t="n">
        <v>82.3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30.2</v>
      </c>
      <c r="E46" s="14" t="n">
        <v>57.5</v>
      </c>
      <c r="F46" s="14" t="n">
        <v>80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28.8</v>
      </c>
      <c r="E47" s="14" t="n">
        <v>56.7</v>
      </c>
      <c r="F47" s="14" t="n">
        <v>80.59999999999999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28.4</v>
      </c>
      <c r="E48" s="14" t="n">
        <v>55.4</v>
      </c>
      <c r="F48" s="14" t="n">
        <v>80.40000000000001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28.7</v>
      </c>
      <c r="E49" s="14" t="n">
        <v>54.3</v>
      </c>
      <c r="F49" s="14" t="n">
        <v>76.90000000000001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27.4</v>
      </c>
      <c r="E50" s="14" t="n">
        <v>55.8</v>
      </c>
      <c r="F50" s="14" t="n">
        <v>77.3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27.4</v>
      </c>
      <c r="E51" s="14" t="n">
        <v>55</v>
      </c>
      <c r="F51" s="14" t="n">
        <v>77.40000000000001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27.4</v>
      </c>
      <c r="E52" s="14" t="n">
        <v>53</v>
      </c>
      <c r="F52" s="14" t="n">
        <v>75.8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26.4</v>
      </c>
      <c r="E53" s="14" t="n">
        <v>53.5</v>
      </c>
      <c r="F53" s="14" t="n">
        <v>73.7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26.7</v>
      </c>
      <c r="E54" s="14" t="n">
        <v>53.5</v>
      </c>
      <c r="F54" s="14" t="n">
        <v>73.7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26.8</v>
      </c>
      <c r="E55" s="14" t="n">
        <v>52.9</v>
      </c>
      <c r="F55" s="14" t="n">
        <v>72.7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25.5</v>
      </c>
      <c r="E56" s="14" t="n">
        <v>52.2</v>
      </c>
      <c r="F56" s="14" t="n">
        <v>74.2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26.6</v>
      </c>
      <c r="E57" s="14" t="n">
        <v>51.6</v>
      </c>
      <c r="F57" s="14" t="n">
        <v>70.7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25.5</v>
      </c>
      <c r="E58" s="14" t="n">
        <v>50</v>
      </c>
      <c r="F58" s="14" t="n">
        <v>69.09999999999999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26.3</v>
      </c>
      <c r="E59" s="14" t="n">
        <v>51.5</v>
      </c>
      <c r="F59" s="14" t="n">
        <v>71.2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24.4</v>
      </c>
      <c r="E60" s="14" t="n">
        <v>49.6</v>
      </c>
      <c r="F60" s="14" t="n">
        <v>71.3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24.2</v>
      </c>
      <c r="E61" s="14" t="n">
        <v>48.8</v>
      </c>
      <c r="F61" s="14" t="n">
        <v>69.8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24</v>
      </c>
      <c r="E62" s="14" t="n">
        <v>49.3</v>
      </c>
      <c r="F62" s="14" t="n">
        <v>66.5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23.9</v>
      </c>
      <c r="E63" s="14" t="n">
        <v>50.5</v>
      </c>
      <c r="F63" s="14" t="n">
        <v>67.8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24.2</v>
      </c>
      <c r="E64" s="14" t="n">
        <v>47.9</v>
      </c>
      <c r="F64" s="14" t="n">
        <v>68.5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23.1</v>
      </c>
      <c r="E65" s="14" t="n">
        <v>47</v>
      </c>
      <c r="F65" s="14" t="n">
        <v>63.1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23</v>
      </c>
      <c r="E66" s="14" t="n">
        <v>47.4</v>
      </c>
      <c r="F66" s="14" t="n">
        <v>66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22.3</v>
      </c>
      <c r="E67" s="14" t="n">
        <v>46.8</v>
      </c>
      <c r="F67" s="14" t="n">
        <v>64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22.3</v>
      </c>
      <c r="E68" s="14" t="n">
        <v>45.6</v>
      </c>
      <c r="F68" s="14" t="n">
        <v>59.5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baps</dc:creator>
  <dcterms:created xsi:type="dcterms:W3CDTF">2026-08-05T08:52:29Z</dcterms:created>
  <dcterms:modified xsi:type="dcterms:W3CDTF">2026-09-17T10:42:30Z</dcterms:modified>
  <cp:lastModifiedBy>baps</cp:lastModifiedBy>
</cp:coreProperties>
</file>