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styles.xml" ContentType="application/vnd.openxmlformats-officedocument.spreadsheetml.styles+xml"/>
  <Override PartName="/xl/theme/theme1.xml" ContentType="application/vnd.openxmlformats-officedocument.theme+xml"/>
  <Override PartName="/docProps/core.xml" ContentType="application/vnd.openxmlformats-package.core-properties+xml"/>
  <Override PartName="/docProps/app.xml" ContentType="application/vnd.openxmlformats-officedocument.extended-properties+xml"/>
  <Override PartName="/xl/worksheets/sheet1.xml" ContentType="application/vnd.openxmlformats-officedocument.spreadsheetml.worksheet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workbook.xml" ContentType="application/vnd.ms-excel.sheet.macroEnabled.main+xml"/>
</Types>
</file>

<file path=_rels/.rels><Relationships xmlns="http://schemas.openxmlformats.org/package/2006/relationships"><Relationship Type="http://schemas.openxmlformats.org/officeDocument/2006/relationships/officeDocument" Target="xl/workbook.xml" Id="rId1" /><Relationship Type="http://schemas.openxmlformats.org/package/2006/relationships/metadata/core-properties" Target="docProps/core.xml" Id="rId2" /><Relationship Type="http://schemas.openxmlformats.org/officeDocument/2006/relationships/extended-properties" Target="docProps/app.xml" Id="rId3" /></Relationships>
</file>

<file path=xl/workbook.xml><?xml version="1.0" encoding="utf-8"?>
<workbook xmlns:r="http://schemas.openxmlformats.org/officeDocument/2006/relationships" xmlns="http://schemas.openxmlformats.org/spreadsheetml/2006/main">
  <workbookPr codeName="ThisWorkbook"/>
  <bookViews>
    <workbookView visibility="visible" minimized="0" showHorizontalScroll="1" showVerticalScroll="1" showSheetTabs="1" xWindow="6540" yWindow="2730" windowWidth="21600" windowHeight="11295" tabRatio="600" firstSheet="0" activeTab="0" autoFilterDateGrouping="1"/>
  </bookViews>
  <sheets>
    <sheet name="Trial_01" sheetId="1" state="visible" r:id="rId1"/>
  </sheets>
  <definedNames/>
  <calcPr calcId="191029" calcMode="auto" fullCalcOnLoad="1" forceFullCalc="1"/>
</workbook>
</file>

<file path=xl/styles.xml><?xml version="1.0" encoding="utf-8"?>
<styleSheet xmlns="http://schemas.openxmlformats.org/spreadsheetml/2006/main">
  <numFmts count="1">
    <numFmt numFmtId="164" formatCode="0.000"/>
  </numFmts>
  <fonts count="11">
    <font>
      <name val="Calibri"/>
      <family val="2"/>
      <color theme="1"/>
      <sz val="11"/>
      <scheme val="minor"/>
    </font>
    <font>
      <name val="Calibri"/>
      <family val="2"/>
      <b val="1"/>
      <color theme="1"/>
      <sz val="11"/>
      <scheme val="minor"/>
    </font>
    <font>
      <name val="Calibri"/>
      <family val="2"/>
      <b val="1"/>
      <color theme="1"/>
      <sz val="11"/>
      <vertAlign val="subscript"/>
      <scheme val="minor"/>
    </font>
    <font>
      <name val="Calibri"/>
      <family val="2"/>
      <color theme="1"/>
      <sz val="11"/>
    </font>
    <font>
      <name val="Calibri"/>
      <family val="2"/>
      <color theme="1"/>
      <sz val="11"/>
      <vertAlign val="superscript"/>
    </font>
    <font>
      <name val="Calibri"/>
      <family val="2"/>
      <color theme="1"/>
      <sz val="11"/>
      <vertAlign val="superscript"/>
      <scheme val="minor"/>
    </font>
    <font>
      <name val="Calibri"/>
      <family val="2"/>
      <b val="1"/>
      <color theme="1"/>
      <sz val="11"/>
    </font>
    <font>
      <name val="Calibri"/>
      <family val="2"/>
      <b val="1"/>
      <color theme="1"/>
      <sz val="11"/>
      <vertAlign val="superscript"/>
      <scheme val="minor"/>
    </font>
    <font>
      <name val="Calibri"/>
      <family val="2"/>
      <b val="1"/>
      <color theme="1"/>
      <sz val="11"/>
      <vertAlign val="subscript"/>
    </font>
    <font>
      <name val="Calibri"/>
      <family val="2"/>
      <b val="1"/>
      <color theme="1"/>
      <sz val="11"/>
      <vertAlign val="superscript"/>
    </font>
    <font>
      <name val="Calibri"/>
      <family val="2"/>
      <b val="1"/>
      <color theme="1"/>
      <sz val="10"/>
      <scheme val="minor"/>
    </font>
  </fonts>
  <fills count="6">
    <fill>
      <patternFill/>
    </fill>
    <fill>
      <patternFill patternType="gray125"/>
    </fill>
    <fill>
      <patternFill patternType="solid">
        <fgColor theme="9" tint="0.7999816888943144"/>
        <bgColor indexed="64"/>
      </patternFill>
    </fill>
    <fill>
      <patternFill patternType="solid">
        <fgColor theme="4" tint="0.7999816888943144"/>
        <bgColor indexed="64"/>
      </patternFill>
    </fill>
    <fill>
      <patternFill patternType="solid">
        <fgColor theme="0" tint="-0.0499893185216834"/>
        <bgColor indexed="64"/>
      </patternFill>
    </fill>
    <fill>
      <patternFill patternType="solid">
        <fgColor theme="5" tint="0.7999816888943144"/>
        <bgColor indexed="64"/>
      </patternFill>
    </fill>
  </fills>
  <borders count="1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</borders>
  <cellStyleXfs count="1">
    <xf numFmtId="0" fontId="0" fillId="0" borderId="0"/>
  </cellStyleXfs>
  <cellXfs count="32">
    <xf numFmtId="0" fontId="0" fillId="0" borderId="0" pivotButton="0" quotePrefix="0" xfId="0"/>
    <xf numFmtId="0" fontId="0" fillId="0" borderId="1" applyAlignment="1" pivotButton="0" quotePrefix="0" xfId="0">
      <alignment horizontal="center" vertical="center"/>
    </xf>
    <xf numFmtId="0" fontId="0" fillId="0" borderId="1" applyAlignment="1" pivotButton="0" quotePrefix="0" xfId="0">
      <alignment horizontal="center"/>
    </xf>
    <xf numFmtId="0" fontId="1" fillId="0" borderId="0" pivotButton="0" quotePrefix="0" xfId="0"/>
    <xf numFmtId="2" fontId="0" fillId="0" borderId="1" applyAlignment="1" pivotButton="0" quotePrefix="0" xfId="0">
      <alignment horizontal="center" vertical="center"/>
    </xf>
    <xf numFmtId="2" fontId="0" fillId="4" borderId="1" applyAlignment="1" pivotButton="0" quotePrefix="0" xfId="0">
      <alignment horizontal="center" vertical="center"/>
    </xf>
    <xf numFmtId="0" fontId="3" fillId="0" borderId="1" applyAlignment="1" pivotButton="0" quotePrefix="0" xfId="0">
      <alignment horizontal="center" vertical="center" wrapText="1"/>
    </xf>
    <xf numFmtId="164" fontId="0" fillId="0" borderId="1" applyAlignment="1" pivotButton="0" quotePrefix="0" xfId="0">
      <alignment horizontal="center" vertical="center"/>
    </xf>
    <xf numFmtId="164" fontId="0" fillId="0" borderId="0" applyAlignment="1" pivotButton="0" quotePrefix="0" xfId="0">
      <alignment horizontal="center" vertical="center"/>
    </xf>
    <xf numFmtId="0" fontId="1" fillId="0" borderId="1" applyAlignment="1" pivotButton="0" quotePrefix="0" xfId="0">
      <alignment horizontal="center" vertical="center"/>
    </xf>
    <xf numFmtId="0" fontId="1" fillId="0" borderId="1" applyAlignment="1" pivotButton="0" quotePrefix="0" xfId="0">
      <alignment horizontal="center" vertical="center" wrapText="1"/>
    </xf>
    <xf numFmtId="0" fontId="1" fillId="0" borderId="0" applyAlignment="1" pivotButton="0" quotePrefix="0" xfId="0">
      <alignment horizontal="center" vertical="center" wrapText="1"/>
    </xf>
    <xf numFmtId="0" fontId="0" fillId="0" borderId="0" applyAlignment="1" pivotButton="0" quotePrefix="0" xfId="0">
      <alignment horizontal="center" vertical="center"/>
    </xf>
    <xf numFmtId="2" fontId="0" fillId="0" borderId="0" applyAlignment="1" pivotButton="0" quotePrefix="0" xfId="0">
      <alignment horizontal="center" vertical="center"/>
    </xf>
    <xf numFmtId="164" fontId="0" fillId="4" borderId="1" applyAlignment="1" pivotButton="0" quotePrefix="0" xfId="0">
      <alignment horizontal="center" vertical="center"/>
    </xf>
    <xf numFmtId="164" fontId="1" fillId="0" borderId="1" applyAlignment="1" pivotButton="0" quotePrefix="0" xfId="0">
      <alignment horizontal="center" vertical="center"/>
    </xf>
    <xf numFmtId="0" fontId="1" fillId="0" borderId="1" applyAlignment="1" pivotButton="0" quotePrefix="0" xfId="0">
      <alignment horizontal="left" vertical="center"/>
    </xf>
    <xf numFmtId="0" fontId="1" fillId="5" borderId="1" applyAlignment="1" pivotButton="0" quotePrefix="0" xfId="0">
      <alignment horizontal="center" vertical="center" wrapText="1"/>
    </xf>
    <xf numFmtId="164" fontId="0" fillId="4" borderId="1" applyAlignment="1" pivotButton="0" quotePrefix="0" xfId="0">
      <alignment horizontal="center" vertical="center"/>
    </xf>
    <xf numFmtId="0" fontId="3" fillId="0" borderId="1" applyAlignment="1" pivotButton="0" quotePrefix="0" xfId="0">
      <alignment horizontal="center" vertical="center" wrapText="1"/>
    </xf>
    <xf numFmtId="0" fontId="1" fillId="2" borderId="1" applyAlignment="1" pivotButton="0" quotePrefix="0" xfId="0">
      <alignment horizontal="center" vertical="center"/>
    </xf>
    <xf numFmtId="0" fontId="1" fillId="3" borderId="1" applyAlignment="1" pivotButton="0" quotePrefix="0" xfId="0">
      <alignment horizontal="center" vertical="center"/>
    </xf>
    <xf numFmtId="0" fontId="10" fillId="0" borderId="1" applyAlignment="1" pivotButton="0" quotePrefix="0" xfId="0">
      <alignment horizontal="center" vertical="center"/>
    </xf>
    <xf numFmtId="0" fontId="1" fillId="5" borderId="1" applyAlignment="1" pivotButton="0" quotePrefix="0" xfId="0">
      <alignment horizontal="center" vertical="center"/>
    </xf>
    <xf numFmtId="0" fontId="1" fillId="3" borderId="1" applyAlignment="1" pivotButton="0" quotePrefix="0" xfId="0">
      <alignment horizontal="center" vertical="center" wrapText="1"/>
    </xf>
    <xf numFmtId="2" fontId="0" fillId="4" borderId="1" applyAlignment="1" pivotButton="0" quotePrefix="0" xfId="0">
      <alignment horizontal="center" vertical="center"/>
    </xf>
    <xf numFmtId="0" fontId="0" fillId="0" borderId="4" pivotButton="0" quotePrefix="0" xfId="0"/>
    <xf numFmtId="0" fontId="0" fillId="0" borderId="5" pivotButton="0" quotePrefix="0" xfId="0"/>
    <xf numFmtId="0" fontId="0" fillId="0" borderId="3" pivotButton="0" quotePrefix="0" xfId="0"/>
    <xf numFmtId="0" fontId="0" fillId="0" borderId="8" pivotButton="0" quotePrefix="0" xfId="0"/>
    <xf numFmtId="0" fontId="0" fillId="0" borderId="9" pivotButton="0" quotePrefix="0" xfId="0"/>
    <xf numFmtId="0" fontId="0" fillId="0" borderId="11" pivotButton="0" quotePrefix="0" xfId="0"/>
  </cellXfs>
  <cellStyles count="1">
    <cellStyle name="Normal" xfId="0" builtinId="0"/>
  </cellStyles>
  <tableStyles count="0" defaultTableStyle="TableStyleMedium2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</styleSheet>
</file>

<file path=xl/_rels/workbook.xml.rels><Relationships xmlns="http://schemas.openxmlformats.org/package/2006/relationships"><Relationship Type="http://schemas.openxmlformats.org/officeDocument/2006/relationships/worksheet" Target="/xl/worksheets/sheet1.xml" Id="rId1" /><Relationship Type="http://schemas.openxmlformats.org/officeDocument/2006/relationships/styles" Target="styles.xml" Id="rId2" /><Relationship Type="http://schemas.openxmlformats.org/officeDocument/2006/relationships/theme" Target="theme/theme1.xml" Id="rId3" /><Relationship Type="http://schemas.microsoft.com/office/2006/relationships/vbaProject" Target="vbaProject.bin" Id="rId4" /></Relationships>
</file>

<file path=xl/charts/chart1.xml><?xml version="1.0" encoding="utf-8"?>
<chartSpace xmlns:a="http://schemas.openxmlformats.org/drawingml/2006/main" xmlns="http://schemas.openxmlformats.org/drawingml/2006/chart">
  <chart>
    <title>
      <tx>
        <rich>
          <a:bodyPr rot="0" spcFirstLastPara="1" vertOverflow="ellipsis" vert="horz" wrap="square" anchor="ctr" anchorCtr="1"/>
          <a:lstStyle/>
          <a:p>
            <a:pPr>
              <a:defRPr sz="1400" b="0" i="0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IN"/>
              <a:t>Axial Stress Vs Axial</a:t>
            </a:r>
            <a:r>
              <a:rPr lang="en-IN" baseline="0"/>
              <a:t xml:space="preserve"> Strain (UCS-SOIL)</a:t>
            </a:r>
            <a:endParaRPr lang="en-IN"/>
          </a:p>
        </rich>
      </tx>
      <overlay val="0"/>
      <spPr>
        <a:noFill/>
        <a:ln>
          <a:noFill/>
          <a:prstDash val="solid"/>
        </a:ln>
      </spPr>
      <txPr>
        <a:bodyPr rot="0" spcFirstLastPara="1" vertOverflow="ellipsis" vert="horz" wrap="square" anchor="ctr" anchorCtr="1"/>
        <a:lstStyle/>
        <a:p>
          <a:pPr>
            <a:defRPr sz="1400" b="0" i="0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/>
          </a:r>
          <a:endParaRPr lang="en-US"/>
        </a:p>
      </txPr>
    </title>
    <plotArea>
      <layout>
        <manualLayout>
          <layoutTarget val="inner"/>
          <xMode val="edge"/>
          <yMode val="edge"/>
          <wMode val="factor"/>
          <hMode val="factor"/>
          <x val="0.1114773273919538"/>
          <y val="0.1170938164001672"/>
          <w val="0.8166712275719633"/>
          <h val="0.7498690941313892"/>
        </manualLayout>
      </layout>
      <scatterChart>
        <scatterStyle val="smoothMarker"/>
        <varyColors val="0"/>
        <ser>
          <idx val="0"/>
          <order val="0"/>
          <tx>
            <strRef>
              <f>Trial_01!$F$1:$I$1</f>
              <strCache>
                <ptCount val="1"/>
                <pt idx="0">
                  <v>Unconfined Compressive Strength Results</v>
                </pt>
              </strCache>
            </strRef>
          </tx>
          <spPr>
            <a:ln w="19050" cap="rnd">
              <a:solidFill>
                <a:schemeClr val="accent1"/>
              </a:solidFill>
              <a:prstDash val="solid"/>
              <a:round/>
            </a:ln>
          </spPr>
          <marker>
            <symbol val="circle"/>
            <size val="5"/>
            <spPr>
              <a:solidFill>
                <a:schemeClr val="accent1"/>
              </a:solidFill>
              <a:ln w="9525">
                <a:solidFill>
                  <a:schemeClr val="accent1"/>
                </a:solidFill>
                <a:prstDash val="solid"/>
              </a:ln>
            </spPr>
          </marker>
          <xVal>
            <numRef>
              <f>Trial_01!$D$11:$D$42</f>
              <numCache>
                <formatCode>0.00</formatCode>
                <ptCount val="32"/>
                <pt idx="0">
                  <v>0</v>
                </pt>
                <pt idx="1">
                  <v>0.6569438969911969</v>
                </pt>
                <pt idx="2">
                  <v>1.313887793982394</v>
                </pt>
                <pt idx="3">
                  <v>1.970831690973591</v>
                </pt>
                <pt idx="4">
                  <v>2.627775587964788</v>
                </pt>
                <pt idx="5">
                  <v>3.284719484955985</v>
                </pt>
                <pt idx="6">
                  <v>3.941663381947182</v>
                </pt>
                <pt idx="7">
                  <v>4.598607278938379</v>
                </pt>
                <pt idx="8">
                  <v>5.255551175929575</v>
                </pt>
                <pt idx="9">
                  <v>5.912495072920773</v>
                </pt>
                <pt idx="10">
                  <v>6.56943896991197</v>
                </pt>
                <pt idx="11">
                  <v>7.226382866903168</v>
                </pt>
                <pt idx="12">
                  <v>7.883326763894363</v>
                </pt>
                <pt idx="13">
                  <v>8.540270660885561</v>
                </pt>
                <pt idx="14">
                  <v>9.197214557876757</v>
                </pt>
                <pt idx="15">
                  <v>9.854158454867955</v>
                </pt>
                <pt idx="16">
                  <v>10.51110235185915</v>
                </pt>
                <pt idx="17">
                  <v>11.16804624885035</v>
                </pt>
                <pt idx="18">
                  <v>11.82499014584155</v>
                </pt>
                <pt idx="19">
                  <v>12.48193404283274</v>
                </pt>
                <pt idx="20">
                  <v>13.13887793982394</v>
                </pt>
                <pt idx="21">
                  <v>13.79582183681514</v>
                </pt>
                <pt idx="22">
                  <v>14.45276573380634</v>
                </pt>
                <pt idx="23">
                  <v>15.10970963079753</v>
                </pt>
                <pt idx="24">
                  <v>15.76665352778873</v>
                </pt>
                <pt idx="25">
                  <v>16.42359742477992</v>
                </pt>
                <pt idx="26">
                  <v>17.08054132177112</v>
                </pt>
                <pt idx="27">
                  <v>17.73748521876232</v>
                </pt>
                <pt idx="28">
                  <v>18.39442911575351</v>
                </pt>
                <pt idx="29">
                  <v>19.05137301274471</v>
                </pt>
                <pt idx="30">
                  <v>19.70831690973591</v>
                </pt>
                <pt idx="31">
                  <v>20.36526080672711</v>
                </pt>
              </numCache>
            </numRef>
          </xVal>
          <yVal>
            <numRef>
              <f>Trial_01!$H$11:$H$28</f>
              <numCache>
                <formatCode>0.000</formatCode>
                <ptCount val="18"/>
                <pt idx="0">
                  <v>0</v>
                </pt>
                <pt idx="1">
                  <v>0.0906041733088359</v>
                </pt>
                <pt idx="2">
                  <v>0.1817577074875988</v>
                </pt>
                <pt idx="3">
                  <v>0.3150905689412488</v>
                </pt>
                <pt idx="4">
                  <v>0.4121321068529645</v>
                </pt>
                <pt idx="5">
                  <v>0.5035538063864883</v>
                </pt>
                <pt idx="6">
                  <v>0.5962474589888203</v>
                </pt>
                <pt idx="7">
                  <v>0.679178961952107</v>
                </pt>
                <pt idx="8">
                  <v>0.7600732226042355</v>
                </pt>
                <pt idx="9">
                  <v>0.8547768937897371</v>
                </pt>
                <pt idx="10">
                  <v>0.9249201087006647</v>
                </pt>
                <pt idx="11">
                  <v>1.024387815943481</v>
                </pt>
                <pt idx="12">
                  <v>1.079940159718896</v>
                </pt>
                <pt idx="13">
                  <v>1.168610284933351</v>
                </pt>
                <pt idx="14">
                  <v>1.210870236325744</v>
                </pt>
                <pt idx="15">
                  <v>1.277141864826373</v>
                </pt>
                <pt idx="16">
                  <v>1.364506996208136</v>
                </pt>
                <pt idx="17">
                  <v>1.406404313582832</v>
                </pt>
              </numCache>
            </numRef>
          </yVal>
          <smooth val="1"/>
        </ser>
        <dLbls>
          <showLegendKey val="0"/>
          <showVal val="0"/>
          <showCatName val="0"/>
          <showSerName val="0"/>
          <showPercent val="0"/>
          <showBubbleSize val="0"/>
        </dLbls>
        <axId val="761760351"/>
        <axId val="907822671"/>
      </scatterChart>
      <valAx>
        <axId val="761760351"/>
        <scaling>
          <orientation val="minMax"/>
        </scaling>
        <delete val="0"/>
        <axPos val="b"/>
        <majorGridlines>
          <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minorGridlines>
          <spPr>
            <a:ln w="9525" cap="flat" cmpd="sng" algn="ctr">
              <a:solidFill>
                <a:schemeClr val="tx1">
                  <a:lumMod val="5000"/>
                  <a:lumOff val="95000"/>
                </a:schemeClr>
              </a:solidFill>
              <a:prstDash val="solid"/>
              <a:round/>
            </a:ln>
          </spPr>
        </minorGridlines>
        <title>
          <tx>
            <rich>
              <a:bodyPr rot="0" spcFirstLastPara="1" vertOverflow="ellipsis" vert="horz" wrap="square" anchor="ctr" anchorCtr="1"/>
              <a:lstStyle/>
              <a:p>
                <a:pPr>
                  <a:defRPr sz="1000" b="1" i="0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IN" b="1"/>
                  <a:t>Axial Strain (%)</a:t>
                </a:r>
              </a:p>
            </rich>
          </tx>
          <overlay val="0"/>
          <spPr>
            <a:noFill/>
            <a:ln>
              <a:noFill/>
              <a:prstDash val="solid"/>
            </a:ln>
          </spPr>
          <txPr>
            <a:bodyPr rot="0" spcFirstLastPara="1" vertOverflow="ellipsis" vert="horz" wrap="square" anchor="ctr" anchorCtr="1"/>
            <a:lstStyle/>
            <a:p>
              <a:pPr>
                <a:defRPr sz="1000" b="1" i="0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r>
                <a:t/>
              </a:r>
              <a:endParaRPr lang="en-US"/>
            </a:p>
          </txPr>
        </title>
        <numFmt formatCode="0" sourceLinked="0"/>
        <majorTickMark val="none"/>
        <minorTickMark val="none"/>
        <tickLblPos val="nextTo"/>
        <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spPr>
        <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en-US"/>
          </a:p>
        </txPr>
        <crossAx val="907822671"/>
        <crosses val="autoZero"/>
        <crossBetween val="midCat"/>
        <majorUnit val="1"/>
      </valAx>
      <valAx>
        <axId val="907822671"/>
        <scaling>
          <orientation val="minMax"/>
        </scaling>
        <delete val="0"/>
        <axPos val="l"/>
        <majorGridlines>
          <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minorGridlines>
          <spPr>
            <a:ln w="9525" cap="flat" cmpd="sng" algn="ctr">
              <a:solidFill>
                <a:schemeClr val="tx1">
                  <a:lumMod val="5000"/>
                  <a:lumOff val="95000"/>
                </a:schemeClr>
              </a:solidFill>
              <a:prstDash val="solid"/>
              <a:round/>
            </a:ln>
          </spPr>
        </minorGridlines>
        <title>
          <tx>
            <rich>
              <a:bodyPr rot="-5400000" spcFirstLastPara="1" vertOverflow="ellipsis" vert="horz" wrap="square" anchor="ctr" anchorCtr="1"/>
              <a:lstStyle/>
              <a:p>
                <a:pPr>
                  <a:defRPr sz="1000" b="0" i="0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IN"/>
                  <a:t>Axial Stress (kg/cm</a:t>
                </a:r>
                <a:r>
                  <a:rPr lang="en-IN" baseline="30000"/>
                  <a:t>2</a:t>
                </a:r>
                <a:r>
                  <a:rPr lang="en-IN"/>
                  <a:t>)</a:t>
                </a:r>
              </a:p>
            </rich>
          </tx>
          <layout>
            <manualLayout>
              <xMode val="edge"/>
              <yMode val="edge"/>
              <wMode val="factor"/>
              <hMode val="factor"/>
              <x val="0.01714898177920686"/>
              <y val="0.3603602256861116"/>
            </manualLayout>
          </layout>
          <overlay val="0"/>
          <spPr>
            <a:noFill/>
            <a:ln>
              <a:noFill/>
              <a:prstDash val="solid"/>
            </a:ln>
          </spPr>
          <txPr>
            <a:bodyPr rot="-5400000" spcFirstLastPara="1" vertOverflow="ellipsis" vert="horz" wrap="square" anchor="ctr" anchorCtr="1"/>
            <a:lstStyle/>
            <a:p>
              <a:pPr>
                <a:defRPr sz="1000" b="0" i="0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r>
                <a:t/>
              </a:r>
              <a:endParaRPr lang="en-US"/>
            </a:p>
          </txPr>
        </title>
        <numFmt formatCode="0.000" sourceLinked="1"/>
        <majorTickMark val="none"/>
        <minorTickMark val="none"/>
        <tickLblPos val="nextTo"/>
        <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spPr>
        <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en-US"/>
          </a:p>
        </txPr>
        <crossAx val="761760351"/>
        <crosses val="autoZero"/>
        <crossBetween val="midCat"/>
      </valAx>
    </plotArea>
    <plotVisOnly val="1"/>
    <dispBlanksAs val="gap"/>
  </chart>
  <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prstDash val="solid"/>
      <a:round/>
    </a:ln>
  </spPr>
</chartSpace>
</file>

<file path=xl/drawings/_rels/drawing1.xml.rels><Relationships xmlns="http://schemas.openxmlformats.org/package/2006/relationships"><Relationship Type="http://schemas.openxmlformats.org/officeDocument/2006/relationships/chart" Target="/xl/charts/chart1.xml" Id="rId1" /></Relationships>
</file>

<file path=xl/drawings/drawing1.xml><?xml version="1.0" encoding="utf-8"?>
<wsDr xmlns:a="http://schemas.openxmlformats.org/drawingml/2006/main" xmlns:c="http://schemas.openxmlformats.org/drawingml/2006/chart" xmlns:r="http://schemas.openxmlformats.org/officeDocument/2006/relationships" xmlns="http://schemas.openxmlformats.org/drawingml/2006/spreadsheetDrawing">
  <twoCellAnchor>
    <from>
      <col>11</col>
      <colOff>342901</colOff>
      <row>5</row>
      <rowOff>33336</rowOff>
    </from>
    <to>
      <col>21</col>
      <colOff>57151</colOff>
      <row>24</row>
      <rowOff>133349</rowOff>
    </to>
    <graphicFrame>
      <nvGraphicFramePr>
        <cNvPr id="1" name="Chart 1"/>
        <cNvGraphicFramePr/>
      </nvGraphicFramePr>
      <xfrm/>
      <a:graphic>
        <a:graphicData uri="http://schemas.openxmlformats.org/drawingml/2006/chart">
          <c:chart r:id="rId1"/>
        </a:graphicData>
      </a:graphic>
    </graphicFrame>
    <clientData/>
  </twoCellAnchor>
</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Relationships xmlns="http://schemas.openxmlformats.org/package/2006/relationships"><Relationship Type="http://schemas.openxmlformats.org/officeDocument/2006/relationships/drawing" Target="/xl/drawings/drawing1.xml" Id="rId1" /></Relationships>
</file>

<file path=xl/worksheets/sheet1.xml><?xml version="1.0" encoding="utf-8"?>
<worksheet xmlns="http://schemas.openxmlformats.org/spreadsheetml/2006/main">
  <sheetPr codeName="Sheet1">
    <tabColor rgb="FF92D050"/>
    <outlinePr summaryBelow="1" summaryRight="1"/>
    <pageSetUpPr/>
  </sheetPr>
  <dimension ref="A1:L71"/>
  <sheetViews>
    <sheetView tabSelected="1" zoomScale="85" zoomScaleNormal="85" workbookViewId="0">
      <selection activeCell="N3" sqref="N3"/>
    </sheetView>
  </sheetViews>
  <sheetFormatPr baseColWidth="8" defaultRowHeight="15"/>
  <cols>
    <col width="8.140625" customWidth="1" min="1" max="1"/>
    <col width="9.7109375" customWidth="1" min="2" max="2"/>
    <col width="10.7109375" customWidth="1" min="3" max="3"/>
    <col width="14.28515625" customWidth="1" min="4" max="5"/>
    <col width="15.140625" customWidth="1" min="6" max="6"/>
    <col width="13.140625" customWidth="1" min="7" max="7"/>
    <col width="13.85546875" customWidth="1" min="8" max="8"/>
    <col width="14" customWidth="1" min="9" max="10"/>
  </cols>
  <sheetData>
    <row r="1">
      <c r="A1" s="16" t="inlineStr">
        <is>
          <t>BH ID</t>
        </is>
      </c>
      <c r="B1" s="26" t="n"/>
      <c r="C1" s="27" t="n"/>
      <c r="D1" s="1" t="inlineStr">
        <is>
          <t>CBH-18</t>
        </is>
      </c>
      <c r="E1" s="2" t="inlineStr">
        <is>
          <t>-</t>
        </is>
      </c>
      <c r="F1" s="20" t="inlineStr">
        <is>
          <t>Unconfined Compressive Strength Results</t>
        </is>
      </c>
      <c r="G1" s="26" t="n"/>
      <c r="H1" s="26" t="n"/>
      <c r="I1" s="27" t="n"/>
      <c r="J1" s="3" t="n"/>
    </row>
    <row r="2">
      <c r="A2" s="16" t="inlineStr">
        <is>
          <t>Depth</t>
        </is>
      </c>
      <c r="B2" s="26" t="n"/>
      <c r="C2" s="27" t="n"/>
      <c r="D2" s="4" t="n">
        <v>10.5</v>
      </c>
      <c r="E2" s="1" t="inlineStr">
        <is>
          <t>m</t>
        </is>
      </c>
      <c r="F2" s="22" t="n"/>
      <c r="G2" s="27" t="n"/>
      <c r="H2" s="15" t="n">
        <v>2.347677001039977</v>
      </c>
      <c r="I2" s="1" t="n"/>
      <c r="L2" s="12" t="n"/>
    </row>
    <row r="3" ht="18" customHeight="1">
      <c r="A3" s="16" t="inlineStr">
        <is>
          <t>Diameter of Specimen</t>
        </is>
      </c>
      <c r="B3" s="26" t="n"/>
      <c r="C3" s="27" t="n"/>
      <c r="D3" s="7" t="n">
        <v>3.815</v>
      </c>
      <c r="E3" s="1" t="inlineStr">
        <is>
          <t>cm</t>
        </is>
      </c>
      <c r="F3" s="21" t="inlineStr">
        <is>
          <t>Unconfined Comp Strength (qu)</t>
        </is>
      </c>
      <c r="G3" s="27" t="n"/>
      <c r="H3" s="18">
        <f>MAX(H11:H42)</f>
        <v/>
      </c>
      <c r="I3" s="19" t="inlineStr">
        <is>
          <t xml:space="preserve"> (kg/cm2)</t>
        </is>
      </c>
      <c r="L3" s="12" t="n"/>
    </row>
    <row r="4" ht="18" customHeight="1">
      <c r="A4" s="16" t="inlineStr">
        <is>
          <t>Initial Area of Specimen (A0)</t>
        </is>
      </c>
      <c r="B4" s="26" t="n"/>
      <c r="C4" s="27" t="n"/>
      <c r="D4" s="7">
        <f>(PI()/4)*D3^2</f>
        <v/>
      </c>
      <c r="E4" s="1" t="inlineStr">
        <is>
          <t>cm2</t>
        </is>
      </c>
      <c r="F4" s="24" t="inlineStr">
        <is>
          <t>Undrained Shear Strength or Cohesion ©</t>
        </is>
      </c>
      <c r="G4" s="28" t="n"/>
      <c r="H4" s="25">
        <f>H3/2</f>
        <v/>
      </c>
      <c r="I4" s="19" t="inlineStr">
        <is>
          <t xml:space="preserve"> (kg/cm2)</t>
        </is>
      </c>
    </row>
    <row r="5" ht="18" customHeight="1">
      <c r="A5" s="16" t="inlineStr">
        <is>
          <t>Initial Height of Specimen (A0)</t>
        </is>
      </c>
      <c r="B5" s="26" t="n"/>
      <c r="C5" s="27" t="n"/>
      <c r="D5" s="7" t="n">
        <v>7.757</v>
      </c>
      <c r="E5" s="1" t="inlineStr">
        <is>
          <t>cm</t>
        </is>
      </c>
      <c r="F5" s="29" t="n"/>
      <c r="G5" s="30" t="n"/>
      <c r="H5" s="31" t="n"/>
      <c r="I5" s="31" t="n"/>
    </row>
    <row r="6" ht="18" customHeight="1">
      <c r="A6" s="16" t="inlineStr">
        <is>
          <t>Density</t>
        </is>
      </c>
      <c r="B6" s="26" t="n"/>
      <c r="C6" s="27" t="n"/>
      <c r="D6" s="1" t="n">
        <v>1.91</v>
      </c>
      <c r="E6" s="1" t="inlineStr">
        <is>
          <t>gm/cm3</t>
        </is>
      </c>
      <c r="F6" s="23" t="inlineStr">
        <is>
          <t>Unconfined Comp Strength (qu)</t>
        </is>
      </c>
      <c r="G6" s="27" t="n"/>
      <c r="H6" s="25">
        <f>H3*98.0665</f>
        <v/>
      </c>
      <c r="I6" s="19" t="inlineStr">
        <is>
          <t xml:space="preserve"> (kN/m2)</t>
        </is>
      </c>
    </row>
    <row r="7">
      <c r="A7" s="16" t="inlineStr">
        <is>
          <t>Sample Weight Taken</t>
        </is>
      </c>
      <c r="B7" s="26" t="n"/>
      <c r="C7" s="27" t="n"/>
      <c r="D7" s="4">
        <f>D4*D5*D6</f>
        <v/>
      </c>
      <c r="E7" s="1" t="inlineStr">
        <is>
          <t>gm</t>
        </is>
      </c>
      <c r="F7" s="17" t="inlineStr">
        <is>
          <t>Undrained Shear Strength or Cohesion ©</t>
        </is>
      </c>
      <c r="G7" s="28" t="n"/>
      <c r="H7" s="18">
        <f>H6/2</f>
        <v/>
      </c>
      <c r="I7" s="19" t="inlineStr">
        <is>
          <t xml:space="preserve"> (kN/m2)</t>
        </is>
      </c>
      <c r="J7" s="8" t="n"/>
    </row>
    <row r="8">
      <c r="A8" s="16" t="inlineStr">
        <is>
          <t>PR Contant</t>
        </is>
      </c>
      <c r="B8" s="26" t="n"/>
      <c r="C8" s="27" t="n"/>
      <c r="D8" s="1" t="n">
        <v>0.325</v>
      </c>
      <c r="E8" s="1" t="inlineStr">
        <is>
          <t>kg/div</t>
        </is>
      </c>
      <c r="F8" s="29" t="n"/>
      <c r="G8" s="30" t="n"/>
      <c r="H8" s="31" t="n"/>
      <c r="I8" s="31" t="n"/>
      <c r="J8" s="8" t="n"/>
    </row>
    <row r="10" ht="50.25" customFormat="1" customHeight="1" s="12">
      <c r="A10" s="9" t="inlineStr">
        <is>
          <t>SR No.</t>
        </is>
      </c>
      <c r="B10" s="10" t="inlineStr">
        <is>
          <t xml:space="preserve">Dial Reading </t>
        </is>
      </c>
      <c r="C10" s="10" t="inlineStr">
        <is>
          <t>Dial Reading (cm)</t>
        </is>
      </c>
      <c r="D10" s="10" t="inlineStr">
        <is>
          <t>Axial Strain, ε (%)</t>
        </is>
      </c>
      <c r="E10" s="10" t="inlineStr">
        <is>
          <t>Average Cross-Section Area, A (cm2)</t>
        </is>
      </c>
      <c r="F10" s="10" t="inlineStr">
        <is>
          <t xml:space="preserve">PR Reading </t>
        </is>
      </c>
      <c r="G10" s="10" t="inlineStr">
        <is>
          <t>Axial Load, P (kg)</t>
        </is>
      </c>
      <c r="H10" s="10" t="inlineStr">
        <is>
          <t>Compressive Stress, σ0 (kg/cm2)</t>
        </is>
      </c>
      <c r="I10" s="10" t="inlineStr">
        <is>
          <t>Remarks</t>
        </is>
      </c>
      <c r="J10" s="11" t="n"/>
    </row>
    <row r="11">
      <c r="A11" s="1" t="n">
        <v>1</v>
      </c>
      <c r="B11" s="1" t="n">
        <v>0</v>
      </c>
      <c r="C11" s="4">
        <f>B11/1000</f>
        <v/>
      </c>
      <c r="D11" s="4">
        <f>(C11/$D$5)*100</f>
        <v/>
      </c>
      <c r="E11" s="7">
        <f>$D$4/(1-(D11/100))</f>
        <v/>
      </c>
      <c r="F11" s="1" t="n">
        <v>0</v>
      </c>
      <c r="G11" s="4">
        <f>F11*$D$8</f>
        <v/>
      </c>
      <c r="H11" s="7">
        <f>G11/E11</f>
        <v/>
      </c>
      <c r="I11" s="4" t="inlineStr">
        <is>
          <t>-</t>
        </is>
      </c>
      <c r="J11" s="13" t="n"/>
    </row>
    <row r="12">
      <c r="A12" s="1" t="n">
        <v>2</v>
      </c>
      <c r="B12" s="1" t="n">
        <v>50</v>
      </c>
      <c r="C12" s="4">
        <f>B12/1000</f>
        <v/>
      </c>
      <c r="D12" s="4">
        <f>(C12/$D$5)*100</f>
        <v/>
      </c>
      <c r="E12" s="7">
        <f>$D$4/(1-(D12/100))</f>
        <v/>
      </c>
      <c r="F12" s="1" t="n">
        <v>16</v>
      </c>
      <c r="G12" s="4">
        <f>F12*$D$8</f>
        <v/>
      </c>
      <c r="H12" s="7">
        <f>G12/E12</f>
        <v/>
      </c>
      <c r="I12" s="4" t="inlineStr">
        <is>
          <t>-</t>
        </is>
      </c>
      <c r="J12" s="13" t="n"/>
    </row>
    <row r="13">
      <c r="A13" s="1" t="n">
        <v>3</v>
      </c>
      <c r="B13" s="1" t="n">
        <v>100</v>
      </c>
      <c r="C13" s="4">
        <f>B13/1000</f>
        <v/>
      </c>
      <c r="D13" s="4">
        <f>(C13/$D$5)*100</f>
        <v/>
      </c>
      <c r="E13" s="7">
        <f>$D$4/(1-(D13/100))</f>
        <v/>
      </c>
      <c r="F13" s="1" t="n">
        <v>34</v>
      </c>
      <c r="G13" s="4">
        <f>F13*$D$8</f>
        <v/>
      </c>
      <c r="H13" s="7">
        <f>G13/E13</f>
        <v/>
      </c>
      <c r="I13" s="4" t="inlineStr">
        <is>
          <t>-</t>
        </is>
      </c>
      <c r="J13" s="13" t="n"/>
    </row>
    <row r="14">
      <c r="A14" s="1" t="n">
        <v>4</v>
      </c>
      <c r="B14" s="1" t="n">
        <v>150</v>
      </c>
      <c r="C14" s="4">
        <f>B14/1000</f>
        <v/>
      </c>
      <c r="D14" s="4">
        <f>(C14/$D$5)*100</f>
        <v/>
      </c>
      <c r="E14" s="7">
        <f>$D$4/(1-(D14/100))</f>
        <v/>
      </c>
      <c r="F14" s="1" t="n">
        <v>50</v>
      </c>
      <c r="G14" s="4">
        <f>F14*$D$8</f>
        <v/>
      </c>
      <c r="H14" s="7">
        <f>G14/E14</f>
        <v/>
      </c>
      <c r="I14" s="4" t="inlineStr">
        <is>
          <t>-</t>
        </is>
      </c>
      <c r="J14" s="13" t="n"/>
    </row>
    <row r="15">
      <c r="A15" s="1" t="n">
        <v>5</v>
      </c>
      <c r="B15" s="1" t="n">
        <v>200</v>
      </c>
      <c r="C15" s="4">
        <f>B15/1000</f>
        <v/>
      </c>
      <c r="D15" s="4">
        <f>(C15/$D$5)*100</f>
        <v/>
      </c>
      <c r="E15" s="7">
        <f>$D$4/(1-(D15/100))</f>
        <v/>
      </c>
      <c r="F15" s="1" t="n">
        <v>62</v>
      </c>
      <c r="G15" s="4">
        <f>F15*$D$8</f>
        <v/>
      </c>
      <c r="H15" s="7">
        <f>G15/E15</f>
        <v/>
      </c>
      <c r="I15" s="4" t="inlineStr">
        <is>
          <t>-</t>
        </is>
      </c>
      <c r="J15" s="13" t="n"/>
    </row>
    <row r="16">
      <c r="A16" s="1" t="n">
        <v>6</v>
      </c>
      <c r="B16" s="1" t="n">
        <v>250</v>
      </c>
      <c r="C16" s="4">
        <f>B16/1000</f>
        <v/>
      </c>
      <c r="D16" s="4">
        <f>(C16/$D$5)*100</f>
        <v/>
      </c>
      <c r="E16" s="7">
        <f>$D$4/(1-(D16/100))</f>
        <v/>
      </c>
      <c r="F16" s="1" t="n">
        <v>73</v>
      </c>
      <c r="G16" s="4">
        <f>F16*$D$8</f>
        <v/>
      </c>
      <c r="H16" s="7">
        <f>G16/E16</f>
        <v/>
      </c>
      <c r="I16" s="4" t="inlineStr">
        <is>
          <t>-</t>
        </is>
      </c>
      <c r="J16" s="13" t="n"/>
    </row>
    <row r="17">
      <c r="A17" s="1" t="n">
        <v>7</v>
      </c>
      <c r="B17" s="1" t="n">
        <v>300</v>
      </c>
      <c r="C17" s="4">
        <f>B17/1000</f>
        <v/>
      </c>
      <c r="D17" s="4">
        <f>(C17/$D$5)*100</f>
        <v/>
      </c>
      <c r="E17" s="7">
        <f>$D$4/(1-(D17/100))</f>
        <v/>
      </c>
      <c r="F17" s="1" t="n">
        <v>84</v>
      </c>
      <c r="G17" s="4">
        <f>F17*$D$8</f>
        <v/>
      </c>
      <c r="H17" s="7">
        <f>G17/E17</f>
        <v/>
      </c>
      <c r="I17" s="4" t="inlineStr">
        <is>
          <t>-</t>
        </is>
      </c>
      <c r="J17" s="13" t="n"/>
    </row>
    <row r="18">
      <c r="A18" s="1" t="n">
        <v>8</v>
      </c>
      <c r="B18" s="1" t="n">
        <v>350</v>
      </c>
      <c r="C18" s="4">
        <f>B18/1000</f>
        <v/>
      </c>
      <c r="D18" s="4">
        <f>(C18/$D$5)*100</f>
        <v/>
      </c>
      <c r="E18" s="7">
        <f>$D$4/(1-(D18/100))</f>
        <v/>
      </c>
      <c r="F18" s="1" t="n">
        <v>87</v>
      </c>
      <c r="G18" s="4">
        <f>F18*$D$8</f>
        <v/>
      </c>
      <c r="H18" s="7">
        <f>G18/E18</f>
        <v/>
      </c>
      <c r="I18" s="4" t="inlineStr">
        <is>
          <t>-</t>
        </is>
      </c>
      <c r="J18" s="13" t="n"/>
    </row>
    <row r="19">
      <c r="A19" s="1" t="n">
        <v>9</v>
      </c>
      <c r="B19" s="1" t="n">
        <v>400</v>
      </c>
      <c r="C19" s="4">
        <f>B19/1000</f>
        <v/>
      </c>
      <c r="D19" s="4">
        <f>(C19/$D$5)*100</f>
        <v/>
      </c>
      <c r="E19" s="7">
        <f>$D$4/(1-(D19/100))</f>
        <v/>
      </c>
      <c r="F19" s="1" t="n">
        <v>84</v>
      </c>
      <c r="G19" s="4">
        <f>F19*$D$8</f>
        <v/>
      </c>
      <c r="H19" s="7">
        <f>G19/E19</f>
        <v/>
      </c>
      <c r="I19" s="4" t="inlineStr">
        <is>
          <t>-</t>
        </is>
      </c>
      <c r="J19" s="13" t="n"/>
    </row>
    <row r="20">
      <c r="A20" s="1" t="n">
        <v>10</v>
      </c>
      <c r="B20" s="1" t="n">
        <v>450</v>
      </c>
      <c r="C20" s="4">
        <f>B20/1000</f>
        <v/>
      </c>
      <c r="D20" s="4">
        <f>(C20/$D$5)*100</f>
        <v/>
      </c>
      <c r="E20" s="7">
        <f>$D$4/(1-(D20/100))</f>
        <v/>
      </c>
      <c r="F20" s="1" t="n">
        <v>85</v>
      </c>
      <c r="G20" s="4">
        <f>F20*$D$8</f>
        <v/>
      </c>
      <c r="H20" s="7">
        <f>G20/E20</f>
        <v/>
      </c>
      <c r="I20" s="4" t="inlineStr">
        <is>
          <t>-</t>
        </is>
      </c>
      <c r="J20" s="13" t="n"/>
    </row>
    <row r="21">
      <c r="A21" s="1" t="n">
        <v>11</v>
      </c>
      <c r="B21" s="1" t="n">
        <v>500</v>
      </c>
      <c r="C21" s="4">
        <f>B21/1000</f>
        <v/>
      </c>
      <c r="D21" s="4">
        <f>(C21/$D$5)*100</f>
        <v/>
      </c>
      <c r="E21" s="7">
        <f>$D$4/(1-(D21/100))</f>
        <v/>
      </c>
      <c r="F21" s="1" t="n">
        <v>81</v>
      </c>
      <c r="G21" s="4">
        <f>F21*$D$8</f>
        <v/>
      </c>
      <c r="H21" s="7">
        <f>G21/E21</f>
        <v/>
      </c>
      <c r="I21" s="4" t="inlineStr">
        <is>
          <t>-</t>
        </is>
      </c>
      <c r="J21" s="13" t="n"/>
    </row>
    <row r="22">
      <c r="A22" s="1" t="n">
        <v>12</v>
      </c>
      <c r="B22" s="1" t="n">
        <v>550</v>
      </c>
      <c r="C22" s="4">
        <f>B22/1000</f>
        <v/>
      </c>
      <c r="D22" s="4">
        <f>(C22/$D$5)*100</f>
        <v/>
      </c>
      <c r="E22" s="7">
        <f>$D$4/(1-(D22/100))</f>
        <v/>
      </c>
      <c r="F22" s="1" t="n">
        <v>83</v>
      </c>
      <c r="G22" s="4">
        <f>F22*$D$8</f>
        <v/>
      </c>
      <c r="H22" s="7">
        <f>G22/E22</f>
        <v/>
      </c>
      <c r="I22" s="4" t="inlineStr">
        <is>
          <t>-</t>
        </is>
      </c>
      <c r="J22" s="13" t="n"/>
    </row>
    <row r="23">
      <c r="A23" s="1" t="n">
        <v>13</v>
      </c>
      <c r="B23" s="1" t="n">
        <v>600</v>
      </c>
      <c r="C23" s="4">
        <f>B23/1000</f>
        <v/>
      </c>
      <c r="D23" s="4">
        <f>(C23/$D$5)*100</f>
        <v/>
      </c>
      <c r="E23" s="7">
        <f>$D$4/(1-(D23/100))</f>
        <v/>
      </c>
      <c r="F23" s="1" t="n">
        <v>81</v>
      </c>
      <c r="G23" s="4">
        <f>F23*$D$8</f>
        <v/>
      </c>
      <c r="H23" s="7">
        <f>G23/E23</f>
        <v/>
      </c>
      <c r="I23" s="4" t="inlineStr">
        <is>
          <t>-</t>
        </is>
      </c>
      <c r="J23" s="13" t="n"/>
    </row>
    <row r="24">
      <c r="A24" s="1" t="n">
        <v>14</v>
      </c>
      <c r="B24" s="1" t="n">
        <v>650</v>
      </c>
      <c r="C24" s="4">
        <f>B24/1000</f>
        <v/>
      </c>
      <c r="D24" s="4">
        <f>(C24/$D$5)*100</f>
        <v/>
      </c>
      <c r="E24" s="7">
        <f>$D$4/(1-(D24/100))</f>
        <v/>
      </c>
      <c r="F24" s="1" t="n">
        <v>77</v>
      </c>
      <c r="G24" s="4">
        <f>F24*$D$8</f>
        <v/>
      </c>
      <c r="H24" s="7">
        <f>G24/E24</f>
        <v/>
      </c>
      <c r="I24" s="4" t="inlineStr">
        <is>
          <t>-</t>
        </is>
      </c>
      <c r="J24" s="13" t="n"/>
    </row>
    <row r="25">
      <c r="A25" s="1" t="n">
        <v>15</v>
      </c>
      <c r="B25" s="1" t="n">
        <v>700</v>
      </c>
      <c r="C25" s="4">
        <f>B25/1000</f>
        <v/>
      </c>
      <c r="D25" s="4">
        <f>(C25/$D$5)*100</f>
        <v/>
      </c>
      <c r="E25" s="7">
        <f>$D$4/(1-(D25/100))</f>
        <v/>
      </c>
      <c r="F25" s="1" t="n">
        <v>80</v>
      </c>
      <c r="G25" s="4">
        <f>F25*$D$8</f>
        <v/>
      </c>
      <c r="H25" s="7">
        <f>G25/E25</f>
        <v/>
      </c>
      <c r="I25" s="4" t="inlineStr">
        <is>
          <t>-</t>
        </is>
      </c>
      <c r="J25" s="13" t="n"/>
    </row>
    <row r="26">
      <c r="A26" s="1" t="n">
        <v>16</v>
      </c>
      <c r="B26" s="1" t="n">
        <v>750</v>
      </c>
      <c r="C26" s="4">
        <f>B26/1000</f>
        <v/>
      </c>
      <c r="D26" s="4">
        <f>(C26/$D$5)*100</f>
        <v/>
      </c>
      <c r="E26" s="7">
        <f>$D$4/(1-(D26/100))</f>
        <v/>
      </c>
      <c r="F26" s="1" t="n">
        <v>80</v>
      </c>
      <c r="G26" s="4">
        <f>F26*$D$8</f>
        <v/>
      </c>
      <c r="H26" s="7">
        <f>G26/E26</f>
        <v/>
      </c>
      <c r="I26" s="4" t="inlineStr">
        <is>
          <t>-</t>
        </is>
      </c>
      <c r="J26" s="13" t="n"/>
    </row>
    <row r="27">
      <c r="A27" s="1" t="n">
        <v>17</v>
      </c>
      <c r="B27" s="1" t="n">
        <v>800</v>
      </c>
      <c r="C27" s="4">
        <f>B27/1000</f>
        <v/>
      </c>
      <c r="D27" s="4">
        <f>(C27/$D$5)*100</f>
        <v/>
      </c>
      <c r="E27" s="7">
        <f>$D$4/(1-(D27/100))</f>
        <v/>
      </c>
      <c r="F27" s="1" t="n">
        <v>83</v>
      </c>
      <c r="G27" s="4">
        <f>F27*$D$8</f>
        <v/>
      </c>
      <c r="H27" s="7">
        <f>G27/E27</f>
        <v/>
      </c>
      <c r="I27" s="4" t="inlineStr">
        <is>
          <t>-</t>
        </is>
      </c>
      <c r="J27" s="13" t="n"/>
    </row>
    <row r="28">
      <c r="A28" s="1" t="n">
        <v>18</v>
      </c>
      <c r="B28" s="1" t="n">
        <v>850</v>
      </c>
      <c r="C28" s="4">
        <f>B28/1000</f>
        <v/>
      </c>
      <c r="D28" s="4">
        <f>(C28/$D$5)*100</f>
        <v/>
      </c>
      <c r="E28" s="7">
        <f>$D$4/(1-(D28/100))</f>
        <v/>
      </c>
      <c r="F28" s="1" t="n">
        <v>77</v>
      </c>
      <c r="G28" s="4">
        <f>F28*$D$8</f>
        <v/>
      </c>
      <c r="H28" s="7">
        <f>G28/E28</f>
        <v/>
      </c>
      <c r="I28" s="4" t="inlineStr">
        <is>
          <t>-</t>
        </is>
      </c>
      <c r="J28" s="13" t="n"/>
    </row>
    <row r="29">
      <c r="A29" s="1" t="n">
        <v>19</v>
      </c>
      <c r="B29" s="1" t="n">
        <v>900</v>
      </c>
      <c r="C29" s="4">
        <f>B29/1000</f>
        <v/>
      </c>
      <c r="D29" s="4">
        <f>(C29/$D$5)*100</f>
        <v/>
      </c>
      <c r="E29" s="7">
        <f>$D$4/(1-(D29/100))</f>
        <v/>
      </c>
      <c r="F29" s="1" t="n">
        <v>74</v>
      </c>
      <c r="G29" s="4">
        <f>F29*$D$8</f>
        <v/>
      </c>
      <c r="H29" s="7">
        <f>G29/E29</f>
        <v/>
      </c>
      <c r="I29" s="4" t="inlineStr">
        <is>
          <t>-</t>
        </is>
      </c>
      <c r="J29" s="13" t="n"/>
    </row>
    <row r="30">
      <c r="A30" s="1" t="n">
        <v>20</v>
      </c>
      <c r="B30" s="1" t="n">
        <v>950</v>
      </c>
      <c r="C30" s="4">
        <f>B30/1000</f>
        <v/>
      </c>
      <c r="D30" s="4">
        <f>(C30/$D$5)*100</f>
        <v/>
      </c>
      <c r="E30" s="7">
        <f>$D$4/(1-(D30/100))</f>
        <v/>
      </c>
      <c r="F30" s="1" t="n">
        <v>74</v>
      </c>
      <c r="G30" s="4">
        <f>F30*$D$8</f>
        <v/>
      </c>
      <c r="H30" s="7">
        <f>G30/E30</f>
        <v/>
      </c>
      <c r="I30" s="4" t="inlineStr">
        <is>
          <t>-</t>
        </is>
      </c>
      <c r="J30" s="13" t="n"/>
    </row>
    <row r="31">
      <c r="A31" s="1" t="n">
        <v>21</v>
      </c>
      <c r="B31" s="1" t="n">
        <v>1000</v>
      </c>
      <c r="C31" s="4">
        <f>B31/1000</f>
        <v/>
      </c>
      <c r="D31" s="4">
        <f>(C31/$D$5)*100</f>
        <v/>
      </c>
      <c r="E31" s="7">
        <f>$D$4/(1-(D31/100))</f>
        <v/>
      </c>
      <c r="F31" s="2" t="n">
        <v>79</v>
      </c>
      <c r="G31" s="4">
        <f>F31*$D$8</f>
        <v/>
      </c>
      <c r="H31" s="7">
        <f>G31/E31</f>
        <v/>
      </c>
      <c r="I31" s="4" t="inlineStr">
        <is>
          <t>-</t>
        </is>
      </c>
    </row>
    <row r="32">
      <c r="A32" s="1" t="n">
        <v>22</v>
      </c>
      <c r="B32" s="1" t="n">
        <v>1050</v>
      </c>
      <c r="C32" s="4">
        <f>B32/1000</f>
        <v/>
      </c>
      <c r="D32" s="4">
        <f>(C32/$D$5)*100</f>
        <v/>
      </c>
      <c r="E32" s="7">
        <f>$D$4/(1-(D32/100))</f>
        <v/>
      </c>
      <c r="F32" s="2" t="n">
        <v>73</v>
      </c>
      <c r="G32" s="4">
        <f>F32*$D$8</f>
        <v/>
      </c>
      <c r="H32" s="7">
        <f>G32/E32</f>
        <v/>
      </c>
      <c r="I32" s="4" t="inlineStr">
        <is>
          <t>-</t>
        </is>
      </c>
    </row>
    <row r="33">
      <c r="A33" s="1" t="n">
        <v>23</v>
      </c>
      <c r="B33" s="1" t="n">
        <v>1100</v>
      </c>
      <c r="C33" s="4">
        <f>B33/1000</f>
        <v/>
      </c>
      <c r="D33" s="4">
        <f>(C33/$D$5)*100</f>
        <v/>
      </c>
      <c r="E33" s="7">
        <f>$D$4/(1-(D33/100))</f>
        <v/>
      </c>
      <c r="F33" s="2" t="n">
        <v>70</v>
      </c>
      <c r="G33" s="4">
        <f>F33*$D$8</f>
        <v/>
      </c>
      <c r="H33" s="7">
        <f>G33/E33</f>
        <v/>
      </c>
      <c r="I33" s="4" t="inlineStr">
        <is>
          <t>-</t>
        </is>
      </c>
    </row>
    <row r="34">
      <c r="A34" s="1" t="n">
        <v>24</v>
      </c>
      <c r="B34" s="1" t="n">
        <v>1150</v>
      </c>
      <c r="C34" s="4">
        <f>B34/1000</f>
        <v/>
      </c>
      <c r="D34" s="4">
        <f>(C34/$D$5)*100</f>
        <v/>
      </c>
      <c r="E34" s="7">
        <f>$D$4/(1-(D34/100))</f>
        <v/>
      </c>
      <c r="F34" s="2" t="n">
        <v>68</v>
      </c>
      <c r="G34" s="4">
        <f>F34*$D$8</f>
        <v/>
      </c>
      <c r="H34" s="7">
        <f>G34/E34</f>
        <v/>
      </c>
      <c r="I34" s="4" t="inlineStr">
        <is>
          <t>-</t>
        </is>
      </c>
    </row>
    <row r="35">
      <c r="A35" s="1" t="n">
        <v>25</v>
      </c>
      <c r="B35" s="1" t="n">
        <v>1200</v>
      </c>
      <c r="C35" s="4">
        <f>B35/1000</f>
        <v/>
      </c>
      <c r="D35" s="4">
        <f>(C35/$D$5)*100</f>
        <v/>
      </c>
      <c r="E35" s="7">
        <f>$D$4/(1-(D35/100))</f>
        <v/>
      </c>
      <c r="F35" s="2" t="n">
        <v>70</v>
      </c>
      <c r="G35" s="4">
        <f>F35*$D$8</f>
        <v/>
      </c>
      <c r="H35" s="7">
        <f>G35/E35</f>
        <v/>
      </c>
      <c r="I35" s="4" t="inlineStr">
        <is>
          <t>-</t>
        </is>
      </c>
    </row>
    <row r="36">
      <c r="A36" s="1" t="n">
        <v>26</v>
      </c>
      <c r="B36" s="1" t="n">
        <v>1250</v>
      </c>
      <c r="C36" s="4">
        <f>B36/1000</f>
        <v/>
      </c>
      <c r="D36" s="4">
        <f>(C36/$D$5)*100</f>
        <v/>
      </c>
      <c r="E36" s="7">
        <f>$D$4/(1-(D36/100))</f>
        <v/>
      </c>
      <c r="F36" s="2" t="n">
        <v>74</v>
      </c>
      <c r="G36" s="4">
        <f>F36*$D$8</f>
        <v/>
      </c>
      <c r="H36" s="7">
        <f>G36/E36</f>
        <v/>
      </c>
      <c r="I36" s="4" t="inlineStr">
        <is>
          <t>-</t>
        </is>
      </c>
    </row>
    <row r="37">
      <c r="A37" s="1" t="n">
        <v>27</v>
      </c>
      <c r="B37" s="1" t="n">
        <v>1300</v>
      </c>
      <c r="C37" s="4">
        <f>B37/1000</f>
        <v/>
      </c>
      <c r="D37" s="4">
        <f>(C37/$D$5)*100</f>
        <v/>
      </c>
      <c r="E37" s="7">
        <f>$D$4/(1-(D37/100))</f>
        <v/>
      </c>
      <c r="F37" s="2" t="n">
        <v>77</v>
      </c>
      <c r="G37" s="4">
        <f>F37*$D$8</f>
        <v/>
      </c>
      <c r="H37" s="7">
        <f>G37/E37</f>
        <v/>
      </c>
      <c r="I37" s="4" t="inlineStr">
        <is>
          <t>-</t>
        </is>
      </c>
    </row>
    <row r="38">
      <c r="A38" s="1" t="n">
        <v>28</v>
      </c>
      <c r="B38" s="1" t="n">
        <v>1350</v>
      </c>
      <c r="C38" s="4">
        <f>B38/1000</f>
        <v/>
      </c>
      <c r="D38" s="4">
        <f>(C38/$D$5)*100</f>
        <v/>
      </c>
      <c r="E38" s="7">
        <f>$D$4/(1-(D38/100))</f>
        <v/>
      </c>
      <c r="F38" s="2" t="n">
        <v>67</v>
      </c>
      <c r="G38" s="4">
        <f>F38*$D$8</f>
        <v/>
      </c>
      <c r="H38" s="7">
        <f>G38/E38</f>
        <v/>
      </c>
      <c r="I38" s="4" t="inlineStr">
        <is>
          <t>-</t>
        </is>
      </c>
    </row>
    <row r="39">
      <c r="A39" s="1" t="n">
        <v>29</v>
      </c>
      <c r="B39" s="1" t="n">
        <v>1400</v>
      </c>
      <c r="C39" s="4">
        <f>B39/1000</f>
        <v/>
      </c>
      <c r="D39" s="4">
        <f>(C39/$D$5)*100</f>
        <v/>
      </c>
      <c r="E39" s="7">
        <f>$D$4/(1-(D39/100))</f>
        <v/>
      </c>
      <c r="F39" s="2" t="n">
        <v>75</v>
      </c>
      <c r="G39" s="4">
        <f>F39*$D$8</f>
        <v/>
      </c>
      <c r="H39" s="7">
        <f>G39/E39</f>
        <v/>
      </c>
      <c r="I39" s="4" t="inlineStr">
        <is>
          <t>-</t>
        </is>
      </c>
    </row>
    <row r="40">
      <c r="A40" s="1" t="n">
        <v>30</v>
      </c>
      <c r="B40" s="1" t="n">
        <v>1450</v>
      </c>
      <c r="C40" s="4">
        <f>B40/1000</f>
        <v/>
      </c>
      <c r="D40" s="4">
        <f>(C40/$D$5)*100</f>
        <v/>
      </c>
      <c r="E40" s="7">
        <f>$D$4/(1-(D40/100))</f>
        <v/>
      </c>
      <c r="F40" s="2" t="n">
        <v>75</v>
      </c>
      <c r="G40" s="4">
        <f>F40*$D$8</f>
        <v/>
      </c>
      <c r="H40" s="7">
        <f>G40/E40</f>
        <v/>
      </c>
      <c r="I40" s="4" t="inlineStr">
        <is>
          <t>-</t>
        </is>
      </c>
    </row>
    <row r="41">
      <c r="A41" s="1" t="n">
        <v>31</v>
      </c>
      <c r="B41" s="1" t="n">
        <v>1500</v>
      </c>
      <c r="C41" s="4">
        <f>B41/1000</f>
        <v/>
      </c>
      <c r="D41" s="4">
        <f>(C41/$D$5)*100</f>
        <v/>
      </c>
      <c r="E41" s="7">
        <f>$D$4/(1-(D41/100))</f>
        <v/>
      </c>
      <c r="F41" s="2" t="n">
        <v>69</v>
      </c>
      <c r="G41" s="4">
        <f>F41*$D$8</f>
        <v/>
      </c>
      <c r="H41" s="7">
        <f>G41/E41</f>
        <v/>
      </c>
      <c r="I41" s="4" t="inlineStr">
        <is>
          <t>-</t>
        </is>
      </c>
    </row>
    <row r="42">
      <c r="A42" s="1" t="n">
        <v>32</v>
      </c>
      <c r="B42" s="1" t="n">
        <v>1550</v>
      </c>
      <c r="C42" s="4">
        <f>B42/1000</f>
        <v/>
      </c>
      <c r="D42" s="4">
        <f>(C42/$D$5)*100</f>
        <v/>
      </c>
      <c r="E42" s="7">
        <f>$D$4/(1-(D42/100))</f>
        <v/>
      </c>
      <c r="F42" s="2" t="n">
        <v>71</v>
      </c>
      <c r="G42" s="4">
        <f>F42*$D$8</f>
        <v/>
      </c>
      <c r="H42" s="7">
        <f>G42/E42</f>
        <v/>
      </c>
      <c r="I42" s="4" t="inlineStr">
        <is>
          <t>-</t>
        </is>
      </c>
    </row>
    <row r="43">
      <c r="A43" s="12" t="n"/>
      <c r="B43" s="12" t="n"/>
      <c r="C43" s="13" t="n"/>
      <c r="G43" s="13" t="n"/>
    </row>
    <row r="44">
      <c r="A44" s="12" t="n"/>
      <c r="B44" s="12" t="n"/>
      <c r="C44" s="13" t="n"/>
      <c r="G44" s="13" t="n"/>
    </row>
    <row r="45">
      <c r="A45" s="12" t="n"/>
      <c r="B45" s="12" t="n"/>
      <c r="C45" s="13" t="n"/>
      <c r="G45" s="13" t="n"/>
    </row>
    <row r="46">
      <c r="A46" s="12" t="n"/>
      <c r="B46" s="12" t="n"/>
      <c r="C46" s="13" t="n"/>
      <c r="G46" s="13" t="n"/>
    </row>
    <row r="47">
      <c r="A47" s="12" t="n"/>
      <c r="B47" s="12" t="n"/>
      <c r="C47" s="13" t="n"/>
      <c r="G47" s="13" t="n"/>
    </row>
    <row r="48">
      <c r="A48" s="12" t="n"/>
      <c r="B48" s="12" t="n"/>
      <c r="C48" s="13" t="n"/>
      <c r="G48" s="13" t="n"/>
    </row>
    <row r="49">
      <c r="A49" s="12" t="n"/>
      <c r="B49" s="12" t="n"/>
      <c r="C49" s="13" t="n"/>
      <c r="G49" s="13" t="n"/>
    </row>
    <row r="50">
      <c r="A50" s="12" t="n"/>
      <c r="B50" s="12" t="n"/>
      <c r="C50" s="13" t="n"/>
      <c r="G50" s="13" t="n"/>
    </row>
    <row r="51">
      <c r="A51" s="12" t="n"/>
      <c r="B51" s="12" t="n"/>
      <c r="C51" s="13" t="n"/>
      <c r="G51" s="13" t="n"/>
    </row>
    <row r="52">
      <c r="A52" s="12" t="n"/>
      <c r="B52" s="12" t="n"/>
      <c r="C52" s="13" t="n"/>
      <c r="G52" s="13" t="n"/>
    </row>
    <row r="53">
      <c r="A53" s="12" t="n"/>
      <c r="B53" s="12" t="n"/>
      <c r="C53" s="13" t="n"/>
      <c r="G53" s="13" t="n"/>
    </row>
    <row r="54">
      <c r="A54" s="12" t="n"/>
      <c r="B54" s="12" t="n"/>
      <c r="C54" s="13" t="n"/>
      <c r="G54" s="13" t="n"/>
    </row>
    <row r="55">
      <c r="A55" s="12" t="n"/>
      <c r="B55" s="12" t="n"/>
      <c r="C55" s="13" t="n"/>
      <c r="G55" s="13" t="n"/>
    </row>
    <row r="56">
      <c r="A56" s="12" t="n"/>
      <c r="B56" s="12" t="n"/>
      <c r="C56" s="13" t="n"/>
      <c r="G56" s="13" t="n"/>
    </row>
    <row r="57">
      <c r="A57" s="12" t="n"/>
      <c r="B57" s="12" t="n"/>
      <c r="C57" s="13" t="n"/>
      <c r="G57" s="13" t="n"/>
    </row>
    <row r="58">
      <c r="A58" s="12" t="n"/>
      <c r="B58" s="12" t="n"/>
      <c r="C58" s="13" t="n"/>
      <c r="G58" s="13" t="n"/>
    </row>
    <row r="59">
      <c r="A59" s="12" t="n"/>
      <c r="B59" s="12" t="n"/>
      <c r="C59" s="13" t="n"/>
      <c r="G59" s="13" t="n"/>
    </row>
    <row r="60">
      <c r="A60" s="12" t="n"/>
      <c r="B60" s="12" t="n"/>
      <c r="C60" s="13" t="n"/>
      <c r="G60" s="13" t="n"/>
    </row>
    <row r="61">
      <c r="A61" s="12" t="n"/>
      <c r="B61" s="12" t="n"/>
      <c r="C61" s="13" t="n"/>
      <c r="G61" s="13" t="n"/>
    </row>
    <row r="62">
      <c r="A62" s="12" t="n"/>
      <c r="B62" s="12" t="n"/>
      <c r="C62" s="13" t="n"/>
      <c r="G62" s="13" t="n"/>
    </row>
    <row r="63">
      <c r="A63" s="12" t="n"/>
      <c r="B63" s="12" t="n"/>
      <c r="C63" s="13" t="n"/>
      <c r="G63" s="13" t="n"/>
    </row>
    <row r="64">
      <c r="A64" s="12" t="n"/>
      <c r="B64" s="12" t="n"/>
      <c r="C64" s="13" t="n"/>
      <c r="G64" s="13" t="n"/>
    </row>
    <row r="65">
      <c r="A65" s="12" t="n"/>
      <c r="B65" s="12" t="n"/>
      <c r="C65" s="13" t="n"/>
      <c r="G65" s="13" t="n"/>
    </row>
    <row r="66">
      <c r="A66" s="12" t="n"/>
      <c r="B66" s="12" t="n"/>
      <c r="C66" s="13" t="n"/>
      <c r="G66" s="13" t="n"/>
    </row>
    <row r="67">
      <c r="A67" s="12" t="n"/>
      <c r="B67" s="12" t="n"/>
      <c r="C67" s="13" t="n"/>
      <c r="G67" s="13" t="n"/>
    </row>
    <row r="68">
      <c r="A68" s="12" t="n"/>
      <c r="B68" s="12" t="n"/>
      <c r="C68" s="13" t="n"/>
      <c r="G68" s="13" t="n"/>
    </row>
    <row r="69">
      <c r="A69" s="12" t="n"/>
      <c r="B69" s="12" t="n"/>
      <c r="C69" s="13" t="n"/>
      <c r="G69" s="13" t="n"/>
    </row>
    <row r="70">
      <c r="A70" s="12" t="n"/>
      <c r="B70" s="12" t="n"/>
      <c r="C70" s="13" t="n"/>
      <c r="G70" s="13" t="n"/>
    </row>
    <row r="71">
      <c r="A71" s="12" t="n"/>
      <c r="B71" s="12" t="n"/>
      <c r="C71" s="13" t="n"/>
      <c r="G71" s="13" t="n"/>
    </row>
  </sheetData>
  <mergeCells count="18">
    <mergeCell ref="F3:G3"/>
    <mergeCell ref="F2:G2"/>
    <mergeCell ref="A4:C4"/>
    <mergeCell ref="F4:G5"/>
    <mergeCell ref="F1:I1"/>
    <mergeCell ref="A5:C5"/>
    <mergeCell ref="A1:C1"/>
    <mergeCell ref="A8:C8"/>
    <mergeCell ref="H4:H5"/>
    <mergeCell ref="A6:C6"/>
    <mergeCell ref="I4:I5"/>
    <mergeCell ref="F7:G8"/>
    <mergeCell ref="F6:G6"/>
    <mergeCell ref="A3:C3"/>
    <mergeCell ref="H7:H8"/>
    <mergeCell ref="I7:I8"/>
    <mergeCell ref="A7:C7"/>
    <mergeCell ref="A2:C2"/>
  </mergeCells>
  <pageMargins left="0.7" right="0.7" top="0.75" bottom="0.75" header="0.3" footer="0.3"/>
  <pageSetup orientation="portrait"/>
  <drawing xmlns:r="http://schemas.openxmlformats.org/officeDocument/2006/relationships" r:id="rId1"/>
</worksheet>
</file>

<file path=docProps/app.xml><?xml version="1.0" encoding="utf-8"?>
<Properties xmlns="http://schemas.openxmlformats.org/officeDocument/2006/extended-properties">
  <Application>Microsoft Excel Compatible / Openpyxl 3.1.5</Application>
  <AppVersion>3.1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xsi="http://www.w3.org/2001/XMLSchema-instance">
  <dc:creator>baps</dc:creator>
  <dcterms:created xsi:type="dcterms:W3CDTF">2026-08-07T11:31:35Z</dcterms:created>
  <dcterms:modified xsi:type="dcterms:W3CDTF">2026-09-23T10:42:12Z</dcterms:modified>
  <cp:lastModifiedBy>baps</cp:lastModifiedBy>
</cp:coreProperties>
</file>