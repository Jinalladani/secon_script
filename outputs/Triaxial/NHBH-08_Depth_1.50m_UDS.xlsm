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28680" yWindow="-120" windowWidth="29040" windowHeight="15720" tabRatio="600" firstSheet="0" activeTab="1" autoFilterDateGrouping="1"/>
  </bookViews>
  <sheets>
    <sheet name="Input" sheetId="1" state="visible" r:id="rId1"/>
    <sheet name="Plot" sheetId="2" state="visible" r:id="rId2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2">
    <numFmt numFmtId="164" formatCode="0.000"/>
    <numFmt numFmtId="165" formatCode="0.0000"/>
  </numFmts>
  <fonts count="3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11"/>
      <vertAlign val="superscript"/>
      <scheme val="minor"/>
    </font>
  </fonts>
  <fills count="2">
    <fill>
      <patternFill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1">
    <xf numFmtId="0" fontId="0" fillId="0" borderId="0" pivotButton="0" quotePrefix="0" xfId="0"/>
    <xf numFmtId="0" fontId="1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 vertical="center"/>
    </xf>
    <xf numFmtId="164" fontId="0" fillId="0" borderId="1" applyAlignment="1" pivotButton="0" quotePrefix="0" xfId="0">
      <alignment horizontal="center" vertical="center"/>
    </xf>
    <xf numFmtId="2" fontId="0" fillId="0" borderId="1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/>
    </xf>
    <xf numFmtId="0" fontId="1" fillId="0" borderId="1" applyAlignment="1" pivotButton="0" quotePrefix="0" xfId="0">
      <alignment horizontal="center"/>
    </xf>
    <xf numFmtId="0" fontId="1" fillId="0" borderId="0" applyAlignment="1" pivotButton="0" quotePrefix="0" xfId="0">
      <alignment horizontal="center" vertical="center" wrapText="1"/>
    </xf>
    <xf numFmtId="2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/>
    </xf>
    <xf numFmtId="0" fontId="1" fillId="0" borderId="1" applyAlignment="1" pivotButton="0" quotePrefix="0" xfId="0">
      <alignment horizontal="left" vertical="center"/>
    </xf>
    <xf numFmtId="0" fontId="0" fillId="0" borderId="3" pivotButton="0" quotePrefix="0" xfId="0"/>
    <xf numFmtId="0" fontId="0" fillId="0" borderId="2" pivotButton="0" quotePrefix="0" xfId="0"/>
    <xf numFmtId="2" fontId="0" fillId="0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1" applyAlignment="1" pivotButton="0" quotePrefix="0" xfId="0">
      <alignment horizontal="center" vertical="center"/>
    </xf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LOAD Vs SETTLEMENT CURVE</a:t>
            </a:r>
          </a:p>
        </rich>
      </tx>
      <layout>
        <manualLayout>
          <xMode val="edge"/>
          <yMode val="edge"/>
          <wMode val="factor"/>
          <hMode val="factor"/>
          <x val="0.35811616679334"/>
          <y val="0.02197524040517498"/>
        </manualLayout>
      </layout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tx>
            <v>Axial Load (At Cell Pressure of 0.50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Input!$B$14:$B$169</f>
              <numCache>
                <formatCode>0.0000</formatCode>
                <ptCount val="156"/>
              </numCache>
            </numRef>
          </xVal>
          <yVal>
            <numRef>
              <f>Input!$C$14:$C$169</f>
              <numCache>
                <formatCode>0.0000</formatCode>
                <ptCount val="156"/>
              </numCache>
            </numRef>
          </yVal>
          <smooth val="1"/>
        </ser>
        <ser>
          <idx val="1"/>
          <order val="1"/>
          <tx>
            <v>Axial Load (At Cell Pressure of 1.00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Input!$J$14:$J$169</f>
              <numCache>
                <formatCode>0.000</formatCode>
                <ptCount val="156"/>
              </numCache>
            </numRef>
          </xVal>
          <yVal>
            <numRef>
              <f>Input!$K$14:$K$169</f>
              <numCache>
                <formatCode>0.000</formatCode>
                <ptCount val="156"/>
              </numCache>
            </numRef>
          </yVal>
          <smooth val="1"/>
        </ser>
        <ser>
          <idx val="2"/>
          <order val="2"/>
          <tx>
            <v>Axial Load (At Cell Pressure of 1.50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Input!$R$14:$R$169</f>
              <numCache>
                <formatCode>0.0000</formatCode>
                <ptCount val="156"/>
              </numCache>
            </numRef>
          </xVal>
          <yVal>
            <numRef>
              <f>Input!$S$14:$S$169</f>
              <numCache>
                <formatCode>0.0000</formatCode>
                <ptCount val="156"/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38465536"/>
        <axId val="38467456"/>
      </scatterChart>
      <valAx>
        <axId val="38465536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 baseline="0"/>
                  <a:t>Settlement (cm)</a:t>
                </a:r>
                <a:endParaRPr lang="en-US" b="1"/>
              </a:p>
            </rich>
          </tx>
          <layout>
            <manualLayout>
              <xMode val="edge"/>
              <yMode val="edge"/>
              <wMode val="factor"/>
              <hMode val="factor"/>
              <x val="0.4520095408705025"/>
              <y val="0.9269430784419678"/>
            </manualLayout>
          </layout>
          <overlay val="0"/>
          <spPr>
            <a:noFill/>
            <a:ln>
              <a:noFill/>
              <a:prstDash val="solid"/>
            </a:ln>
          </spPr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7456"/>
        <crosses val="autoZero"/>
        <crossBetween val="midCat"/>
      </valAx>
      <valAx>
        <axId val="38467456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Axial Load</a:t>
                </a:r>
                <a:r>
                  <a:rPr lang="en-US" b="1" baseline="0"/>
                  <a:t xml:space="preserve"> (kg)</a:t>
                </a:r>
                <a:endParaRPr lang="en-US" b="1"/>
              </a:p>
            </rich>
          </tx>
          <overlay val="0"/>
          <spPr>
            <a:noFill/>
            <a:ln>
              <a:noFill/>
              <a:prstDash val="solid"/>
            </a:ln>
          </sp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5536"/>
        <crosses val="autoZero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DEVIATOR</a:t>
            </a:r>
            <a:r>
              <a:rPr lang="en-US" b="1" baseline="0"/>
              <a:t xml:space="preserve"> STRESS Vs STRAIN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Input!$D$14:$D$169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xVal>
          <yVal>
            <numRef>
              <f>Input!$F$14:$F$169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yVal>
          <smooth val="1"/>
        </ser>
        <ser>
          <idx val="1"/>
          <order val="1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Input!$L$14:$L$169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xVal>
          <yVal>
            <numRef>
              <f>Input!$N$14:$N$169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yVal>
          <smooth val="1"/>
        </ser>
        <ser>
          <idx val="2"/>
          <order val="2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Input!$T$14:$T$169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xVal>
          <yVal>
            <numRef>
              <f>Input!$V$14:$V$169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28227584"/>
        <axId val="128258048"/>
      </scatterChart>
      <valAx>
        <axId val="128227584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>Axial Strain</a:t>
                </a:r>
                <a:r>
                  <a:rPr lang="en-IN" baseline="0"/>
                  <a:t xml:space="preserve">, </a:t>
                </a:r>
                <a:r>
                  <a:rPr lang="el-GR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ε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(%)</a:t>
                </a:r>
                <a:endParaRPr lang="en-IN"/>
              </a:p>
            </rich>
          </tx>
          <overlay val="0"/>
        </title>
        <numFmt formatCode="#,##0.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58048"/>
        <crossesAt val="0"/>
        <crossBetween val="midCat"/>
      </valAx>
      <valAx>
        <axId val="128258048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 xml:space="preserve">Deviator Stress, </a:t>
                </a:r>
                <a:r>
                  <a:rPr lang="el-GR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σ</a:t>
                </a:r>
                <a:r>
                  <a:rPr lang="en-IN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(kg/cm</a:t>
                </a:r>
                <a:r>
                  <a:rPr lang="en-IN" baseline="3000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2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)</a:t>
                </a:r>
                <a:endParaRPr lang="en-IN" baseline="30000"/>
              </a:p>
            </rich>
          </tx>
          <overlay val="0"/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27584"/>
        <crossesAt val="0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00" b="1"/>
            </a:pPr>
            <a:r>
              <a:rPr lang="en-IN"/>
              <a:t>MOHR Circle Plot</a:t>
            </a:r>
          </a:p>
        </rich>
      </tx>
      <layout>
        <manualLayout>
          <xMode val="edge"/>
          <yMode val="edge"/>
          <wMode val="factor"/>
          <hMode val="factor"/>
          <x val="0.4116590536823039"/>
          <y val="0.03470063118856016"/>
        </manualLayout>
      </layout>
      <overlay val="0"/>
    </title>
    <plotArea>
      <layout>
        <manualLayout>
          <layoutTarget val="inner"/>
          <xMode val="edge"/>
          <yMode val="edge"/>
          <wMode val="factor"/>
          <hMode val="factor"/>
          <x val="0.09780006732264646"/>
          <y val="0.1060352932732673"/>
          <w val="0.5444279617635921"/>
          <h val="0.7614295488863723"/>
        </manualLayout>
      </layout>
      <scatterChart>
        <scatterStyle val="smoothMarker"/>
        <varyColors val="0"/>
        <ser>
          <idx val="0"/>
          <order val="0"/>
          <tx>
            <v>Trial_01 (Cell Pressure_0.50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1.733924921727186</v>
              </pt>
              <pt idx="1">
                <v>1.733614307276975</v>
              </pt>
              <pt idx="2">
                <v>1.732682776688765</v>
              </pt>
              <pt idx="3">
                <v>1.731131267934895</v>
              </pt>
              <pt idx="4">
                <v>1.728961343253165</v>
              </pt>
              <pt idx="5">
                <v>1.726175187573793</v>
              </pt>
              <pt idx="6">
                <v>1.722775606319375</v>
              </pt>
              <pt idx="7">
                <v>1.718766022580064</v>
              </pt>
              <pt idx="8">
                <v>1.714150473666808</v>
              </pt>
              <pt idx="9">
                <v>1.70893360704612</v>
              </pt>
              <pt idx="10">
                <v>1.703120675660471</v>
              </pt>
              <pt idx="11">
                <v>1.696717532639026</v>
              </pt>
              <pt idx="12">
                <v>1.689730625404037</v>
              </pt>
              <pt idx="13">
                <v>1.682166989178833</v>
              </pt>
              <pt idx="14">
                <v>1.674034239903952</v>
              </pt>
              <pt idx="15">
                <v>1.665340566568531</v>
              </pt>
              <pt idx="16">
                <v>1.656094722964686</v>
              </pt>
              <pt idx="17">
                <v>1.64630601887319</v>
              </pt>
              <pt idx="18">
                <v>1.63598431068931</v>
              </pt>
              <pt idx="19">
                <v>1.625139991498254</v>
              </pt>
              <pt idx="20">
                <v>1.613783980610215</v>
              </pt>
              <pt idx="21">
                <v>1.601927712565546</v>
              </pt>
              <pt idx="22">
                <v>1.589583125621159</v>
              </pt>
              <pt idx="23">
                <v>1.576762649729698</v>
              </pt>
              <pt idx="24">
                <v>1.563479194023643</v>
              </pt>
              <pt idx="25">
                <v>1.549746133816898</v>
              </pt>
              <pt idx="26">
                <v>1.53557729713699</v>
              </pt>
              <pt idx="27">
                <v>1.520986950801415</v>
              </pt>
              <pt idx="28">
                <v>1.505989786052162</v>
              </pt>
              <pt idx="29">
                <v>1.490600903762879</v>
              </pt>
              <pt idx="30">
                <v>1.474835799233571</v>
              </pt>
              <pt idx="31">
                <v>1.458710346588147</v>
              </pt>
              <pt idx="32">
                <v>1.442240782790528</v>
              </pt>
              <pt idx="33">
                <v>1.42544369129539</v>
              </pt>
              <pt idx="34">
                <v>1.408335985350042</v>
              </pt>
              <pt idx="35">
                <v>1.390934890964212</v>
              </pt>
              <pt idx="36">
                <v>1.373257929564919</v>
              </pt>
              <pt idx="37">
                <v>1.35532290035388</v>
              </pt>
              <pt idx="38">
                <v>1.337147862385224</v>
              </pt>
              <pt idx="39">
                <v>1.318751116381554</v>
              </pt>
              <pt idx="40">
                <v>1.300151186306668</v>
              </pt>
              <pt idx="41">
                <v>1.281366800713504</v>
              </pt>
              <pt idx="42">
                <v>1.262416873886071</v>
              </pt>
              <pt idx="43">
                <v>1.243320486794367</v>
              </pt>
              <pt idx="44">
                <v>1.224096867881462</v>
              </pt>
              <pt idx="45">
                <v>1.204765373702084</v>
              </pt>
              <pt idx="46">
                <v>1.185345469432213</v>
              </pt>
              <pt idx="47">
                <v>1.165856709269292</v>
              </pt>
              <pt idx="48">
                <v>1.146318716742814</v>
              </pt>
              <pt idx="49">
                <v>1.12675116495509</v>
              </pt>
              <pt idx="50">
                <v>1.107173756772098</v>
              </pt>
              <pt idx="51">
                <v>1.087606204984374</v>
              </pt>
              <pt idx="52">
                <v>1.068068212457896</v>
              </pt>
              <pt idx="53">
                <v>1.048579452294976</v>
              </pt>
              <pt idx="54">
                <v>1.029159548025104</v>
              </pt>
              <pt idx="55">
                <v>1.009828053845726</v>
              </pt>
              <pt idx="56">
                <v>0.9906044349328211</v>
              </pt>
              <pt idx="57">
                <v>0.9715080478411169</v>
              </pt>
              <pt idx="58">
                <v>0.9525581210136836</v>
              </pt>
              <pt idx="59">
                <v>0.93377373542052</v>
              </pt>
              <pt idx="60">
                <v>0.9151738053456344</v>
              </pt>
              <pt idx="61">
                <v>0.8967770593419635</v>
              </pt>
              <pt idx="62">
                <v>0.8786020213733075</v>
              </pt>
              <pt idx="63">
                <v>0.8606669921622689</v>
              </pt>
              <pt idx="64">
                <v>0.8429900307629761</v>
              </pt>
              <pt idx="65">
                <v>0.8255889363771461</v>
              </pt>
              <pt idx="66">
                <v>0.8084812304317976</v>
              </pt>
              <pt idx="67">
                <v>0.7916841389366601</v>
              </pt>
              <pt idx="68">
                <v>0.7752145751390402</v>
              </pt>
              <pt idx="69">
                <v>0.7590891224936173</v>
              </pt>
              <pt idx="70">
                <v>0.7433240179643088</v>
              </pt>
              <pt idx="71">
                <v>0.7279351356750252</v>
              </pt>
              <pt idx="72">
                <v>0.7129379709257725</v>
              </pt>
              <pt idx="73">
                <v>0.6983476245901975</v>
              </pt>
              <pt idx="74">
                <v>0.6841787879102896</v>
              </pt>
              <pt idx="75">
                <v>0.6704457277035447</v>
              </pt>
              <pt idx="76">
                <v>0.6571622719974891</v>
              </pt>
              <pt idx="77">
                <v>0.6443417961060287</v>
              </pt>
              <pt idx="78">
                <v>0.6319972091616408</v>
              </pt>
              <pt idx="79">
                <v>0.6201409411169728</v>
              </pt>
              <pt idx="80">
                <v>0.6087849302289328</v>
              </pt>
              <pt idx="81">
                <v>0.597940611037877</v>
              </pt>
              <pt idx="82">
                <v>0.5876189028539974</v>
              </pt>
              <pt idx="83">
                <v>0.5778301987625016</v>
              </pt>
              <pt idx="84">
                <v>0.5685843551586566</v>
              </pt>
              <pt idx="85">
                <v>0.5598906818232349</v>
              </pt>
              <pt idx="86">
                <v>0.5517579325483539</v>
              </pt>
              <pt idx="87">
                <v>0.5441942963231503</v>
              </pt>
              <pt idx="88">
                <v>0.5372073890881606</v>
              </pt>
              <pt idx="89">
                <v>0.5308042460667156</v>
              </pt>
              <pt idx="90">
                <v>0.5249913146810669</v>
              </pt>
              <pt idx="91">
                <v>0.5197744480603785</v>
              </pt>
              <pt idx="92">
                <v>0.5151588991471228</v>
              </pt>
              <pt idx="93">
                <v>0.5111493154078119</v>
              </pt>
              <pt idx="94">
                <v>0.5077497341533938</v>
              </pt>
              <pt idx="95">
                <v>0.5049635784740211</v>
              </pt>
              <pt idx="96">
                <v>0.5027936537922909</v>
              </pt>
              <pt idx="97">
                <v>0.501242145038421</v>
              </pt>
              <pt idx="98">
                <v>0.5003106144502107</v>
              </pt>
              <pt idx="99">
                <v>0.5000000000000001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0.01957494392908422</v>
              </pt>
              <pt idx="2">
                <v>0.0391301775489288</v>
              </pt>
              <pt idx="3">
                <v>0.05864601039690473</v>
              </pt>
              <pt idx="4">
                <v>0.0781027916836204</v>
              </pt>
              <pt idx="5">
                <v>0.09748093007960083</v>
              </pt>
              <pt idx="6">
                <v>0.1167609134420957</v>
              </pt>
              <pt idx="7">
                <v>0.1359233284621532</v>
              </pt>
              <pt idx="8">
                <v>0.1549488802121766</v>
              </pt>
              <pt idx="9">
                <v>0.1738184115742804</v>
              </pt>
              <pt idx="10">
                <v>0.1925129225298847</v>
              </pt>
              <pt idx="11">
                <v>0.2110135892911231</v>
              </pt>
              <pt idx="12">
                <v>0.2293017832548014</v>
              </pt>
              <pt idx="13">
                <v>0.247359089759822</v>
              </pt>
              <pt idx="14">
                <v>0.2651673266291867</v>
              </pt>
              <pt idx="15">
                <v>0.2827085624779075</v>
              </pt>
              <pt idx="16">
                <v>0.2999651347683918</v>
              </pt>
              <pt idx="17">
                <v>0.3169196675951199</v>
              </pt>
              <pt idx="18">
                <v>0.3335550891807098</v>
              </pt>
              <pt idx="19">
                <v>0.3498546490657488</v>
              </pt>
              <pt idx="20">
                <v>0.3658019349750872</v>
              </pt>
              <pt idx="21">
                <v>0.3813808893436081</v>
              </pt>
              <pt idx="22">
                <v>0.3965758254848337</v>
              </pt>
              <pt idx="23">
                <v>0.4113714433860892</v>
              </pt>
              <pt idx="24">
                <v>0.425752845114319</v>
              </pt>
              <pt idx="25">
                <v>0.4397055498170421</v>
              </pt>
              <pt idx="26">
                <v>0.4532155083033429</v>
              </pt>
              <pt idx="27">
                <v>0.4662691171902157</v>
              </pt>
              <pt idx="28">
                <v>0.4788532326000187</v>
              </pt>
              <pt idx="29">
                <v>0.4909551833952439</v>
              </pt>
              <pt idx="30">
                <v>0.5025627839372789</v>
              </pt>
              <pt idx="31">
                <v>0.5136643463563121</v>
              </pt>
              <pt idx="32">
                <v>0.5242486923200267</v>
              </pt>
              <pt idx="33">
                <v>0.5343051642892337</v>
              </pt>
              <pt idx="34">
                <v>0.5438236362491109</v>
              </pt>
              <pt idx="35">
                <v>0.5527945239052409</v>
              </pt>
              <pt idx="36">
                <v>0.5612087943341837</v>
              </pt>
              <pt idx="37">
                <v>0.5690579750788645</v>
              </pt>
              <pt idx="38">
                <v>0.5763341626796198</v>
              </pt>
              <pt idx="39">
                <v>0.5830300306323117</v>
              </pt>
              <pt idx="40">
                <v>0.5891388367654964</v>
              </pt>
              <pt idx="41">
                <v>0.594654430029219</v>
              </pt>
              <pt idx="42">
                <v>0.5995712566885998</v>
              </pt>
              <pt idx="43">
                <v>0.6038843659159743</v>
              </pt>
              <pt idx="44">
                <v>0.6075894147759572</v>
              </pt>
              <pt idx="45">
                <v>0.6106826725984099</v>
              </pt>
              <pt idx="46">
                <v>0.6131610247349097</v>
              </pt>
              <pt idx="47">
                <v>0.6150219756949359</v>
              </pt>
              <pt idx="48">
                <v>0.6162636516586177</v>
              </pt>
              <pt idx="49">
                <v>0.6168848023635123</v>
              </pt>
              <pt idx="50">
                <v>0.6168848023635123</v>
              </pt>
              <pt idx="51">
                <v>0.6162636516586179</v>
              </pt>
              <pt idx="52">
                <v>0.6150219756949361</v>
              </pt>
              <pt idx="53">
                <v>0.61316102473491</v>
              </pt>
              <pt idx="54">
                <v>0.6106826725984102</v>
              </pt>
              <pt idx="55">
                <v>0.6075894147759575</v>
              </pt>
              <pt idx="56">
                <v>0.6038843659159747</v>
              </pt>
              <pt idx="57">
                <v>0.5995712566886002</v>
              </pt>
              <pt idx="58">
                <v>0.5946544300292196</v>
              </pt>
              <pt idx="59">
                <v>0.5891388367654969</v>
              </pt>
              <pt idx="60">
                <v>0.5830300306323124</v>
              </pt>
              <pt idx="61">
                <v>0.5763341626796205</v>
              </pt>
              <pt idx="62">
                <v>0.5690579750788651</v>
              </pt>
              <pt idx="63">
                <v>0.5612087943341846</v>
              </pt>
              <pt idx="64">
                <v>0.5527945239052419</v>
              </pt>
              <pt idx="65">
                <v>0.5438236362491119</v>
              </pt>
              <pt idx="66">
                <v>0.5343051642892347</v>
              </pt>
              <pt idx="67">
                <v>0.5242486923200277</v>
              </pt>
              <pt idx="68">
                <v>0.5136643463563132</v>
              </pt>
              <pt idx="69">
                <v>0.50256278393728</v>
              </pt>
              <pt idx="70">
                <v>0.4909551833952452</v>
              </pt>
              <pt idx="71">
                <v>0.4788532326000199</v>
              </pt>
              <pt idx="72">
                <v>0.466269117190217</v>
              </pt>
              <pt idx="73">
                <v>0.4532155083033442</v>
              </pt>
              <pt idx="74">
                <v>0.4397055498170436</v>
              </pt>
              <pt idx="75">
                <v>0.4257528451143205</v>
              </pt>
              <pt idx="76">
                <v>0.4113714433860907</v>
              </pt>
              <pt idx="77">
                <v>0.3965758254848351</v>
              </pt>
              <pt idx="78">
                <v>0.3813808893436096</v>
              </pt>
              <pt idx="79">
                <v>0.3658019349750889</v>
              </pt>
              <pt idx="80">
                <v>0.3498546490657505</v>
              </pt>
              <pt idx="81">
                <v>0.3335550891807113</v>
              </pt>
              <pt idx="82">
                <v>0.3169196675951216</v>
              </pt>
              <pt idx="83">
                <v>0.2999651347683935</v>
              </pt>
              <pt idx="84">
                <v>0.2827085624779093</v>
              </pt>
              <pt idx="85">
                <v>0.2651673266291886</v>
              </pt>
              <pt idx="86">
                <v>0.2473590897598237</v>
              </pt>
              <pt idx="87">
                <v>0.2293017832548032</v>
              </pt>
              <pt idx="88">
                <v>0.211013589291125</v>
              </pt>
              <pt idx="89">
                <v>0.1925129225298866</v>
              </pt>
              <pt idx="90">
                <v>0.1738184115742823</v>
              </pt>
              <pt idx="91">
                <v>0.1549488802121786</v>
              </pt>
              <pt idx="92">
                <v>0.1359233284621551</v>
              </pt>
              <pt idx="93">
                <v>0.1167609134420977</v>
              </pt>
              <pt idx="94">
                <v>0.09748093007960282</v>
              </pt>
              <pt idx="95">
                <v>0.07810279168362246</v>
              </pt>
              <pt idx="96">
                <v>0.05864601039690684</v>
              </pt>
              <pt idx="97">
                <v>0.03913017754893069</v>
              </pt>
              <pt idx="98">
                <v>0.01957494392908616</v>
              </pt>
              <pt idx="99">
                <v>1.993460712553509e-15</v>
              </pt>
            </numLit>
          </yVal>
          <smooth val="1"/>
        </ser>
        <ser>
          <idx val="1"/>
          <order val="1"/>
          <tx>
            <v>Trial_02 (Cell Pressure_1.00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2.472607005531502</v>
              </pt>
              <pt idx="1">
                <v>2.472236307924748</v>
              </pt>
              <pt idx="2">
                <v>2.47112458836555</v>
              </pt>
              <pt idx="3">
                <v>2.46927296626127</v>
              </pt>
              <pt idx="4">
                <v>2.466683306038411</v>
              </pt>
              <pt idx="5">
                <v>2.463358215265301</v>
              </pt>
              <pt idx="6">
                <v>2.459301042026493</v>
              </pt>
              <pt idx="7">
                <v>2.454515871551527</v>
              </pt>
              <pt idx="8">
                <v>2.449007522101449</v>
              </pt>
              <pt idx="9">
                <v>2.442781540117232</v>
              </pt>
              <pt idx="10">
                <v>2.435844194634982</v>
              </pt>
              <pt idx="11">
                <v>2.428202470973544</v>
              </pt>
              <pt idx="12">
                <v>2.419864063700886</v>
              </pt>
              <pt idx="13">
                <v>2.410837368886313</v>
              </pt>
              <pt idx="14">
                <v>2.401131475646345</v>
              </pt>
              <pt idx="15">
                <v>2.390756156992739</v>
              </pt>
              <pt idx="16">
                <v>2.379721859991904</v>
              </pt>
              <pt idx="17">
                <v>2.36803969524558</v>
              </pt>
              <pt idx="18">
                <v>2.355721425703413</v>
              </pt>
              <pt idx="19">
                <v>2.342779454818657</v>
              </pt>
              <pt idx="20">
                <v>2.329226814058948</v>
              </pt>
              <pt idx="21">
                <v>2.315077149784725</v>
              </pt>
              <pt idx="22">
                <v>2.300344709508494</v>
              </pt>
              <pt idx="23">
                <v>2.2850443275488</v>
              </pt>
              <pt idx="24">
                <v>2.269191410093316</v>
              </pt>
              <pt idx="25">
                <v>2.252801919686128</v>
              </pt>
              <pt idx="26">
                <v>2.235892359154797</v>
              </pt>
              <pt idx="27">
                <v>2.218479754993416</v>
              </pt>
              <pt idx="28">
                <v>2.200581640218372</v>
              </pt>
              <pt idx="29">
                <v>2.182216036714086</v>
              </pt>
              <pt idx="30">
                <v>2.163401437086502</v>
              </pt>
              <pt idx="31">
                <v>2.144156786042597</v>
              </pt>
              <pt idx="32">
                <v>2.124501461314676</v>
              </pt>
              <pt idx="33">
                <v>2.104455254148627</v>
              </pt>
              <pt idx="34">
                <v>2.084038349375824</v>
              </pt>
              <pt idx="35">
                <v>2.063271305088705</v>
              </pt>
              <pt idx="36">
                <v>2.042175031940521</v>
              </pt>
              <pt idx="37">
                <v>2.020770772090077</v>
              </pt>
              <pt idx="38">
                <v>1.999080077812681</v>
              </pt>
              <pt idx="39">
                <v>1.97712478979883</v>
              </pt>
              <pt idx="40">
                <v>1.954927015162482</v>
              </pt>
              <pt idx="41">
                <v>1.932509105181073</v>
              </pt>
              <pt idx="42">
                <v>1.909893632789668</v>
              </pt>
              <pt idx="43">
                <v>1.887103369851935</v>
              </pt>
              <pt idx="44">
                <v>1.864161264230803</v>
              </pt>
              <pt idx="45">
                <v>1.841090416681914</v>
              </pt>
              <pt idx="46">
                <v>1.817914057593117</v>
              </pt>
              <pt idx="47">
                <v>1.79465552359344</v>
              </pt>
              <pt idx="48">
                <v>1.771338234055079</v>
              </pt>
              <pt idx="49">
                <v>1.747985667512076</v>
              </pt>
              <pt idx="50">
                <v>1.724621338019429</v>
              </pt>
              <pt idx="51">
                <v>1.701268771476426</v>
              </pt>
              <pt idx="52">
                <v>1.677951481938064</v>
              </pt>
              <pt idx="53">
                <v>1.654692947938388</v>
              </pt>
              <pt idx="54">
                <v>1.631516588849591</v>
              </pt>
              <pt idx="55">
                <v>1.608445741300702</v>
              </pt>
              <pt idx="56">
                <v>1.58550363567957</v>
              </pt>
              <pt idx="57">
                <v>1.562713372741836</v>
              </pt>
              <pt idx="58">
                <v>1.540097900350432</v>
              </pt>
              <pt idx="59">
                <v>1.517679990369022</v>
              </pt>
              <pt idx="60">
                <v>1.495482215732675</v>
              </pt>
              <pt idx="61">
                <v>1.473526927718823</v>
              </pt>
              <pt idx="62">
                <v>1.451836233441427</v>
              </pt>
              <pt idx="63">
                <v>1.430431973590984</v>
              </pt>
              <pt idx="64">
                <v>1.409335700442799</v>
              </pt>
              <pt idx="65">
                <v>1.38856865615568</v>
              </pt>
              <pt idx="66">
                <v>1.368151751382877</v>
              </pt>
              <pt idx="67">
                <v>1.348105544216829</v>
              </pt>
              <pt idx="68">
                <v>1.328450219488907</v>
              </pt>
              <pt idx="69">
                <v>1.309205568445003</v>
              </pt>
              <pt idx="70">
                <v>1.290390968817418</v>
              </pt>
              <pt idx="71">
                <v>1.272025365313132</v>
              </pt>
              <pt idx="72">
                <v>1.254127250538088</v>
              </pt>
              <pt idx="73">
                <v>1.236714646376707</v>
              </pt>
              <pt idx="74">
                <v>1.219805085845376</v>
              </pt>
              <pt idx="75">
                <v>1.203415595438188</v>
              </pt>
              <pt idx="76">
                <v>1.187562677982704</v>
              </pt>
              <pt idx="77">
                <v>1.17226229602301</v>
              </pt>
              <pt idx="78">
                <v>1.157529855746779</v>
              </pt>
              <pt idx="79">
                <v>1.143380191472555</v>
              </pt>
              <pt idx="80">
                <v>1.129827550712847</v>
              </pt>
              <pt idx="81">
                <v>1.116885579828091</v>
              </pt>
              <pt idx="82">
                <v>1.104567310285924</v>
              </pt>
              <pt idx="83">
                <v>1.0928851455396</v>
              </pt>
              <pt idx="84">
                <v>1.081850848538764</v>
              </pt>
              <pt idx="85">
                <v>1.071475529885159</v>
              </pt>
              <pt idx="86">
                <v>1.06176963664519</v>
              </pt>
              <pt idx="87">
                <v>1.052742941830617</v>
              </pt>
              <pt idx="88">
                <v>1.044404534557959</v>
              </pt>
              <pt idx="89">
                <v>1.036762810896521</v>
              </pt>
              <pt idx="90">
                <v>1.029825465414271</v>
              </pt>
              <pt idx="91">
                <v>1.023599483430055</v>
              </pt>
              <pt idx="92">
                <v>1.018091133979976</v>
              </pt>
              <pt idx="93">
                <v>1.01330596350501</v>
              </pt>
              <pt idx="94">
                <v>1.009248790266202</v>
              </pt>
              <pt idx="95">
                <v>1.005923699493092</v>
              </pt>
              <pt idx="96">
                <v>1.003334039270233</v>
              </pt>
              <pt idx="97">
                <v>1.001482417165952</v>
              </pt>
              <pt idx="98">
                <v>1.000370697606755</v>
              </pt>
              <pt idx="99">
                <v>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0.023361388570146</v>
              </pt>
              <pt idx="2">
                <v>0.04669925420226197</v>
              </pt>
              <pt idx="3">
                <v>0.06999009764392256</v>
              </pt>
              <pt idx="4">
                <v>0.09321046699006222</v>
              </pt>
              <pt idx="5">
                <v>0.1163369812970559</v>
              </pt>
              <pt idx="6">
                <v>0.139346354125347</v>
              </pt>
              <pt idx="7">
                <v>0.1622154169869185</v>
              </pt>
              <pt idx="8">
                <v>0.1849211426739964</v>
              </pt>
              <pt idx="9">
                <v>0.2074406684454956</v>
              </pt>
              <pt idx="10">
                <v>0.2297513190478626</v>
              </pt>
              <pt idx="11">
                <v>0.2518306295471339</v>
              </pt>
              <pt idx="12">
                <v>0.2736563679492195</v>
              </pt>
              <pt idx="13">
                <v>0.2952065575856374</v>
              </pt>
              <pt idx="14">
                <v>0.3164594992421548</v>
              </pt>
              <pt idx="15">
                <v>0.3373937930080586</v>
              </pt>
              <pt idx="16">
                <v>0.3579883598240503</v>
              </pt>
              <pt idx="17">
                <v>0.3782224627070731</v>
              </pt>
              <pt idx="18">
                <v>0.3980757276306952</v>
              </pt>
              <pt idx="19">
                <v>0.4175281640400278</v>
              </pt>
              <pt idx="20">
                <v>0.4365601849805188</v>
              </pt>
              <pt idx="21">
                <v>0.4551526268203569</v>
              </pt>
              <pt idx="22">
                <v>0.473286768546623</v>
              </pt>
              <pt idx="23">
                <v>0.4909443506157641</v>
              </pt>
              <pt idx="24">
                <v>0.5081075933394056</v>
              </pt>
              <pt idx="25">
                <v>0.5247592147869908</v>
              </pt>
              <pt idx="26">
                <v>0.5408824481872195</v>
              </pt>
              <pt idx="27">
                <v>0.5564610588107655</v>
              </pt>
              <pt idx="28">
                <v>0.5714793603172732</v>
              </pt>
              <pt idx="29">
                <v>0.5859222305501723</v>
              </pt>
              <pt idx="30">
                <v>0.5997751267634084</v>
              </pt>
              <pt idx="31">
                <v>0.6130241002647541</v>
              </pt>
              <pt idx="32">
                <v>0.625655810460961</v>
              </pt>
              <pt idx="33">
                <v>0.6376575382906059</v>
              </pt>
              <pt idx="34">
                <v>0.649017199031107</v>
              </pt>
              <pt idx="35">
                <v>0.659723354467016</v>
              </pt>
              <pt idx="36">
                <v>0.669765224407331</v>
              </pt>
              <pt idx="37">
                <v>0.6791326975402348</v>
              </pt>
              <pt idx="38">
                <v>0.6878163416143293</v>
              </pt>
              <pt idx="39">
                <v>0.6958074129361128</v>
              </pt>
              <pt idx="40">
                <v>0.7030978651741383</v>
              </pt>
              <pt idx="41">
                <v>0.7096803574609877</v>
              </pt>
              <pt idx="42">
                <v>0.7155482617849016</v>
              </pt>
              <pt idx="43">
                <v>0.7206956696636271</v>
              </pt>
              <pt idx="44">
                <v>0.7251173980937573</v>
              </pt>
              <pt idx="45">
                <v>0.7288089947695769</v>
              </pt>
              <pt idx="46">
                <v>0.7317667425661568</v>
              </pt>
              <pt idx="47">
                <v>0.7339876632821832</v>
              </pt>
              <pt idx="48">
                <v>0.7354695206387544</v>
              </pt>
              <pt idx="49">
                <v>0.7362108225311241</v>
              </pt>
              <pt idx="50">
                <v>0.7362108225311241</v>
              </pt>
              <pt idx="51">
                <v>0.7354695206387545</v>
              </pt>
              <pt idx="52">
                <v>0.7339876632821833</v>
              </pt>
              <pt idx="53">
                <v>0.7317667425661571</v>
              </pt>
              <pt idx="54">
                <v>0.7288089947695774</v>
              </pt>
              <pt idx="55">
                <v>0.7251173980937577</v>
              </pt>
              <pt idx="56">
                <v>0.7206956696636276</v>
              </pt>
              <pt idx="57">
                <v>0.7155482617849022</v>
              </pt>
              <pt idx="58">
                <v>0.7096803574609882</v>
              </pt>
              <pt idx="59">
                <v>0.7030978651741391</v>
              </pt>
              <pt idx="60">
                <v>0.6958074129361135</v>
              </pt>
              <pt idx="61">
                <v>0.68781634161433</v>
              </pt>
              <pt idx="62">
                <v>0.6791326975402356</v>
              </pt>
              <pt idx="63">
                <v>0.669765224407332</v>
              </pt>
              <pt idx="64">
                <v>0.6597233544670172</v>
              </pt>
              <pt idx="65">
                <v>0.6490171990311082</v>
              </pt>
              <pt idx="66">
                <v>0.637657538290607</v>
              </pt>
              <pt idx="67">
                <v>0.6256558104609622</v>
              </pt>
              <pt idx="68">
                <v>0.6130241002647554</v>
              </pt>
              <pt idx="69">
                <v>0.5997751267634097</v>
              </pt>
              <pt idx="70">
                <v>0.5859222305501739</v>
              </pt>
              <pt idx="71">
                <v>0.5714793603172745</v>
              </pt>
              <pt idx="72">
                <v>0.5564610588107669</v>
              </pt>
              <pt idx="73">
                <v>0.5408824481872211</v>
              </pt>
              <pt idx="74">
                <v>0.5247592147869926</v>
              </pt>
              <pt idx="75">
                <v>0.5081075933394075</v>
              </pt>
              <pt idx="76">
                <v>0.4909443506157658</v>
              </pt>
              <pt idx="77">
                <v>0.4732867685466247</v>
              </pt>
              <pt idx="78">
                <v>0.4551526268203588</v>
              </pt>
              <pt idx="79">
                <v>0.4365601849805208</v>
              </pt>
              <pt idx="80">
                <v>0.4175281640400298</v>
              </pt>
              <pt idx="81">
                <v>0.3980757276306971</v>
              </pt>
              <pt idx="82">
                <v>0.378222462707075</v>
              </pt>
              <pt idx="83">
                <v>0.3579883598240524</v>
              </pt>
              <pt idx="84">
                <v>0.3373937930080607</v>
              </pt>
              <pt idx="85">
                <v>0.3164594992421571</v>
              </pt>
              <pt idx="86">
                <v>0.2952065575856394</v>
              </pt>
              <pt idx="87">
                <v>0.2736563679492217</v>
              </pt>
              <pt idx="88">
                <v>0.2518306295471361</v>
              </pt>
              <pt idx="89">
                <v>0.2297513190478649</v>
              </pt>
              <pt idx="90">
                <v>0.2074406684454979</v>
              </pt>
              <pt idx="91">
                <v>0.1849211426739989</v>
              </pt>
              <pt idx="92">
                <v>0.1622154169869208</v>
              </pt>
              <pt idx="93">
                <v>0.1393463541253493</v>
              </pt>
              <pt idx="94">
                <v>0.1163369812970582</v>
              </pt>
              <pt idx="95">
                <v>0.09321046699006467</v>
              </pt>
              <pt idx="96">
                <v>0.06999009764392507</v>
              </pt>
              <pt idx="97">
                <v>0.04669925420226423</v>
              </pt>
              <pt idx="98">
                <v>0.02336138857014832</v>
              </pt>
              <pt idx="99">
                <v>2.379062258057837e-15</v>
              </pt>
            </numLit>
          </yVal>
          <smooth val="1"/>
        </ser>
        <ser>
          <idx val="2"/>
          <order val="2"/>
          <tx>
            <v>Trial_03 (Cell Pressure_1.50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3.255234907452882</v>
              </pt>
              <pt idx="1">
                <v>3.254793064261154</v>
              </pt>
              <pt idx="2">
                <v>3.25346797958461</v>
              </pt>
              <pt idx="3">
                <v>3.251260987671197</v>
              </pt>
              <pt idx="4">
                <v>3.248174310774692</v>
              </pt>
              <pt idx="5">
                <v>3.244211056917085</v>
              </pt>
              <pt idx="6">
                <v>3.239375216759059</v>
              </pt>
              <pt idx="7">
                <v>3.233671659581737</v>
              </pt>
              <pt idx="8">
                <v>3.227106128383727</v>
              </pt>
              <pt idx="9">
                <v>3.219685234098408</v>
              </pt>
              <pt idx="10">
                <v>3.211416448937284</v>
              </pt>
              <pt idx="11">
                <v>3.202308098866097</v>
              </pt>
              <pt idx="12">
                <v>3.192369355221286</v>
              </pt>
              <pt idx="13">
                <v>3.181610225475232</v>
              </pt>
              <pt idx="14">
                <v>3.170041543159576</v>
              </pt>
              <pt idx="15">
                <v>3.157674956956774</v>
              </pt>
              <pt idx="16">
                <v>3.144522918970863</v>
              </pt>
              <pt idx="17">
                <v>3.130598672189243</v>
              </pt>
              <pt idx="18">
                <v>3.115916237148116</v>
              </pt>
              <pt idx="19">
                <v>3.100490397814991</v>
              </pt>
              <pt idx="20">
                <v>3.084336686702485</v>
              </pt>
              <pt idx="21">
                <v>3.067471369228396</v>
              </pt>
              <pt idx="22">
                <v>3.049911427337809</v>
              </pt>
              <pt idx="23">
                <v>3.031674542403715</v>
              </pt>
              <pt idx="24">
                <v>3.012779077423369</v>
              </pt>
              <pt idx="25">
                <v>2.993244058528305</v>
              </pt>
              <pt idx="26">
                <v>2.973089155826638</v>
              </pt>
              <pt idx="27">
                <v>2.952334663596931</v>
              </pt>
              <pt idx="28">
                <v>2.931001479853577</v>
              </pt>
              <pt idx="29">
                <v>2.909111085304267</v>
              </pt>
              <pt idx="30">
                <v>2.886685521720745</v>
              </pt>
              <pt idx="31">
                <v>2.863747369744605</v>
              </pt>
              <pt idx="32">
                <v>2.840319726150503</v>
              </pt>
              <pt idx="33">
                <v>2.816426180589663</v>
              </pt>
              <pt idx="34">
                <v>2.792090791837094</v>
              </pt>
              <pt idx="35">
                <v>2.767338063566448</v>
              </pt>
              <pt idx="36">
                <v>2.742192919676894</v>
              </pt>
              <pt idx="37">
                <v>2.716680679196867</v>
              </pt>
              <pt idx="38">
                <v>2.690827030789951</v>
              </pt>
              <pt idx="39">
                <v>2.664658006888571</v>
              </pt>
              <pt idx="40">
                <v>2.638199957481542</v>
              </pt>
              <pt idx="41">
                <v>2.611479523581865</v>
              </pt>
              <pt idx="42">
                <v>2.584523610401482</v>
              </pt>
              <pt idx="43">
                <v>2.557359360260012</v>
              </pt>
              <pt idx="44">
                <v>2.530014125254731</v>
              </pt>
              <pt idx="45">
                <v>2.502515439719333</v>
              </pt>
              <pt idx="46">
                <v>2.47489099249919</v>
              </pt>
              <pt idx="47">
                <v>2.447168599071027</v>
              </pt>
              <pt idx="48">
                <v>2.419376173535101</v>
              </pt>
              <pt idx="49">
                <v>2.391541700508062</v>
              </pt>
              <pt idx="50">
                <v>2.363693206944823</v>
              </pt>
              <pt idx="51">
                <v>2.335858733917784</v>
              </pt>
              <pt idx="52">
                <v>2.308066308381858</v>
              </pt>
              <pt idx="53">
                <v>2.280343914953695</v>
              </pt>
              <pt idx="54">
                <v>2.252719467733552</v>
              </pt>
              <pt idx="55">
                <v>2.225220782198155</v>
              </pt>
              <pt idx="56">
                <v>2.197875547192874</v>
              </pt>
              <pt idx="57">
                <v>2.170711297051403</v>
              </pt>
              <pt idx="58">
                <v>2.14375538387102</v>
              </pt>
              <pt idx="59">
                <v>2.117034949971343</v>
              </pt>
              <pt idx="60">
                <v>2.090576900564314</v>
              </pt>
              <pt idx="61">
                <v>2.064407876662934</v>
              </pt>
              <pt idx="62">
                <v>2.038554228256017</v>
              </pt>
              <pt idx="63">
                <v>2.013041987775991</v>
              </pt>
              <pt idx="64">
                <v>1.987896843886438</v>
              </pt>
              <pt idx="65">
                <v>1.963144115615791</v>
              </pt>
              <pt idx="66">
                <v>1.938808726863222</v>
              </pt>
              <pt idx="67">
                <v>1.914915181302381</v>
              </pt>
              <pt idx="68">
                <v>1.891487537708279</v>
              </pt>
              <pt idx="69">
                <v>1.868549385732139</v>
              </pt>
              <pt idx="70">
                <v>1.846123822148617</v>
              </pt>
              <pt idx="71">
                <v>1.824233427599308</v>
              </pt>
              <pt idx="72">
                <v>1.802900243855953</v>
              </pt>
              <pt idx="73">
                <v>1.782145751626246</v>
              </pt>
              <pt idx="74">
                <v>1.76199084892458</v>
              </pt>
              <pt idx="75">
                <v>1.742455830029516</v>
              </pt>
              <pt idx="76">
                <v>1.723560365049169</v>
              </pt>
              <pt idx="77">
                <v>1.705323480115075</v>
              </pt>
              <pt idx="78">
                <v>1.687763538224488</v>
              </pt>
              <pt idx="79">
                <v>1.670898220750399</v>
              </pt>
              <pt idx="80">
                <v>1.654744509637893</v>
              </pt>
              <pt idx="81">
                <v>1.639318670304768</v>
              </pt>
              <pt idx="82">
                <v>1.624636235263641</v>
              </pt>
              <pt idx="83">
                <v>1.610711988482021</v>
              </pt>
              <pt idx="84">
                <v>1.59755995049611</v>
              </pt>
              <pt idx="85">
                <v>1.585193364293308</v>
              </pt>
              <pt idx="86">
                <v>1.573624681977651</v>
              </pt>
              <pt idx="87">
                <v>1.562865552231597</v>
              </pt>
              <pt idx="88">
                <v>1.552926808586787</v>
              </pt>
              <pt idx="89">
                <v>1.5438184585156</v>
              </pt>
              <pt idx="90">
                <v>1.535549673354475</v>
              </pt>
              <pt idx="91">
                <v>1.528128779069156</v>
              </pt>
              <pt idx="92">
                <v>1.521563247871146</v>
              </pt>
              <pt idx="93">
                <v>1.515859690693824</v>
              </pt>
              <pt idx="94">
                <v>1.511023850535798</v>
              </pt>
              <pt idx="95">
                <v>1.50706059667819</v>
              </pt>
              <pt idx="96">
                <v>1.503973919781686</v>
              </pt>
              <pt idx="97">
                <v>1.501766927868273</v>
              </pt>
              <pt idx="98">
                <v>1.500441843191728</v>
              </pt>
              <pt idx="99">
                <v>1.5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0.02784498820857596</v>
              </pt>
              <pt idx="2">
                <v>0.05566193887434447</v>
              </pt>
              <pt idx="3">
                <v>0.08342284268592702</v>
              </pt>
              <pt idx="4">
                <v>0.1110997467663764</v>
              </pt>
              <pt idx="5">
                <v>0.1386647828193543</v>
              </pt>
              <pt idx="6">
                <v>0.1660901951901435</v>
              </pt>
              <pt idx="7">
                <v>0.1933483688132392</v>
              </pt>
              <pt idx="8">
                <v>0.2204118570183794</v>
              </pt>
              <pt idx="9">
                <v>0.2472534091670152</v>
              </pt>
              <pt idx="10">
                <v>0.2738459980913937</v>
              </pt>
              <pt idx="11">
                <v>0.3001628473086255</v>
              </pt>
              <pt idx="12">
                <v>0.3261774579823327</v>
              </pt>
              <pt idx="13">
                <v>0.3518636356047307</v>
              </pt>
              <pt idx="14">
                <v>0.3771955163722781</v>
              </pt>
              <pt idx="15">
                <v>0.4021475932283333</v>
              </pt>
              <pt idx="16">
                <v>0.4266947415465994</v>
              </pt>
              <pt idx="17">
                <v>0.4508122444294925</v>
              </pt>
              <pt idx="18">
                <v>0.4744758175959629</v>
              </pt>
              <pt idx="19">
                <v>0.4976616338337068</v>
              </pt>
              <pt idx="20">
                <v>0.5203463469911505</v>
              </pt>
              <pt idx="21">
                <v>0.5425071154850453</v>
              </pt>
              <pt idx="22">
                <v>0.5641216253000058</v>
              </pt>
              <pt idx="23">
                <v>0.5851681124568315</v>
              </pt>
              <pt idx="24">
                <v>0.6056253849269901</v>
              </pt>
              <pt idx="25">
                <v>0.625472843971193</v>
              </pt>
              <pt idx="26">
                <v>0.6446905048805796</v>
              </pt>
              <pt idx="27">
                <v>0.6632590170996254</v>
              </pt>
              <pt idx="28">
                <v>0.6811596837105114</v>
              </pt>
              <pt idx="29">
                <v>0.6983744802593347</v>
              </pt>
              <pt idx="30">
                <v>0.7148860729052068</v>
              </pt>
              <pt idx="31">
                <v>0.7306778358739608</v>
              </pt>
              <pt idx="32">
                <v>0.7457338681988978</v>
              </pt>
              <pt idx="33">
                <v>0.7600390097317117</v>
              </pt>
              <pt idx="34">
                <v>0.7735788564074738</v>
              </pt>
              <pt idx="35">
                <v>0.7863397747483053</v>
              </pt>
              <pt idx="36">
                <v>0.7983089155911339</v>
              </pt>
              <pt idx="37">
                <v>0.8094742270257114</v>
              </pt>
              <pt idx="38">
                <v>0.819824466529866</v>
              </pt>
              <pt idx="39">
                <v>0.8293492122897693</v>
              </pt>
              <pt idx="40">
                <v>0.838038873693819</v>
              </pt>
              <pt idx="41">
                <v>0.8458847009895728</v>
              </pt>
              <pt idx="42">
                <v>0.8528787940940058</v>
              </pt>
              <pt idx="43">
                <v>0.8590141105482257</v>
              </pt>
              <pt idx="44">
                <v>0.8642844726086318</v>
              </pt>
              <pt idx="45">
                <v>0.8686845734673785</v>
              </pt>
              <pt idx="46">
                <v>0.8722099825958819</v>
              </pt>
              <pt idx="47">
                <v>0.8748571502059855</v>
              </pt>
              <pt idx="48">
                <v>0.8766234108242968</v>
              </pt>
              <pt idx="49">
                <v>0.8775069859760928</v>
              </pt>
              <pt idx="50">
                <v>0.8775069859760928</v>
              </pt>
              <pt idx="51">
                <v>0.8766234108242971</v>
              </pt>
              <pt idx="52">
                <v>0.8748571502059858</v>
              </pt>
              <pt idx="53">
                <v>0.8722099825958822</v>
              </pt>
              <pt idx="54">
                <v>0.868684573467379</v>
              </pt>
              <pt idx="55">
                <v>0.8642844726086323</v>
              </pt>
              <pt idx="56">
                <v>0.8590141105482263</v>
              </pt>
              <pt idx="57">
                <v>0.8528787940940065</v>
              </pt>
              <pt idx="58">
                <v>0.8458847009895736</v>
              </pt>
              <pt idx="59">
                <v>0.8380388736938199</v>
              </pt>
              <pt idx="60">
                <v>0.8293492122897702</v>
              </pt>
              <pt idx="61">
                <v>0.819824466529867</v>
              </pt>
              <pt idx="62">
                <v>0.8094742270257125</v>
              </pt>
              <pt idx="63">
                <v>0.7983089155911351</v>
              </pt>
              <pt idx="64">
                <v>0.7863397747483067</v>
              </pt>
              <pt idx="65">
                <v>0.7735788564074753</v>
              </pt>
              <pt idx="66">
                <v>0.760039009731713</v>
              </pt>
              <pt idx="67">
                <v>0.7457338681988992</v>
              </pt>
              <pt idx="68">
                <v>0.7306778358739624</v>
              </pt>
              <pt idx="69">
                <v>0.7148860729052084</v>
              </pt>
              <pt idx="70">
                <v>0.6983744802593366</v>
              </pt>
              <pt idx="71">
                <v>0.6811596837105129</v>
              </pt>
              <pt idx="72">
                <v>0.6632590170996271</v>
              </pt>
              <pt idx="73">
                <v>0.6446905048805814</v>
              </pt>
              <pt idx="74">
                <v>0.6254728439711951</v>
              </pt>
              <pt idx="75">
                <v>0.6056253849269922</v>
              </pt>
              <pt idx="76">
                <v>0.5851681124568335</v>
              </pt>
              <pt idx="77">
                <v>0.5641216253000078</v>
              </pt>
              <pt idx="78">
                <v>0.5425071154850475</v>
              </pt>
              <pt idx="79">
                <v>0.5203463469911529</v>
              </pt>
              <pt idx="80">
                <v>0.4976616338337093</v>
              </pt>
              <pt idx="81">
                <v>0.4744758175959651</v>
              </pt>
              <pt idx="82">
                <v>0.4508122444294949</v>
              </pt>
              <pt idx="83">
                <v>0.4266947415466019</v>
              </pt>
              <pt idx="84">
                <v>0.4021475932283358</v>
              </pt>
              <pt idx="85">
                <v>0.3771955163722807</v>
              </pt>
              <pt idx="86">
                <v>0.3518636356047332</v>
              </pt>
              <pt idx="87">
                <v>0.3261774579823352</v>
              </pt>
              <pt idx="88">
                <v>0.3001628473086282</v>
              </pt>
              <pt idx="89">
                <v>0.2738459980913965</v>
              </pt>
              <pt idx="90">
                <v>0.2472534091670179</v>
              </pt>
              <pt idx="91">
                <v>0.2204118570183823</v>
              </pt>
              <pt idx="92">
                <v>0.1933483688132419</v>
              </pt>
              <pt idx="93">
                <v>0.1660901951901463</v>
              </pt>
              <pt idx="94">
                <v>0.1386647828193572</v>
              </pt>
              <pt idx="95">
                <v>0.1110997467663793</v>
              </pt>
              <pt idx="96">
                <v>0.08342284268593002</v>
              </pt>
              <pt idx="97">
                <v>0.05566193887434715</v>
              </pt>
              <pt idx="98">
                <v>0.02784498820857872</v>
              </pt>
              <pt idx="99">
                <v>2.835660231590188e-15</v>
              </pt>
            </numLit>
          </yVal>
          <smooth val="1"/>
        </ser>
        <ser>
          <idx val="3"/>
          <order val="3"/>
          <tx>
            <v>Failure Envelope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2"/>
              <pt idx="0">
                <v>0</v>
              </pt>
              <pt idx="1">
                <v>3.566426180589662</v>
              </pt>
            </numLit>
          </xVal>
          <yVal>
            <numLit>
              <formatCode>General</formatCode>
              <ptCount val="2"/>
              <pt idx="0">
                <v>0.3958576007241546</v>
              </pt>
              <pt idx="1">
                <v>1.144807098647983</v>
              </pt>
            </numLit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00766464"/>
        <axId val="100769152"/>
      </scatterChart>
      <valAx>
        <axId val="100766464"/>
        <scaling>
          <orientation val="minMax"/>
        </scaling>
        <delete val="0"/>
        <axPos val="b"/>
        <majorGridlines>
          <spPr>
            <a:ln w="3175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Normal Stress (</a:t>
                </a:r>
                <a:r>
                  <a:rPr lang="el-GR"/>
                  <a:t>σ)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2600604624908999"/>
              <y val="0.9273254364122506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low"/>
        <spPr>
          <a:ln w="3175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9152"/>
        <crosses val="autoZero"/>
        <crossBetween val="midCat"/>
      </valAx>
      <valAx>
        <axId val="100769152"/>
        <scaling>
          <orientation val="minMax"/>
          <max val="4.5"/>
        </scaling>
        <delete val="0"/>
        <axPos val="l"/>
        <majorGridlines>
          <spPr>
            <a:ln w="12700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Shear Stress (</a:t>
                </a:r>
                <a:r>
                  <a:rPr lang="el-GR"/>
                  <a:t>τ)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13488188976378"/>
              <y val="0.3237317585301837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nextTo"/>
        <spPr>
          <a:ln w="0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6464"/>
        <crosses val="autoZero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6514823211367587"/>
          <y val="0.3373972919892083"/>
          <w val="0.3411423622047244"/>
          <h val="0.2326220472440945"/>
        </manualLayout>
      </layout>
      <overlay val="0"/>
      <txPr>
        <a:bodyPr/>
        <a:lstStyle/>
        <a:p>
          <a:pPr>
            <a:defRPr sz="800"/>
          </a:pPr>
          <a:r>
            <a:t/>
          </a:r>
          <a:endParaRPr lang="en-US"/>
        </a:p>
      </txPr>
    </legend>
    <plotVisOnly val="1"/>
    <dispBlanksAs val="gap"/>
  </chart>
  <spPr>
    <a:solidFill>
      <a:srgbClr val="FFFFFF"/>
    </a:solidFill>
    <a:ln w="3175">
      <a:solidFill>
        <a:srgbClr val="000000"/>
      </a:solidFill>
      <a:prstDash val="solid"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23</col>
      <colOff>554344</colOff>
      <row>15</row>
      <rowOff>54429</rowOff>
    </from>
    <to>
      <col>34</col>
      <colOff>339588</colOff>
      <row>36</row>
      <rowOff>99391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23</col>
      <colOff>581024</colOff>
      <row>37</row>
      <rowOff>95250</rowOff>
    </from>
    <to>
      <col>34</col>
      <colOff>361949</colOff>
      <row>58</row>
      <rowOff>133350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13</col>
      <colOff>168965</colOff>
      <row>3</row>
      <rowOff>92821</rowOff>
    </from>
    <to>
      <col>23</col>
      <colOff>415346</colOff>
      <row>24</row>
      <rowOff>105575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W213"/>
  <sheetViews>
    <sheetView zoomScale="55" zoomScaleNormal="55" workbookViewId="0">
      <selection activeCell="T9" sqref="T9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7"/>
    <col width="11.28515625" customWidth="1" min="8" max="8"/>
    <col width="14.28515625" customWidth="1" min="14" max="15"/>
    <col width="14.28515625" customWidth="1" min="22" max="23"/>
  </cols>
  <sheetData>
    <row r="1">
      <c r="A1" s="14" t="inlineStr">
        <is>
          <t>BH ID</t>
        </is>
      </c>
      <c r="B1" s="15" t="n"/>
      <c r="C1" s="16" t="n"/>
      <c r="D1" s="20" t="inlineStr">
        <is>
          <t>NHBH-08</t>
        </is>
      </c>
      <c r="E1" s="9" t="inlineStr">
        <is>
          <t>-</t>
        </is>
      </c>
    </row>
    <row r="2">
      <c r="A2" s="14" t="inlineStr">
        <is>
          <t>Depth</t>
        </is>
      </c>
      <c r="B2" s="15" t="n"/>
      <c r="C2" s="16" t="n"/>
      <c r="D2" s="17" t="n">
        <v>1.5</v>
      </c>
      <c r="E2" s="20" t="inlineStr">
        <is>
          <t>m</t>
        </is>
      </c>
    </row>
    <row r="5" ht="22.5" customHeight="1">
      <c r="A5" s="14" t="inlineStr">
        <is>
          <t>Diameter of Specimen</t>
        </is>
      </c>
      <c r="B5" s="15" t="n"/>
      <c r="C5" s="16" t="n"/>
      <c r="D5" s="17" t="n">
        <v>3.828</v>
      </c>
      <c r="E5" s="20" t="inlineStr">
        <is>
          <t>cm</t>
        </is>
      </c>
      <c r="I5" s="14" t="inlineStr">
        <is>
          <t>Diameter of Specimen</t>
        </is>
      </c>
      <c r="J5" s="15" t="n"/>
      <c r="K5" s="16" t="n"/>
      <c r="L5" s="17" t="n">
        <v>3.828</v>
      </c>
      <c r="M5" s="20" t="inlineStr">
        <is>
          <t>cm</t>
        </is>
      </c>
      <c r="Q5" s="14" t="inlineStr">
        <is>
          <t>Diameter of Specimen</t>
        </is>
      </c>
      <c r="R5" s="15" t="n"/>
      <c r="S5" s="16" t="n"/>
      <c r="T5" s="17" t="n">
        <v>3.828</v>
      </c>
      <c r="U5" s="20" t="inlineStr">
        <is>
          <t>cm</t>
        </is>
      </c>
    </row>
    <row r="6" ht="22.5" customHeight="1">
      <c r="A6" s="14" t="inlineStr">
        <is>
          <t>Initial Area of Specimen (A0)</t>
        </is>
      </c>
      <c r="B6" s="15" t="n"/>
      <c r="C6" s="16" t="n"/>
      <c r="D6" s="3">
        <f>(PI()/4)*D5^2</f>
        <v/>
      </c>
      <c r="E6" s="20" t="inlineStr">
        <is>
          <t>cm2</t>
        </is>
      </c>
      <c r="I6" s="14" t="inlineStr">
        <is>
          <t>Initial Area of Specimen (A0)</t>
        </is>
      </c>
      <c r="J6" s="15" t="n"/>
      <c r="K6" s="16" t="n"/>
      <c r="L6" s="3">
        <f>(PI()/4)*L5^2</f>
        <v/>
      </c>
      <c r="M6" s="20" t="inlineStr">
        <is>
          <t>cm2</t>
        </is>
      </c>
      <c r="Q6" s="14" t="inlineStr">
        <is>
          <t>Initial Area of Specimen (A0)</t>
        </is>
      </c>
      <c r="R6" s="15" t="n"/>
      <c r="S6" s="16" t="n"/>
      <c r="T6" s="3">
        <f>(PI()/4)*T5^2</f>
        <v/>
      </c>
      <c r="U6" s="20" t="inlineStr">
        <is>
          <t>cm2</t>
        </is>
      </c>
    </row>
    <row r="7" ht="22.5" customHeight="1">
      <c r="A7" s="14" t="inlineStr">
        <is>
          <t>Initial Height of Specimen (A0)</t>
        </is>
      </c>
      <c r="B7" s="15" t="n"/>
      <c r="C7" s="16" t="n"/>
      <c r="D7" s="3" t="n">
        <v>7.716</v>
      </c>
      <c r="E7" s="20" t="inlineStr">
        <is>
          <t>cm</t>
        </is>
      </c>
      <c r="I7" s="14" t="inlineStr">
        <is>
          <t>Initial Height of Specimen (A0)</t>
        </is>
      </c>
      <c r="J7" s="15" t="n"/>
      <c r="K7" s="16" t="n"/>
      <c r="L7" s="3" t="n">
        <v>7.716</v>
      </c>
      <c r="M7" s="20" t="inlineStr">
        <is>
          <t>cm</t>
        </is>
      </c>
      <c r="Q7" s="14" t="inlineStr">
        <is>
          <t>Initial Height of Specimen (A0)</t>
        </is>
      </c>
      <c r="R7" s="15" t="n"/>
      <c r="S7" s="16" t="n"/>
      <c r="T7" s="3" t="n">
        <v>7.716</v>
      </c>
      <c r="U7" s="20" t="inlineStr">
        <is>
          <t>cm</t>
        </is>
      </c>
    </row>
    <row r="8" ht="22.5" customHeight="1">
      <c r="A8" s="14" t="inlineStr">
        <is>
          <t>Bulk Density of Soil</t>
        </is>
      </c>
      <c r="B8" s="15" t="n"/>
      <c r="C8" s="16" t="n"/>
      <c r="D8" s="20" t="n">
        <v>1.74</v>
      </c>
      <c r="E8" s="20" t="inlineStr">
        <is>
          <t>gm/cm3</t>
        </is>
      </c>
      <c r="I8" s="14" t="inlineStr">
        <is>
          <t>Bulk Density of Soil</t>
        </is>
      </c>
      <c r="J8" s="15" t="n"/>
      <c r="K8" s="16" t="n"/>
      <c r="L8" s="20">
        <f>D8</f>
        <v/>
      </c>
      <c r="M8" s="20" t="inlineStr">
        <is>
          <t>gm/cm3</t>
        </is>
      </c>
      <c r="Q8" s="14" t="inlineStr">
        <is>
          <t>Bulk Density of Soil</t>
        </is>
      </c>
      <c r="R8" s="15" t="n"/>
      <c r="S8" s="16" t="n"/>
      <c r="T8" s="20">
        <f>D8</f>
        <v/>
      </c>
      <c r="U8" s="20" t="inlineStr">
        <is>
          <t>gm/cm3</t>
        </is>
      </c>
    </row>
    <row r="9" ht="22.5" customHeight="1">
      <c r="A9" s="14" t="inlineStr">
        <is>
          <t>Sample Weight Taken</t>
        </is>
      </c>
      <c r="B9" s="15" t="n"/>
      <c r="C9" s="16" t="n"/>
      <c r="D9" s="17">
        <f>D8*(D6*D7)</f>
        <v/>
      </c>
      <c r="E9" s="20" t="inlineStr">
        <is>
          <t>gm</t>
        </is>
      </c>
      <c r="F9" s="11" t="n"/>
      <c r="G9" s="11" t="n"/>
      <c r="H9" s="6" t="n"/>
      <c r="I9" s="14" t="inlineStr">
        <is>
          <t>Sample Weight Taken</t>
        </is>
      </c>
      <c r="J9" s="15" t="n"/>
      <c r="K9" s="16" t="n"/>
      <c r="L9" s="17">
        <f>L8*(L6*L7)</f>
        <v/>
      </c>
      <c r="M9" s="20" t="inlineStr">
        <is>
          <t>gm</t>
        </is>
      </c>
      <c r="N9" s="11" t="n"/>
      <c r="O9" s="11" t="n"/>
      <c r="Q9" s="14" t="inlineStr">
        <is>
          <t>Sample Weight Taken</t>
        </is>
      </c>
      <c r="R9" s="15" t="n"/>
      <c r="S9" s="16" t="n"/>
      <c r="T9" s="17">
        <f>T8*(T6*T7)</f>
        <v/>
      </c>
      <c r="U9" s="20" t="inlineStr">
        <is>
          <t>gm</t>
        </is>
      </c>
      <c r="V9" s="11" t="n"/>
      <c r="W9" s="11" t="n"/>
    </row>
    <row r="10" ht="22.5" customHeight="1">
      <c r="A10" s="14" t="inlineStr">
        <is>
          <t>Cell Pressure (σ3)</t>
        </is>
      </c>
      <c r="B10" s="15" t="n"/>
      <c r="C10" s="16" t="n"/>
      <c r="D10" s="17" t="n">
        <v>0.5</v>
      </c>
      <c r="E10" s="20" t="inlineStr">
        <is>
          <t>kg/cm2</t>
        </is>
      </c>
      <c r="F10" s="11" t="n"/>
      <c r="G10" s="11" t="n"/>
      <c r="H10" s="6" t="n"/>
      <c r="I10" s="14" t="inlineStr">
        <is>
          <t>Cell Pressure (σ3)</t>
        </is>
      </c>
      <c r="J10" s="15" t="n"/>
      <c r="K10" s="16" t="n"/>
      <c r="L10" s="17" t="n">
        <v>1</v>
      </c>
      <c r="M10" s="20" t="inlineStr">
        <is>
          <t>kg/cm2</t>
        </is>
      </c>
      <c r="N10" s="11" t="n"/>
      <c r="O10" s="11" t="n"/>
      <c r="Q10" s="14" t="inlineStr">
        <is>
          <t>Cell Pressure (σ3)</t>
        </is>
      </c>
      <c r="R10" s="15" t="n"/>
      <c r="S10" s="16" t="n"/>
      <c r="T10" s="17" t="n">
        <v>1.5</v>
      </c>
      <c r="U10" s="20" t="inlineStr">
        <is>
          <t>kg/cm2</t>
        </is>
      </c>
      <c r="V10" s="11" t="n"/>
      <c r="W10" s="11" t="n"/>
    </row>
    <row r="11" ht="22.5" customHeight="1">
      <c r="A11" s="14" t="inlineStr">
        <is>
          <t>Max Vertical Stress (σ1)</t>
        </is>
      </c>
      <c r="B11" s="15" t="n"/>
      <c r="C11" s="16" t="n"/>
      <c r="D11" s="17">
        <f>MAX(G14:G169)</f>
        <v/>
      </c>
      <c r="E11" s="20" t="inlineStr">
        <is>
          <t>kg/cm2</t>
        </is>
      </c>
      <c r="F11" s="11" t="n"/>
      <c r="G11" s="11" t="n"/>
      <c r="H11" s="6" t="n"/>
      <c r="I11" s="14" t="inlineStr">
        <is>
          <t>Max Vertical Stress (σ1)</t>
        </is>
      </c>
      <c r="J11" s="15" t="n"/>
      <c r="K11" s="16" t="n"/>
      <c r="L11" s="17">
        <f>MAX(O14:O169)</f>
        <v/>
      </c>
      <c r="M11" s="20" t="inlineStr">
        <is>
          <t>kg/cm2</t>
        </is>
      </c>
      <c r="N11" s="11" t="n"/>
      <c r="O11" s="11" t="n"/>
      <c r="Q11" s="14" t="inlineStr">
        <is>
          <t>Max Vertical Stress (σ1)</t>
        </is>
      </c>
      <c r="R11" s="15" t="n"/>
      <c r="S11" s="16" t="n"/>
      <c r="T11" s="17">
        <f>MAX(W14:W169)</f>
        <v/>
      </c>
      <c r="U11" s="20" t="inlineStr">
        <is>
          <t>kg/cm2</t>
        </is>
      </c>
      <c r="V11" s="11" t="n"/>
      <c r="W11" s="11" t="n"/>
    </row>
    <row r="13" ht="73.90000000000001" customFormat="1" customHeight="1" s="5">
      <c r="A13" s="1" t="inlineStr">
        <is>
          <t>SR No.</t>
        </is>
      </c>
      <c r="B13" s="8" t="inlineStr">
        <is>
          <t xml:space="preserve">Dial Reading (cm) </t>
        </is>
      </c>
      <c r="C13" s="8" t="inlineStr">
        <is>
          <t>Axial Load  (kg)</t>
        </is>
      </c>
      <c r="D13" s="8" t="inlineStr">
        <is>
          <t>Axial Strain, ε (%)</t>
        </is>
      </c>
      <c r="E13" s="8" t="inlineStr">
        <is>
          <t>Average Cross-Section Area, A (cm2)</t>
        </is>
      </c>
      <c r="F13" s="8" t="inlineStr">
        <is>
          <t xml:space="preserve">Deviator Stress   (σ1 - σ3) 
kg/cm2 </t>
        </is>
      </c>
      <c r="G13" s="8" t="inlineStr">
        <is>
          <t xml:space="preserve">Vertical Stress   (σ1) 
kg/cm2 </t>
        </is>
      </c>
      <c r="H13" s="11" t="n"/>
      <c r="I13" s="1" t="inlineStr">
        <is>
          <t>SR No.</t>
        </is>
      </c>
      <c r="J13" s="8" t="inlineStr">
        <is>
          <t xml:space="preserve">Dial Reading (cm) </t>
        </is>
      </c>
      <c r="K13" s="8" t="inlineStr">
        <is>
          <t>Axial Load  (kg)</t>
        </is>
      </c>
      <c r="L13" s="8" t="inlineStr">
        <is>
          <t>Axial Strain, ε (%)</t>
        </is>
      </c>
      <c r="M13" s="8" t="inlineStr">
        <is>
          <t>Average Cross-Section Area, A (cm2)</t>
        </is>
      </c>
      <c r="N13" s="8" t="inlineStr">
        <is>
          <t xml:space="preserve">Deviator Stress   (σ1 - σ3) 
kg/cm2 </t>
        </is>
      </c>
      <c r="O13" s="8" t="inlineStr">
        <is>
          <t xml:space="preserve">Vertical Stress   (σ1) 
kg/cm2 </t>
        </is>
      </c>
      <c r="Q13" s="1" t="inlineStr">
        <is>
          <t>SR No.</t>
        </is>
      </c>
      <c r="R13" s="8" t="inlineStr">
        <is>
          <t xml:space="preserve">Dial Reading (cm) </t>
        </is>
      </c>
      <c r="S13" s="8" t="inlineStr">
        <is>
          <t>Axial Load  (kg)</t>
        </is>
      </c>
      <c r="T13" s="8" t="inlineStr">
        <is>
          <t>Axial Strain, ε (%)</t>
        </is>
      </c>
      <c r="U13" s="8" t="inlineStr">
        <is>
          <t>Average Cross-Section Area, A (cm2)</t>
        </is>
      </c>
      <c r="V13" s="8" t="inlineStr">
        <is>
          <t xml:space="preserve">Deviator Stress   (σ1 - σ3) 
kg/cm2 </t>
        </is>
      </c>
      <c r="W13" s="8" t="inlineStr">
        <is>
          <t xml:space="preserve">Vertical Stress   (σ1) 
kg/cm2 </t>
        </is>
      </c>
    </row>
    <row r="14">
      <c r="A14" s="5" t="n">
        <v>1</v>
      </c>
      <c r="B14" s="7" t="n">
        <v>0</v>
      </c>
      <c r="C14" s="7" t="n">
        <v>0</v>
      </c>
      <c r="D14" s="12">
        <f>(B14/$D$7)*100</f>
        <v/>
      </c>
      <c r="E14" s="6">
        <f>$D$6/(1-(D14/100))</f>
        <v/>
      </c>
      <c r="F14" s="12">
        <f>C14/E14</f>
        <v/>
      </c>
      <c r="G14" s="12">
        <f>F14+$D$10</f>
        <v/>
      </c>
      <c r="H14" s="12" t="n"/>
      <c r="I14" s="5" t="n">
        <v>1</v>
      </c>
      <c r="J14" s="6" t="n">
        <v>0</v>
      </c>
      <c r="K14" s="6" t="n">
        <v>0</v>
      </c>
      <c r="L14" s="12">
        <f>(J14/$L$7)*100</f>
        <v/>
      </c>
      <c r="M14" s="6">
        <f>$L$6/(1-(L14/100))</f>
        <v/>
      </c>
      <c r="N14" s="12">
        <f>K14/M14</f>
        <v/>
      </c>
      <c r="O14" s="12">
        <f>N14+$L$10</f>
        <v/>
      </c>
      <c r="Q14" s="5" t="n">
        <v>1</v>
      </c>
      <c r="R14" s="7" t="n">
        <v>0</v>
      </c>
      <c r="S14" s="7" t="n">
        <v>0</v>
      </c>
      <c r="T14" s="12">
        <f>(R14/$T$7)*100</f>
        <v/>
      </c>
      <c r="U14" s="6">
        <f>$T$6/(1-(T14/100))</f>
        <v/>
      </c>
      <c r="V14" s="12">
        <f>S14/U14</f>
        <v/>
      </c>
      <c r="W14" s="12">
        <f>V14+$T$10</f>
        <v/>
      </c>
    </row>
    <row r="15">
      <c r="A15" s="5" t="n">
        <v>2</v>
      </c>
      <c r="B15" s="7" t="n">
        <v>0.0107</v>
      </c>
      <c r="C15" s="7" t="n">
        <v>0</v>
      </c>
      <c r="D15" s="12">
        <f>(B15/$D$7)*100</f>
        <v/>
      </c>
      <c r="E15" s="6">
        <f>$D$6/(1-(D15/100))</f>
        <v/>
      </c>
      <c r="F15" s="12">
        <f>C15/E15</f>
        <v/>
      </c>
      <c r="G15" s="12">
        <f>F15+$D$10</f>
        <v/>
      </c>
      <c r="H15" s="12" t="n"/>
      <c r="I15" s="5" t="n">
        <v>2</v>
      </c>
      <c r="J15" s="6" t="n">
        <v>0.0123</v>
      </c>
      <c r="K15" s="6" t="n">
        <v>0.013</v>
      </c>
      <c r="L15" s="12">
        <f>(J15/$L$7)*100</f>
        <v/>
      </c>
      <c r="M15" s="6">
        <f>$L$6/(1-(L15/100))</f>
        <v/>
      </c>
      <c r="N15" s="12">
        <f>K15/M15</f>
        <v/>
      </c>
      <c r="O15" s="12">
        <f>N15+$L$10</f>
        <v/>
      </c>
      <c r="Q15" s="5" t="n">
        <v>2</v>
      </c>
      <c r="R15" s="7" t="n">
        <v>0.0106</v>
      </c>
      <c r="S15" s="7" t="n">
        <v>0.004</v>
      </c>
      <c r="T15" s="12">
        <f>(R15/$T$7)*100</f>
        <v/>
      </c>
      <c r="U15" s="6">
        <f>$T$6/(1-(T15/100))</f>
        <v/>
      </c>
      <c r="V15" s="12">
        <f>S15/U15</f>
        <v/>
      </c>
      <c r="W15" s="12">
        <f>V15+$T$10</f>
        <v/>
      </c>
    </row>
    <row r="16">
      <c r="A16" s="5" t="n">
        <v>3</v>
      </c>
      <c r="B16" s="7" t="n">
        <v>0.0211</v>
      </c>
      <c r="C16" s="7" t="n">
        <v>0</v>
      </c>
      <c r="D16" s="12">
        <f>(B16/$D$7)*100</f>
        <v/>
      </c>
      <c r="E16" s="6">
        <f>$D$6/(1-(D16/100))</f>
        <v/>
      </c>
      <c r="F16" s="12">
        <f>C16/E16</f>
        <v/>
      </c>
      <c r="G16" s="12">
        <f>F16+$D$10</f>
        <v/>
      </c>
      <c r="H16" s="12" t="n"/>
      <c r="I16" s="5" t="n">
        <v>3</v>
      </c>
      <c r="J16" s="6" t="n">
        <v>0.0207</v>
      </c>
      <c r="K16" s="6" t="n">
        <v>0</v>
      </c>
      <c r="L16" s="12">
        <f>(J16/$L$7)*100</f>
        <v/>
      </c>
      <c r="M16" s="6">
        <f>$L$6/(1-(L16/100))</f>
        <v/>
      </c>
      <c r="N16" s="12">
        <f>K16/M16</f>
        <v/>
      </c>
      <c r="O16" s="12">
        <f>N16+$L$10</f>
        <v/>
      </c>
      <c r="Q16" s="5" t="n">
        <v>3</v>
      </c>
      <c r="R16" s="7" t="n">
        <v>0.0209</v>
      </c>
      <c r="S16" s="7" t="n">
        <v>0</v>
      </c>
      <c r="T16" s="12">
        <f>(R16/$T$7)*100</f>
        <v/>
      </c>
      <c r="U16" s="6">
        <f>$T$6/(1-(T16/100))</f>
        <v/>
      </c>
      <c r="V16" s="12">
        <f>S16/U16</f>
        <v/>
      </c>
      <c r="W16" s="12">
        <f>V16+$T$10</f>
        <v/>
      </c>
    </row>
    <row r="17">
      <c r="A17" s="5" t="n">
        <v>4</v>
      </c>
      <c r="B17" s="7" t="n">
        <v>0.0293</v>
      </c>
      <c r="C17" s="7" t="n">
        <v>0.029</v>
      </c>
      <c r="D17" s="12">
        <f>(B17/$D$7)*100</f>
        <v/>
      </c>
      <c r="E17" s="6">
        <f>$D$6/(1-(D17/100))</f>
        <v/>
      </c>
      <c r="F17" s="12">
        <f>C17/E17</f>
        <v/>
      </c>
      <c r="G17" s="12">
        <f>F17+$D$10</f>
        <v/>
      </c>
      <c r="H17" s="12" t="n"/>
      <c r="I17" s="5" t="n">
        <v>4</v>
      </c>
      <c r="J17" s="6" t="n">
        <v>0.031</v>
      </c>
      <c r="K17" s="6" t="n">
        <v>0.33</v>
      </c>
      <c r="L17" s="12">
        <f>(J17/$L$7)*100</f>
        <v/>
      </c>
      <c r="M17" s="6">
        <f>$L$6/(1-(L17/100))</f>
        <v/>
      </c>
      <c r="N17" s="12">
        <f>K17/M17</f>
        <v/>
      </c>
      <c r="O17" s="12">
        <f>N17+$L$10</f>
        <v/>
      </c>
      <c r="Q17" s="5" t="n">
        <v>4</v>
      </c>
      <c r="R17" s="7" t="n">
        <v>0.0315</v>
      </c>
      <c r="S17" s="7" t="n">
        <v>0.016</v>
      </c>
      <c r="T17" s="12">
        <f>(R17/$T$7)*100</f>
        <v/>
      </c>
      <c r="U17" s="6">
        <f>$T$6/(1-(T17/100))</f>
        <v/>
      </c>
      <c r="V17" s="12">
        <f>S17/U17</f>
        <v/>
      </c>
      <c r="W17" s="12">
        <f>V17+$T$10</f>
        <v/>
      </c>
    </row>
    <row r="18">
      <c r="A18" s="5" t="n">
        <v>5</v>
      </c>
      <c r="B18" s="7" t="n">
        <v>0.0377</v>
      </c>
      <c r="C18" s="7" t="n">
        <v>0</v>
      </c>
      <c r="D18" s="12">
        <f>(B18/$D$7)*100</f>
        <v/>
      </c>
      <c r="E18" s="6">
        <f>$D$6/(1-(D18/100))</f>
        <v/>
      </c>
      <c r="F18" s="12">
        <f>C18/E18</f>
        <v/>
      </c>
      <c r="G18" s="12">
        <f>F18+$D$10</f>
        <v/>
      </c>
      <c r="H18" s="12" t="n"/>
      <c r="I18" s="5" t="n">
        <v>5</v>
      </c>
      <c r="J18" s="6" t="n">
        <v>0.0398</v>
      </c>
      <c r="K18" s="6" t="n">
        <v>0.349</v>
      </c>
      <c r="L18" s="12">
        <f>(J18/$L$7)*100</f>
        <v/>
      </c>
      <c r="M18" s="6">
        <f>$L$6/(1-(L18/100))</f>
        <v/>
      </c>
      <c r="N18" s="12">
        <f>K18/M18</f>
        <v/>
      </c>
      <c r="O18" s="12">
        <f>N18+$L$10</f>
        <v/>
      </c>
      <c r="Q18" s="5" t="n">
        <v>5</v>
      </c>
      <c r="R18" s="7" t="n">
        <v>0.0417</v>
      </c>
      <c r="S18" s="7" t="n">
        <v>0</v>
      </c>
      <c r="T18" s="12">
        <f>(R18/$T$7)*100</f>
        <v/>
      </c>
      <c r="U18" s="6">
        <f>$T$6/(1-(T18/100))</f>
        <v/>
      </c>
      <c r="V18" s="12">
        <f>S18/U18</f>
        <v/>
      </c>
      <c r="W18" s="12">
        <f>V18+$T$10</f>
        <v/>
      </c>
    </row>
    <row r="19">
      <c r="A19" s="5" t="n">
        <v>6</v>
      </c>
      <c r="B19" s="7" t="n">
        <v>0.048</v>
      </c>
      <c r="C19" s="7" t="n">
        <v>0.318</v>
      </c>
      <c r="D19" s="12">
        <f>(B19/$D$7)*100</f>
        <v/>
      </c>
      <c r="E19" s="6">
        <f>$D$6/(1-(D19/100))</f>
        <v/>
      </c>
      <c r="F19" s="12">
        <f>C19/E19</f>
        <v/>
      </c>
      <c r="G19" s="12">
        <f>F19+$D$10</f>
        <v/>
      </c>
      <c r="H19" s="12" t="n"/>
      <c r="I19" s="5" t="n">
        <v>6</v>
      </c>
      <c r="J19" s="6" t="n">
        <v>0.0459</v>
      </c>
      <c r="K19" s="6" t="n">
        <v>0.396</v>
      </c>
      <c r="L19" s="12">
        <f>(J19/$L$7)*100</f>
        <v/>
      </c>
      <c r="M19" s="6">
        <f>$L$6/(1-(L19/100))</f>
        <v/>
      </c>
      <c r="N19" s="12">
        <f>K19/M19</f>
        <v/>
      </c>
      <c r="O19" s="12">
        <f>N19+$L$10</f>
        <v/>
      </c>
      <c r="Q19" s="5" t="n">
        <v>6</v>
      </c>
      <c r="R19" s="7" t="n">
        <v>0.0501</v>
      </c>
      <c r="S19" s="7" t="n">
        <v>0.37</v>
      </c>
      <c r="T19" s="12">
        <f>(R19/$T$7)*100</f>
        <v/>
      </c>
      <c r="U19" s="6">
        <f>$T$6/(1-(T19/100))</f>
        <v/>
      </c>
      <c r="V19" s="12">
        <f>S19/U19</f>
        <v/>
      </c>
      <c r="W19" s="12">
        <f>V19+$T$10</f>
        <v/>
      </c>
    </row>
    <row r="20">
      <c r="A20" s="5" t="n">
        <v>7</v>
      </c>
      <c r="B20" s="7" t="n">
        <v>0.059</v>
      </c>
      <c r="C20" s="7" t="n">
        <v>0.374</v>
      </c>
      <c r="D20" s="12">
        <f>(B20/$D$7)*100</f>
        <v/>
      </c>
      <c r="E20" s="6">
        <f>$D$6/(1-(D20/100))</f>
        <v/>
      </c>
      <c r="F20" s="12">
        <f>C20/E20</f>
        <v/>
      </c>
      <c r="G20" s="12">
        <f>F20+$D$10</f>
        <v/>
      </c>
      <c r="H20" s="12" t="n"/>
      <c r="I20" s="5" t="n">
        <v>7</v>
      </c>
      <c r="J20" s="6" t="n">
        <v>0.05620000000000001</v>
      </c>
      <c r="K20" s="6" t="n">
        <v>0.572</v>
      </c>
      <c r="L20" s="12">
        <f>(J20/$L$7)*100</f>
        <v/>
      </c>
      <c r="M20" s="6">
        <f>$L$6/(1-(L20/100))</f>
        <v/>
      </c>
      <c r="N20" s="12">
        <f>K20/M20</f>
        <v/>
      </c>
      <c r="O20" s="12">
        <f>N20+$L$10</f>
        <v/>
      </c>
      <c r="Q20" s="5" t="n">
        <v>7</v>
      </c>
      <c r="R20" s="7" t="n">
        <v>0.0607</v>
      </c>
      <c r="S20" s="7" t="n">
        <v>0.426</v>
      </c>
      <c r="T20" s="12">
        <f>(R20/$T$7)*100</f>
        <v/>
      </c>
      <c r="U20" s="6">
        <f>$T$6/(1-(T20/100))</f>
        <v/>
      </c>
      <c r="V20" s="12">
        <f>S20/U20</f>
        <v/>
      </c>
      <c r="W20" s="12">
        <f>V20+$T$10</f>
        <v/>
      </c>
    </row>
    <row r="21">
      <c r="A21" s="5" t="n">
        <v>8</v>
      </c>
      <c r="B21" s="7" t="n">
        <v>0.0716</v>
      </c>
      <c r="C21" s="7" t="n">
        <v>0.53</v>
      </c>
      <c r="D21" s="12">
        <f>(B21/$D$7)*100</f>
        <v/>
      </c>
      <c r="E21" s="6">
        <f>$D$6/(1-(D21/100))</f>
        <v/>
      </c>
      <c r="F21" s="12">
        <f>C21/E21</f>
        <v/>
      </c>
      <c r="G21" s="12">
        <f>F21+$D$10</f>
        <v/>
      </c>
      <c r="H21" s="12" t="n"/>
      <c r="I21" s="5" t="n">
        <v>8</v>
      </c>
      <c r="J21" s="6" t="n">
        <v>0.0665</v>
      </c>
      <c r="K21" s="6" t="n">
        <v>0.879</v>
      </c>
      <c r="L21" s="12">
        <f>(J21/$L$7)*100</f>
        <v/>
      </c>
      <c r="M21" s="6">
        <f>$L$6/(1-(L21/100))</f>
        <v/>
      </c>
      <c r="N21" s="12">
        <f>K21/M21</f>
        <v/>
      </c>
      <c r="O21" s="12">
        <f>N21+$L$10</f>
        <v/>
      </c>
      <c r="Q21" s="5" t="n">
        <v>8</v>
      </c>
      <c r="R21" s="7" t="n">
        <v>0.0732</v>
      </c>
      <c r="S21" s="7" t="n">
        <v>0.578</v>
      </c>
      <c r="T21" s="12">
        <f>(R21/$T$7)*100</f>
        <v/>
      </c>
      <c r="U21" s="6">
        <f>$T$6/(1-(T21/100))</f>
        <v/>
      </c>
      <c r="V21" s="12">
        <f>S21/U21</f>
        <v/>
      </c>
      <c r="W21" s="12">
        <f>V21+$T$10</f>
        <v/>
      </c>
    </row>
    <row r="22">
      <c r="A22" s="5" t="n">
        <v>9</v>
      </c>
      <c r="B22" s="7" t="n">
        <v>0.07970000000000001</v>
      </c>
      <c r="C22" s="7" t="n">
        <v>0.6850000000000001</v>
      </c>
      <c r="D22" s="12">
        <f>(B22/$D$7)*100</f>
        <v/>
      </c>
      <c r="E22" s="6">
        <f>$D$6/(1-(D22/100))</f>
        <v/>
      </c>
      <c r="F22" s="12">
        <f>C22/E22</f>
        <v/>
      </c>
      <c r="G22" s="12">
        <f>F22+$D$10</f>
        <v/>
      </c>
      <c r="H22" s="12" t="n"/>
      <c r="I22" s="5" t="n">
        <v>9</v>
      </c>
      <c r="J22" s="6" t="n">
        <v>0.0747</v>
      </c>
      <c r="K22" s="6" t="n">
        <v>1.231</v>
      </c>
      <c r="L22" s="12">
        <f>(J22/$L$7)*100</f>
        <v/>
      </c>
      <c r="M22" s="6">
        <f>$L$6/(1-(L22/100))</f>
        <v/>
      </c>
      <c r="N22" s="12">
        <f>K22/M22</f>
        <v/>
      </c>
      <c r="O22" s="12">
        <f>N22+$L$10</f>
        <v/>
      </c>
      <c r="Q22" s="5" t="n">
        <v>9</v>
      </c>
      <c r="R22" s="7" t="n">
        <v>0.0813</v>
      </c>
      <c r="S22" s="7" t="n">
        <v>0.735</v>
      </c>
      <c r="T22" s="12">
        <f>(R22/$T$7)*100</f>
        <v/>
      </c>
      <c r="U22" s="6">
        <f>$T$6/(1-(T22/100))</f>
        <v/>
      </c>
      <c r="V22" s="12">
        <f>S22/U22</f>
        <v/>
      </c>
      <c r="W22" s="12">
        <f>V22+$T$10</f>
        <v/>
      </c>
    </row>
    <row r="23">
      <c r="A23" s="5" t="n">
        <v>10</v>
      </c>
      <c r="B23" s="7" t="n">
        <v>0.0885</v>
      </c>
      <c r="C23" s="7" t="n">
        <v>0.911</v>
      </c>
      <c r="D23" s="12">
        <f>(B23/$D$7)*100</f>
        <v/>
      </c>
      <c r="E23" s="6">
        <f>$D$6/(1-(D23/100))</f>
        <v/>
      </c>
      <c r="F23" s="12">
        <f>C23/E23</f>
        <v/>
      </c>
      <c r="G23" s="12">
        <f>F23+$D$10</f>
        <v/>
      </c>
      <c r="H23" s="12" t="n"/>
      <c r="I23" s="5" t="n">
        <v>10</v>
      </c>
      <c r="J23" s="6" t="n">
        <v>0.0851</v>
      </c>
      <c r="K23" s="6" t="n">
        <v>1.786</v>
      </c>
      <c r="L23" s="12">
        <f>(J23/$L$7)*100</f>
        <v/>
      </c>
      <c r="M23" s="6">
        <f>$L$6/(1-(L23/100))</f>
        <v/>
      </c>
      <c r="N23" s="12">
        <f>K23/M23</f>
        <v/>
      </c>
      <c r="O23" s="12">
        <f>N23+$L$10</f>
        <v/>
      </c>
      <c r="Q23" s="5" t="n">
        <v>10</v>
      </c>
      <c r="R23" s="7" t="n">
        <v>0.0897</v>
      </c>
      <c r="S23" s="7" t="n">
        <v>0.946</v>
      </c>
      <c r="T23" s="12">
        <f>(R23/$T$7)*100</f>
        <v/>
      </c>
      <c r="U23" s="6">
        <f>$T$6/(1-(T23/100))</f>
        <v/>
      </c>
      <c r="V23" s="12">
        <f>S23/U23</f>
        <v/>
      </c>
      <c r="W23" s="12">
        <f>V23+$T$10</f>
        <v/>
      </c>
    </row>
    <row r="24">
      <c r="A24" s="5" t="n">
        <v>11</v>
      </c>
      <c r="B24" s="7" t="n">
        <v>0.1013</v>
      </c>
      <c r="C24" s="7" t="n">
        <v>1.393</v>
      </c>
      <c r="D24" s="12">
        <f>(B24/$D$7)*100</f>
        <v/>
      </c>
      <c r="E24" s="6">
        <f>$D$6/(1-(D24/100))</f>
        <v/>
      </c>
      <c r="F24" s="12">
        <f>C24/E24</f>
        <v/>
      </c>
      <c r="G24" s="12">
        <f>F24+$D$10</f>
        <v/>
      </c>
      <c r="H24" s="12" t="n"/>
      <c r="I24" s="5" t="n">
        <v>11</v>
      </c>
      <c r="J24" s="6" t="n">
        <v>0.0955</v>
      </c>
      <c r="K24" s="6" t="n">
        <v>2.498</v>
      </c>
      <c r="L24" s="12">
        <f>(J24/$L$7)*100</f>
        <v/>
      </c>
      <c r="M24" s="6">
        <f>$L$6/(1-(L24/100))</f>
        <v/>
      </c>
      <c r="N24" s="12">
        <f>K24/M24</f>
        <v/>
      </c>
      <c r="O24" s="12">
        <f>N24+$L$10</f>
        <v/>
      </c>
      <c r="Q24" s="5" t="n">
        <v>11</v>
      </c>
      <c r="R24" s="7" t="n">
        <v>0.0959</v>
      </c>
      <c r="S24" s="7" t="n">
        <v>1.141</v>
      </c>
      <c r="T24" s="12">
        <f>(R24/$T$7)*100</f>
        <v/>
      </c>
      <c r="U24" s="6">
        <f>$T$6/(1-(T24/100))</f>
        <v/>
      </c>
      <c r="V24" s="12">
        <f>S24/U24</f>
        <v/>
      </c>
      <c r="W24" s="12">
        <f>V24+$T$10</f>
        <v/>
      </c>
    </row>
    <row r="25">
      <c r="A25" s="5" t="n">
        <v>12</v>
      </c>
      <c r="B25" s="7" t="n">
        <v>0.1116</v>
      </c>
      <c r="C25" s="7" t="n">
        <v>1.869</v>
      </c>
      <c r="D25" s="12">
        <f>(B25/$D$7)*100</f>
        <v/>
      </c>
      <c r="E25" s="6">
        <f>$D$6/(1-(D25/100))</f>
        <v/>
      </c>
      <c r="F25" s="12">
        <f>C25/E25</f>
        <v/>
      </c>
      <c r="G25" s="12">
        <f>F25+$D$10</f>
        <v/>
      </c>
      <c r="H25" s="12" t="n"/>
      <c r="I25" s="5" t="n">
        <v>12</v>
      </c>
      <c r="J25" s="6" t="n">
        <v>0.1058</v>
      </c>
      <c r="K25" s="6" t="n">
        <v>3.278</v>
      </c>
      <c r="L25" s="12">
        <f>(J25/$L$7)*100</f>
        <v/>
      </c>
      <c r="M25" s="6">
        <f>$L$6/(1-(L25/100))</f>
        <v/>
      </c>
      <c r="N25" s="12">
        <f>K25/M25</f>
        <v/>
      </c>
      <c r="O25" s="12">
        <f>N25+$L$10</f>
        <v/>
      </c>
      <c r="Q25" s="5" t="n">
        <v>12</v>
      </c>
      <c r="R25" s="7" t="n">
        <v>0.1065</v>
      </c>
      <c r="S25" s="7" t="n">
        <v>1.529</v>
      </c>
      <c r="T25" s="12">
        <f>(R25/$T$7)*100</f>
        <v/>
      </c>
      <c r="U25" s="6">
        <f>$T$6/(1-(T25/100))</f>
        <v/>
      </c>
      <c r="V25" s="12">
        <f>S25/U25</f>
        <v/>
      </c>
      <c r="W25" s="12">
        <f>V25+$T$10</f>
        <v/>
      </c>
    </row>
    <row r="26">
      <c r="A26" s="5" t="n">
        <v>13</v>
      </c>
      <c r="B26" s="7" t="n">
        <v>0.1222</v>
      </c>
      <c r="C26" s="7" t="n">
        <v>2.473</v>
      </c>
      <c r="D26" s="12">
        <f>(B26/$D$7)*100</f>
        <v/>
      </c>
      <c r="E26" s="6">
        <f>$D$6/(1-(D26/100))</f>
        <v/>
      </c>
      <c r="F26" s="12">
        <f>C26/E26</f>
        <v/>
      </c>
      <c r="G26" s="12">
        <f>F26+$D$10</f>
        <v/>
      </c>
      <c r="H26" s="12" t="n"/>
      <c r="I26" s="5" t="n">
        <v>13</v>
      </c>
      <c r="J26" s="6" t="n">
        <v>0.1158</v>
      </c>
      <c r="K26" s="6" t="n">
        <v>4.09</v>
      </c>
      <c r="L26" s="12">
        <f>(J26/$L$7)*100</f>
        <v/>
      </c>
      <c r="M26" s="6">
        <f>$L$6/(1-(L26/100))</f>
        <v/>
      </c>
      <c r="N26" s="12">
        <f>K26/M26</f>
        <v/>
      </c>
      <c r="O26" s="12">
        <f>N26+$L$10</f>
        <v/>
      </c>
      <c r="Q26" s="5" t="n">
        <v>13</v>
      </c>
      <c r="R26" s="7" t="n">
        <v>0.117</v>
      </c>
      <c r="S26" s="7" t="n">
        <v>2.009</v>
      </c>
      <c r="T26" s="12">
        <f>(R26/$T$7)*100</f>
        <v/>
      </c>
      <c r="U26" s="6">
        <f>$T$6/(1-(T26/100))</f>
        <v/>
      </c>
      <c r="V26" s="12">
        <f>S26/U26</f>
        <v/>
      </c>
      <c r="W26" s="12">
        <f>V26+$T$10</f>
        <v/>
      </c>
    </row>
    <row r="27">
      <c r="A27" s="5" t="n">
        <v>14</v>
      </c>
      <c r="B27" s="7" t="n">
        <v>0.1303</v>
      </c>
      <c r="C27" s="7" t="n">
        <v>2.972</v>
      </c>
      <c r="D27" s="12">
        <f>(B27/$D$7)*100</f>
        <v/>
      </c>
      <c r="E27" s="6">
        <f>$D$6/(1-(D27/100))</f>
        <v/>
      </c>
      <c r="F27" s="12">
        <f>C27/E27</f>
        <v/>
      </c>
      <c r="G27" s="12">
        <f>F27+$D$10</f>
        <v/>
      </c>
      <c r="H27" s="12" t="n"/>
      <c r="I27" s="5" t="n">
        <v>14</v>
      </c>
      <c r="J27" s="6" t="n">
        <v>0.1261</v>
      </c>
      <c r="K27" s="6" t="n">
        <v>4.986</v>
      </c>
      <c r="L27" s="12">
        <f>(J27/$L$7)*100</f>
        <v/>
      </c>
      <c r="M27" s="6">
        <f>$L$6/(1-(L27/100))</f>
        <v/>
      </c>
      <c r="N27" s="12">
        <f>K27/M27</f>
        <v/>
      </c>
      <c r="O27" s="12">
        <f>N27+$L$10</f>
        <v/>
      </c>
      <c r="Q27" s="5" t="n">
        <v>14</v>
      </c>
      <c r="R27" s="7" t="n">
        <v>0.1275</v>
      </c>
      <c r="S27" s="7" t="n">
        <v>2.568</v>
      </c>
      <c r="T27" s="12">
        <f>(R27/$T$7)*100</f>
        <v/>
      </c>
      <c r="U27" s="6">
        <f>$T$6/(1-(T27/100))</f>
        <v/>
      </c>
      <c r="V27" s="12">
        <f>S27/U27</f>
        <v/>
      </c>
      <c r="W27" s="12">
        <f>V27+$T$10</f>
        <v/>
      </c>
    </row>
    <row r="28">
      <c r="A28" s="5" t="n">
        <v>15</v>
      </c>
      <c r="B28" s="7" t="n">
        <v>0.1386</v>
      </c>
      <c r="C28" s="7" t="n">
        <v>3.464</v>
      </c>
      <c r="D28" s="12">
        <f>(B28/$D$7)*100</f>
        <v/>
      </c>
      <c r="E28" s="6">
        <f>$D$6/(1-(D28/100))</f>
        <v/>
      </c>
      <c r="F28" s="12">
        <f>C28/E28</f>
        <v/>
      </c>
      <c r="G28" s="12">
        <f>F28+$D$10</f>
        <v/>
      </c>
      <c r="H28" s="12" t="n"/>
      <c r="I28" s="5" t="n">
        <v>15</v>
      </c>
      <c r="J28" s="6" t="n">
        <v>0.1363</v>
      </c>
      <c r="K28" s="6" t="n">
        <v>5.843</v>
      </c>
      <c r="L28" s="12">
        <f>(J28/$L$7)*100</f>
        <v/>
      </c>
      <c r="M28" s="6">
        <f>$L$6/(1-(L28/100))</f>
        <v/>
      </c>
      <c r="N28" s="12">
        <f>K28/M28</f>
        <v/>
      </c>
      <c r="O28" s="12">
        <f>N28+$L$10</f>
        <v/>
      </c>
      <c r="Q28" s="5" t="n">
        <v>15</v>
      </c>
      <c r="R28" s="7" t="n">
        <v>0.138</v>
      </c>
      <c r="S28" s="7" t="n">
        <v>3.13</v>
      </c>
      <c r="T28" s="12">
        <f>(R28/$T$7)*100</f>
        <v/>
      </c>
      <c r="U28" s="6">
        <f>$T$6/(1-(T28/100))</f>
        <v/>
      </c>
      <c r="V28" s="12">
        <f>S28/U28</f>
        <v/>
      </c>
      <c r="W28" s="12">
        <f>V28+$T$10</f>
        <v/>
      </c>
    </row>
    <row r="29">
      <c r="A29" s="5" t="n">
        <v>16</v>
      </c>
      <c r="B29" s="7" t="n">
        <v>0.1467</v>
      </c>
      <c r="C29" s="7" t="n">
        <v>3.969</v>
      </c>
      <c r="D29" s="12">
        <f>(B29/$D$7)*100</f>
        <v/>
      </c>
      <c r="E29" s="6">
        <f>$D$6/(1-(D29/100))</f>
        <v/>
      </c>
      <c r="F29" s="12">
        <f>C29/E29</f>
        <v/>
      </c>
      <c r="G29" s="12">
        <f>F29+$D$10</f>
        <v/>
      </c>
      <c r="H29" s="12" t="n"/>
      <c r="I29" s="5" t="n">
        <v>16</v>
      </c>
      <c r="J29" s="6" t="n">
        <v>0.1464</v>
      </c>
      <c r="K29" s="6" t="n">
        <v>6.552</v>
      </c>
      <c r="L29" s="12">
        <f>(J29/$L$7)*100</f>
        <v/>
      </c>
      <c r="M29" s="6">
        <f>$L$6/(1-(L29/100))</f>
        <v/>
      </c>
      <c r="N29" s="12">
        <f>K29/M29</f>
        <v/>
      </c>
      <c r="O29" s="12">
        <f>N29+$L$10</f>
        <v/>
      </c>
      <c r="Q29" s="5" t="n">
        <v>16</v>
      </c>
      <c r="R29" s="7" t="n">
        <v>0.1506</v>
      </c>
      <c r="S29" s="7" t="n">
        <v>3.91</v>
      </c>
      <c r="T29" s="12">
        <f>(R29/$T$7)*100</f>
        <v/>
      </c>
      <c r="U29" s="6">
        <f>$T$6/(1-(T29/100))</f>
        <v/>
      </c>
      <c r="V29" s="12">
        <f>S29/U29</f>
        <v/>
      </c>
      <c r="W29" s="12">
        <f>V29+$T$10</f>
        <v/>
      </c>
    </row>
    <row r="30">
      <c r="A30" s="5" t="n">
        <v>17</v>
      </c>
      <c r="B30" s="7" t="n">
        <v>0.1573</v>
      </c>
      <c r="C30" s="7" t="n">
        <v>4.708</v>
      </c>
      <c r="D30" s="12">
        <f>(B30/$D$7)*100</f>
        <v/>
      </c>
      <c r="E30" s="6">
        <f>$D$6/(1-(D30/100))</f>
        <v/>
      </c>
      <c r="F30" s="12">
        <f>C30/E30</f>
        <v/>
      </c>
      <c r="G30" s="12">
        <f>F30+$D$10</f>
        <v/>
      </c>
      <c r="H30" s="12" t="n"/>
      <c r="I30" s="5" t="n">
        <v>17</v>
      </c>
      <c r="J30" s="6" t="n">
        <v>0.1568</v>
      </c>
      <c r="K30" s="6" t="n">
        <v>7.251</v>
      </c>
      <c r="L30" s="12">
        <f>(J30/$L$7)*100</f>
        <v/>
      </c>
      <c r="M30" s="6">
        <f>$L$6/(1-(L30/100))</f>
        <v/>
      </c>
      <c r="N30" s="12">
        <f>K30/M30</f>
        <v/>
      </c>
      <c r="O30" s="12">
        <f>N30+$L$10</f>
        <v/>
      </c>
      <c r="Q30" s="5" t="n">
        <v>17</v>
      </c>
      <c r="R30" s="7" t="n">
        <v>0.1592</v>
      </c>
      <c r="S30" s="7" t="n">
        <v>4.466</v>
      </c>
      <c r="T30" s="12">
        <f>(R30/$T$7)*100</f>
        <v/>
      </c>
      <c r="U30" s="6">
        <f>$T$6/(1-(T30/100))</f>
        <v/>
      </c>
      <c r="V30" s="12">
        <f>S30/U30</f>
        <v/>
      </c>
      <c r="W30" s="12">
        <f>V30+$T$10</f>
        <v/>
      </c>
    </row>
    <row r="31">
      <c r="A31" s="5" t="n">
        <v>18</v>
      </c>
      <c r="B31" s="7" t="n">
        <v>0.168</v>
      </c>
      <c r="C31" s="7" t="n">
        <v>5.456</v>
      </c>
      <c r="D31" s="12">
        <f>(B31/$D$7)*100</f>
        <v/>
      </c>
      <c r="E31" s="6">
        <f>$D$6/(1-(D31/100))</f>
        <v/>
      </c>
      <c r="F31" s="12">
        <f>C31/E31</f>
        <v/>
      </c>
      <c r="G31" s="12">
        <f>F31+$D$10</f>
        <v/>
      </c>
      <c r="H31" s="12" t="n"/>
      <c r="I31" s="5" t="n">
        <v>18</v>
      </c>
      <c r="J31" s="6" t="n">
        <v>0.1673</v>
      </c>
      <c r="K31" s="6" t="n">
        <v>7.741</v>
      </c>
      <c r="L31" s="12">
        <f>(J31/$L$7)*100</f>
        <v/>
      </c>
      <c r="M31" s="6">
        <f>$L$6/(1-(L31/100))</f>
        <v/>
      </c>
      <c r="N31" s="12">
        <f>K31/M31</f>
        <v/>
      </c>
      <c r="O31" s="12">
        <f>N31+$L$10</f>
        <v/>
      </c>
      <c r="Q31" s="5" t="n">
        <v>18</v>
      </c>
      <c r="R31" s="7" t="n">
        <v>0.1694</v>
      </c>
      <c r="S31" s="7" t="n">
        <v>5.105</v>
      </c>
      <c r="T31" s="12">
        <f>(R31/$T$7)*100</f>
        <v/>
      </c>
      <c r="U31" s="6">
        <f>$T$6/(1-(T31/100))</f>
        <v/>
      </c>
      <c r="V31" s="12">
        <f>S31/U31</f>
        <v/>
      </c>
      <c r="W31" s="12">
        <f>V31+$T$10</f>
        <v/>
      </c>
    </row>
    <row r="32">
      <c r="A32" s="5" t="n">
        <v>19</v>
      </c>
      <c r="B32" s="7" t="n">
        <v>0.1764</v>
      </c>
      <c r="C32" s="7" t="n">
        <v>6.011</v>
      </c>
      <c r="D32" s="12">
        <f>(B32/$D$7)*100</f>
        <v/>
      </c>
      <c r="E32" s="6">
        <f>$D$6/(1-(D32/100))</f>
        <v/>
      </c>
      <c r="F32" s="12">
        <f>C32/E32</f>
        <v/>
      </c>
      <c r="G32" s="12">
        <f>F32+$D$10</f>
        <v/>
      </c>
      <c r="H32" s="12" t="n"/>
      <c r="I32" s="5" t="n">
        <v>19</v>
      </c>
      <c r="J32" s="6" t="n">
        <v>0.1756</v>
      </c>
      <c r="K32" s="6" t="n">
        <v>7.968</v>
      </c>
      <c r="L32" s="12">
        <f>(J32/$L$7)*100</f>
        <v/>
      </c>
      <c r="M32" s="6">
        <f>$L$6/(1-(L32/100))</f>
        <v/>
      </c>
      <c r="N32" s="12">
        <f>K32/M32</f>
        <v/>
      </c>
      <c r="O32" s="12">
        <f>N32+$L$10</f>
        <v/>
      </c>
      <c r="Q32" s="5" t="n">
        <v>19</v>
      </c>
      <c r="R32" s="7" t="n">
        <v>0.1776</v>
      </c>
      <c r="S32" s="7" t="n">
        <v>5.621</v>
      </c>
      <c r="T32" s="12">
        <f>(R32/$T$7)*100</f>
        <v/>
      </c>
      <c r="U32" s="6">
        <f>$T$6/(1-(T32/100))</f>
        <v/>
      </c>
      <c r="V32" s="12">
        <f>S32/U32</f>
        <v/>
      </c>
      <c r="W32" s="12">
        <f>V32+$T$10</f>
        <v/>
      </c>
    </row>
    <row r="33">
      <c r="A33" s="5" t="n">
        <v>20</v>
      </c>
      <c r="B33" s="7" t="n">
        <v>0.1869</v>
      </c>
      <c r="C33" s="7" t="n">
        <v>6.686</v>
      </c>
      <c r="D33" s="12">
        <f>(B33/$D$7)*100</f>
        <v/>
      </c>
      <c r="E33" s="6">
        <f>$D$6/(1-(D33/100))</f>
        <v/>
      </c>
      <c r="F33" s="12">
        <f>C33/E33</f>
        <v/>
      </c>
      <c r="G33" s="12">
        <f>F33+$D$10</f>
        <v/>
      </c>
      <c r="H33" s="12" t="n"/>
      <c r="I33" s="5" t="n">
        <v>20</v>
      </c>
      <c r="J33" s="6" t="n">
        <v>0.1862</v>
      </c>
      <c r="K33" s="6" t="n">
        <v>8.114000000000001</v>
      </c>
      <c r="L33" s="12">
        <f>(J33/$L$7)*100</f>
        <v/>
      </c>
      <c r="M33" s="6">
        <f>$L$6/(1-(L33/100))</f>
        <v/>
      </c>
      <c r="N33" s="12">
        <f>K33/M33</f>
        <v/>
      </c>
      <c r="O33" s="12">
        <f>N33+$L$10</f>
        <v/>
      </c>
      <c r="Q33" s="5" t="n">
        <v>20</v>
      </c>
      <c r="R33" s="7" t="n">
        <v>0.1901</v>
      </c>
      <c r="S33" s="7" t="n">
        <v>6.393</v>
      </c>
      <c r="T33" s="12">
        <f>(R33/$T$7)*100</f>
        <v/>
      </c>
      <c r="U33" s="6">
        <f>$T$6/(1-(T33/100))</f>
        <v/>
      </c>
      <c r="V33" s="12">
        <f>S33/U33</f>
        <v/>
      </c>
      <c r="W33" s="12">
        <f>V33+$T$10</f>
        <v/>
      </c>
    </row>
    <row r="34">
      <c r="A34" s="5" t="n">
        <v>21</v>
      </c>
      <c r="B34" s="7" t="n">
        <v>0.1974</v>
      </c>
      <c r="C34" s="7" t="n">
        <v>7.35</v>
      </c>
      <c r="D34" s="12">
        <f>(B34/$D$7)*100</f>
        <v/>
      </c>
      <c r="E34" s="6">
        <f>$D$6/(1-(D34/100))</f>
        <v/>
      </c>
      <c r="F34" s="12">
        <f>C34/E34</f>
        <v/>
      </c>
      <c r="G34" s="12">
        <f>F34+$D$10</f>
        <v/>
      </c>
      <c r="I34" s="5" t="n">
        <v>21</v>
      </c>
      <c r="J34" s="6" t="n">
        <v>0.1967</v>
      </c>
      <c r="K34" s="6" t="n">
        <v>8.175000000000001</v>
      </c>
      <c r="L34" s="12">
        <f>(J34/$L$7)*100</f>
        <v/>
      </c>
      <c r="M34" s="6">
        <f>$L$6/(1-(L34/100))</f>
        <v/>
      </c>
      <c r="N34" s="12">
        <f>K34/M34</f>
        <v/>
      </c>
      <c r="O34" s="12">
        <f>N34+$L$10</f>
        <v/>
      </c>
      <c r="Q34" s="5" t="n">
        <v>21</v>
      </c>
      <c r="R34" s="7" t="n">
        <v>0.1984</v>
      </c>
      <c r="S34" s="7" t="n">
        <v>6.853</v>
      </c>
      <c r="T34" s="12">
        <f>(R34/$T$7)*100</f>
        <v/>
      </c>
      <c r="U34" s="6">
        <f>$T$6/(1-(T34/100))</f>
        <v/>
      </c>
      <c r="V34" s="12">
        <f>S34/U34</f>
        <v/>
      </c>
      <c r="W34" s="12">
        <f>V34+$T$10</f>
        <v/>
      </c>
    </row>
    <row r="35">
      <c r="A35" s="5" t="n">
        <v>22</v>
      </c>
      <c r="B35" s="7" t="n">
        <v>0.2079</v>
      </c>
      <c r="C35" s="7" t="n">
        <v>7.802</v>
      </c>
      <c r="D35" s="12">
        <f>(B35/$D$7)*100</f>
        <v/>
      </c>
      <c r="E35" s="6">
        <f>$D$6/(1-(D35/100))</f>
        <v/>
      </c>
      <c r="F35" s="12">
        <f>C35/E35</f>
        <v/>
      </c>
      <c r="G35" s="12">
        <f>F35+$D$10</f>
        <v/>
      </c>
      <c r="I35" s="5" t="n">
        <v>22</v>
      </c>
      <c r="J35" s="6" t="n">
        <v>0.2029</v>
      </c>
      <c r="K35" s="6" t="n">
        <v>8.272</v>
      </c>
      <c r="L35" s="12">
        <f>(J35/$L$7)*100</f>
        <v/>
      </c>
      <c r="M35" s="6">
        <f>$L$6/(1-(L35/100))</f>
        <v/>
      </c>
      <c r="N35" s="12">
        <f>K35/M35</f>
        <v/>
      </c>
      <c r="O35" s="12">
        <f>N35+$L$10</f>
        <v/>
      </c>
      <c r="Q35" s="5" t="n">
        <v>22</v>
      </c>
      <c r="R35" s="7" t="n">
        <v>0.2066</v>
      </c>
      <c r="S35" s="7" t="n">
        <v>7.295</v>
      </c>
      <c r="T35" s="12">
        <f>(R35/$T$7)*100</f>
        <v/>
      </c>
      <c r="U35" s="6">
        <f>$T$6/(1-(T35/100))</f>
        <v/>
      </c>
      <c r="V35" s="12">
        <f>S35/U35</f>
        <v/>
      </c>
      <c r="W35" s="12">
        <f>V35+$T$10</f>
        <v/>
      </c>
    </row>
    <row r="36">
      <c r="A36" s="5" t="n">
        <v>23</v>
      </c>
      <c r="B36" s="7" t="n">
        <v>0.2183</v>
      </c>
      <c r="C36" s="7" t="n">
        <v>8.331</v>
      </c>
      <c r="D36" s="12">
        <f>(B36/$D$7)*100</f>
        <v/>
      </c>
      <c r="E36" s="6">
        <f>$D$6/(1-(D36/100))</f>
        <v/>
      </c>
      <c r="F36" s="12">
        <f>C36/E36</f>
        <v/>
      </c>
      <c r="G36" s="12">
        <f>F36+$D$10</f>
        <v/>
      </c>
      <c r="I36" s="5" t="n">
        <v>23</v>
      </c>
      <c r="J36" s="6" t="n">
        <v>0.2132</v>
      </c>
      <c r="K36" s="6" t="n">
        <v>8.324999999999999</v>
      </c>
      <c r="L36" s="12">
        <f>(J36/$L$7)*100</f>
        <v/>
      </c>
      <c r="M36" s="6">
        <f>$L$6/(1-(L36/100))</f>
        <v/>
      </c>
      <c r="N36" s="12">
        <f>K36/M36</f>
        <v/>
      </c>
      <c r="O36" s="12">
        <f>N36+$L$10</f>
        <v/>
      </c>
      <c r="Q36" s="5" t="n">
        <v>23</v>
      </c>
      <c r="R36" s="7" t="n">
        <v>0.2172</v>
      </c>
      <c r="S36" s="7" t="n">
        <v>7.887</v>
      </c>
      <c r="T36" s="12">
        <f>(R36/$T$7)*100</f>
        <v/>
      </c>
      <c r="U36" s="6">
        <f>$T$6/(1-(T36/100))</f>
        <v/>
      </c>
      <c r="V36" s="12">
        <f>S36/U36</f>
        <v/>
      </c>
      <c r="W36" s="12">
        <f>V36+$T$10</f>
        <v/>
      </c>
    </row>
    <row r="37">
      <c r="A37" s="5" t="n">
        <v>24</v>
      </c>
      <c r="B37" s="7" t="n">
        <v>0.2307</v>
      </c>
      <c r="C37" s="7" t="n">
        <v>8.808999999999999</v>
      </c>
      <c r="D37" s="12">
        <f>(B37/$D$7)*100</f>
        <v/>
      </c>
      <c r="E37" s="6">
        <f>$D$6/(1-(D37/100))</f>
        <v/>
      </c>
      <c r="F37" s="12">
        <f>C37/E37</f>
        <v/>
      </c>
      <c r="G37" s="12">
        <f>F37+$D$10</f>
        <v/>
      </c>
      <c r="I37" s="5" t="n">
        <v>24</v>
      </c>
      <c r="J37" s="6" t="n">
        <v>0.2238</v>
      </c>
      <c r="K37" s="6" t="n">
        <v>8.305</v>
      </c>
      <c r="L37" s="12">
        <f>(J37/$L$7)*100</f>
        <v/>
      </c>
      <c r="M37" s="6">
        <f>$L$6/(1-(L37/100))</f>
        <v/>
      </c>
      <c r="N37" s="12">
        <f>K37/M37</f>
        <v/>
      </c>
      <c r="O37" s="12">
        <f>N37+$L$10</f>
        <v/>
      </c>
      <c r="Q37" s="5" t="n">
        <v>24</v>
      </c>
      <c r="R37" s="7" t="n">
        <v>0.2276</v>
      </c>
      <c r="S37" s="7" t="n">
        <v>8.256</v>
      </c>
      <c r="T37" s="12">
        <f>(R37/$T$7)*100</f>
        <v/>
      </c>
      <c r="U37" s="6">
        <f>$T$6/(1-(T37/100))</f>
        <v/>
      </c>
      <c r="V37" s="12">
        <f>S37/U37</f>
        <v/>
      </c>
      <c r="W37" s="12">
        <f>V37+$T$10</f>
        <v/>
      </c>
    </row>
    <row r="38">
      <c r="A38" s="5" t="n">
        <v>25</v>
      </c>
      <c r="B38" s="7" t="n">
        <v>0.2411</v>
      </c>
      <c r="C38" s="7" t="n">
        <v>9.124000000000001</v>
      </c>
      <c r="D38" s="12">
        <f>(B38/$D$7)*100</f>
        <v/>
      </c>
      <c r="E38" s="6">
        <f>$D$6/(1-(D38/100))</f>
        <v/>
      </c>
      <c r="F38" s="12">
        <f>C38/E38</f>
        <v/>
      </c>
      <c r="G38" s="12">
        <f>F38+$D$10</f>
        <v/>
      </c>
      <c r="I38" s="5" t="n">
        <v>25</v>
      </c>
      <c r="J38" s="6" t="n">
        <v>0.2318</v>
      </c>
      <c r="K38" s="6" t="n">
        <v>8.337</v>
      </c>
      <c r="L38" s="12">
        <f>(J38/$L$7)*100</f>
        <v/>
      </c>
      <c r="M38" s="6">
        <f>$L$6/(1-(L38/100))</f>
        <v/>
      </c>
      <c r="N38" s="12">
        <f>K38/M38</f>
        <v/>
      </c>
      <c r="O38" s="12">
        <f>N38+$L$10</f>
        <v/>
      </c>
      <c r="Q38" s="5" t="n">
        <v>25</v>
      </c>
      <c r="R38" s="7" t="n">
        <v>0.2362</v>
      </c>
      <c r="S38" s="7" t="n">
        <v>8.574</v>
      </c>
      <c r="T38" s="12">
        <f>(R38/$T$7)*100</f>
        <v/>
      </c>
      <c r="U38" s="6">
        <f>$T$6/(1-(T38/100))</f>
        <v/>
      </c>
      <c r="V38" s="12">
        <f>S38/U38</f>
        <v/>
      </c>
      <c r="W38" s="12">
        <f>V38+$T$10</f>
        <v/>
      </c>
    </row>
    <row r="39">
      <c r="A39" s="5" t="n">
        <v>26</v>
      </c>
      <c r="B39" s="7" t="n">
        <v>0.2494</v>
      </c>
      <c r="C39" s="7" t="n">
        <v>9.273999999999999</v>
      </c>
      <c r="D39" s="12">
        <f>(B39/$D$7)*100</f>
        <v/>
      </c>
      <c r="E39" s="6">
        <f>$D$6/(1-(D39/100))</f>
        <v/>
      </c>
      <c r="F39" s="12">
        <f>C39/E39</f>
        <v/>
      </c>
      <c r="G39" s="12">
        <f>F39+$D$10</f>
        <v/>
      </c>
      <c r="I39" s="5" t="n">
        <v>26</v>
      </c>
      <c r="J39" s="6" t="n">
        <v>0.2423</v>
      </c>
      <c r="K39" s="6" t="n">
        <v>8.416</v>
      </c>
      <c r="L39" s="12">
        <f>(J39/$L$7)*100</f>
        <v/>
      </c>
      <c r="M39" s="6">
        <f>$L$6/(1-(L39/100))</f>
        <v/>
      </c>
      <c r="N39" s="12">
        <f>K39/M39</f>
        <v/>
      </c>
      <c r="O39" s="12">
        <f>N39+$L$10</f>
        <v/>
      </c>
      <c r="Q39" s="5" t="n">
        <v>26</v>
      </c>
      <c r="R39" s="7" t="n">
        <v>0.2466</v>
      </c>
      <c r="S39" s="7" t="n">
        <v>8.788</v>
      </c>
      <c r="T39" s="12">
        <f>(R39/$T$7)*100</f>
        <v/>
      </c>
      <c r="U39" s="6">
        <f>$T$6/(1-(T39/100))</f>
        <v/>
      </c>
      <c r="V39" s="12">
        <f>S39/U39</f>
        <v/>
      </c>
      <c r="W39" s="12">
        <f>V39+$T$10</f>
        <v/>
      </c>
    </row>
    <row r="40">
      <c r="A40" s="5" t="n">
        <v>27</v>
      </c>
      <c r="B40" s="7" t="n">
        <v>0.2623</v>
      </c>
      <c r="C40" s="7" t="n">
        <v>9.369</v>
      </c>
      <c r="D40" s="12">
        <f>(B40/$D$7)*100</f>
        <v/>
      </c>
      <c r="E40" s="6">
        <f>$D$6/(1-(D40/100))</f>
        <v/>
      </c>
      <c r="F40" s="12">
        <f>C40/E40</f>
        <v/>
      </c>
      <c r="G40" s="12">
        <f>F40+$D$10</f>
        <v/>
      </c>
      <c r="I40" s="5" t="n">
        <v>27</v>
      </c>
      <c r="J40" s="6" t="n">
        <v>0.2505</v>
      </c>
      <c r="K40" s="6" t="n">
        <v>8.579000000000001</v>
      </c>
      <c r="L40" s="12">
        <f>(J40/$L$7)*100</f>
        <v/>
      </c>
      <c r="M40" s="6">
        <f>$L$6/(1-(L40/100))</f>
        <v/>
      </c>
      <c r="N40" s="12">
        <f>K40/M40</f>
        <v/>
      </c>
      <c r="O40" s="12">
        <f>N40+$L$10</f>
        <v/>
      </c>
      <c r="Q40" s="5" t="n">
        <v>27</v>
      </c>
      <c r="R40" s="7" t="n">
        <v>0.2573</v>
      </c>
      <c r="S40" s="7" t="n">
        <v>9.057</v>
      </c>
      <c r="T40" s="12">
        <f>(R40/$T$7)*100</f>
        <v/>
      </c>
      <c r="U40" s="6">
        <f>$T$6/(1-(T40/100))</f>
        <v/>
      </c>
      <c r="V40" s="12">
        <f>S40/U40</f>
        <v/>
      </c>
      <c r="W40" s="12">
        <f>V40+$T$10</f>
        <v/>
      </c>
    </row>
    <row r="41">
      <c r="A41" s="5" t="n">
        <v>28</v>
      </c>
      <c r="B41" s="7" t="n">
        <v>0.2685</v>
      </c>
      <c r="C41" s="7" t="n">
        <v>9.334</v>
      </c>
      <c r="D41" s="12">
        <f>(B41/$D$7)*100</f>
        <v/>
      </c>
      <c r="E41" s="6">
        <f>$D$6/(1-(D41/100))</f>
        <v/>
      </c>
      <c r="F41" s="12">
        <f>C41/E41</f>
        <v/>
      </c>
      <c r="G41" s="12">
        <f>F41+$D$10</f>
        <v/>
      </c>
      <c r="I41" s="5" t="n">
        <v>28</v>
      </c>
      <c r="J41" s="6" t="n">
        <v>0.2608</v>
      </c>
      <c r="K41" s="6" t="n">
        <v>8.728999999999999</v>
      </c>
      <c r="L41" s="12">
        <f>(J41/$L$7)*100</f>
        <v/>
      </c>
      <c r="M41" s="6">
        <f>$L$6/(1-(L41/100))</f>
        <v/>
      </c>
      <c r="N41" s="12">
        <f>K41/M41</f>
        <v/>
      </c>
      <c r="O41" s="12">
        <f>N41+$L$10</f>
        <v/>
      </c>
      <c r="Q41" s="5" t="n">
        <v>28</v>
      </c>
      <c r="R41" s="7" t="n">
        <v>0.2679</v>
      </c>
      <c r="S41" s="7" t="n">
        <v>9.153</v>
      </c>
      <c r="T41" s="12">
        <f>(R41/$T$7)*100</f>
        <v/>
      </c>
      <c r="U41" s="6">
        <f>$T$6/(1-(T41/100))</f>
        <v/>
      </c>
      <c r="V41" s="12">
        <f>S41/U41</f>
        <v/>
      </c>
      <c r="W41" s="12">
        <f>V41+$T$10</f>
        <v/>
      </c>
    </row>
    <row r="42">
      <c r="A42" s="5" t="n">
        <v>29</v>
      </c>
      <c r="B42" s="7" t="n">
        <v>0.2765</v>
      </c>
      <c r="C42" s="7" t="n">
        <v>9.423999999999999</v>
      </c>
      <c r="D42" s="12">
        <f>(B42/$D$7)*100</f>
        <v/>
      </c>
      <c r="E42" s="6">
        <f>$D$6/(1-(D42/100))</f>
        <v/>
      </c>
      <c r="F42" s="12">
        <f>C42/E42</f>
        <v/>
      </c>
      <c r="G42" s="12">
        <f>F42+$D$10</f>
        <v/>
      </c>
      <c r="I42" s="5" t="n">
        <v>29</v>
      </c>
      <c r="J42" s="6" t="n">
        <v>0.2694</v>
      </c>
      <c r="K42" s="6" t="n">
        <v>8.789</v>
      </c>
      <c r="L42" s="12">
        <f>(J42/$L$7)*100</f>
        <v/>
      </c>
      <c r="M42" s="6">
        <f>$L$6/(1-(L42/100))</f>
        <v/>
      </c>
      <c r="N42" s="12">
        <f>K42/M42</f>
        <v/>
      </c>
      <c r="O42" s="12">
        <f>N42+$L$10</f>
        <v/>
      </c>
      <c r="Q42" s="5" t="n">
        <v>29</v>
      </c>
      <c r="R42" s="7" t="n">
        <v>0.2785</v>
      </c>
      <c r="S42" s="7" t="n">
        <v>9.214</v>
      </c>
      <c r="T42" s="12">
        <f>(R42/$T$7)*100</f>
        <v/>
      </c>
      <c r="U42" s="6">
        <f>$T$6/(1-(T42/100))</f>
        <v/>
      </c>
      <c r="V42" s="12">
        <f>S42/U42</f>
        <v/>
      </c>
      <c r="W42" s="12">
        <f>V42+$T$10</f>
        <v/>
      </c>
    </row>
    <row r="43">
      <c r="A43" s="5" t="n">
        <v>30</v>
      </c>
      <c r="B43" s="7" t="n">
        <v>0.2867</v>
      </c>
      <c r="C43" s="7" t="n">
        <v>9.371</v>
      </c>
      <c r="D43" s="12">
        <f>(B43/$D$7)*100</f>
        <v/>
      </c>
      <c r="E43" s="6">
        <f>$D$6/(1-(D43/100))</f>
        <v/>
      </c>
      <c r="F43" s="12">
        <f>C43/E43</f>
        <v/>
      </c>
      <c r="G43" s="12">
        <f>F43+$D$10</f>
        <v/>
      </c>
      <c r="I43" s="5" t="n">
        <v>30</v>
      </c>
      <c r="J43" s="6" t="n">
        <v>0.2799</v>
      </c>
      <c r="K43" s="6" t="n">
        <v>9.125999999999999</v>
      </c>
      <c r="L43" s="12">
        <f>(J43/$L$7)*100</f>
        <v/>
      </c>
      <c r="M43" s="6">
        <f>$L$6/(1-(L43/100))</f>
        <v/>
      </c>
      <c r="N43" s="12">
        <f>K43/M43</f>
        <v/>
      </c>
      <c r="O43" s="12">
        <f>N43+$L$10</f>
        <v/>
      </c>
      <c r="Q43" s="5" t="n">
        <v>30</v>
      </c>
      <c r="R43" s="7" t="n">
        <v>0.2892</v>
      </c>
      <c r="S43" s="7" t="n">
        <v>9.228999999999999</v>
      </c>
      <c r="T43" s="12">
        <f>(R43/$T$7)*100</f>
        <v/>
      </c>
      <c r="U43" s="6">
        <f>$T$6/(1-(T43/100))</f>
        <v/>
      </c>
      <c r="V43" s="12">
        <f>S43/U43</f>
        <v/>
      </c>
      <c r="W43" s="12">
        <f>V43+$T$10</f>
        <v/>
      </c>
    </row>
    <row r="44">
      <c r="A44" s="5" t="n">
        <v>31</v>
      </c>
      <c r="B44" s="7" t="n">
        <v>0.297</v>
      </c>
      <c r="C44" s="7" t="n">
        <v>9.505000000000001</v>
      </c>
      <c r="D44" s="12">
        <f>(B44/$D$7)*100</f>
        <v/>
      </c>
      <c r="E44" s="6">
        <f>$D$6/(1-(D44/100))</f>
        <v/>
      </c>
      <c r="F44" s="12">
        <f>C44/E44</f>
        <v/>
      </c>
      <c r="G44" s="12">
        <f>F44+$D$10</f>
        <v/>
      </c>
      <c r="I44" s="5" t="n">
        <v>31</v>
      </c>
      <c r="J44" s="6" t="n">
        <v>0.2926</v>
      </c>
      <c r="K44" s="6" t="n">
        <v>9.510999999999999</v>
      </c>
      <c r="L44" s="12">
        <f>(J44/$L$7)*100</f>
        <v/>
      </c>
      <c r="M44" s="6">
        <f>$L$6/(1-(L44/100))</f>
        <v/>
      </c>
      <c r="N44" s="12">
        <f>K44/M44</f>
        <v/>
      </c>
      <c r="O44" s="12">
        <f>N44+$L$10</f>
        <v/>
      </c>
      <c r="Q44" s="5" t="n">
        <v>31</v>
      </c>
      <c r="R44" s="7" t="n">
        <v>0.2996</v>
      </c>
      <c r="S44" s="7" t="n">
        <v>9.287000000000001</v>
      </c>
      <c r="T44" s="12">
        <f>(R44/$T$7)*100</f>
        <v/>
      </c>
      <c r="U44" s="6">
        <f>$T$6/(1-(T44/100))</f>
        <v/>
      </c>
      <c r="V44" s="12">
        <f>S44/U44</f>
        <v/>
      </c>
      <c r="W44" s="12">
        <f>V44+$T$10</f>
        <v/>
      </c>
    </row>
    <row r="45">
      <c r="A45" s="5" t="n">
        <v>32</v>
      </c>
      <c r="B45" s="7" t="n">
        <v>0.3075</v>
      </c>
      <c r="C45" s="7" t="n">
        <v>9.515000000000001</v>
      </c>
      <c r="D45" s="12">
        <f>(B45/$D$7)*100</f>
        <v/>
      </c>
      <c r="E45" s="6">
        <f>$D$6/(1-(D45/100))</f>
        <v/>
      </c>
      <c r="F45" s="12">
        <f>C45/E45</f>
        <v/>
      </c>
      <c r="G45" s="12">
        <f>F45+$D$10</f>
        <v/>
      </c>
      <c r="I45" s="5" t="n">
        <v>32</v>
      </c>
      <c r="J45" s="6" t="n">
        <v>0.303</v>
      </c>
      <c r="K45" s="6" t="n">
        <v>9.9</v>
      </c>
      <c r="L45" s="12">
        <f>(J45/$L$7)*100</f>
        <v/>
      </c>
      <c r="M45" s="6">
        <f>$L$6/(1-(L45/100))</f>
        <v/>
      </c>
      <c r="N45" s="12">
        <f>K45/M45</f>
        <v/>
      </c>
      <c r="O45" s="12">
        <f>N45+$L$10</f>
        <v/>
      </c>
      <c r="Q45" s="5" t="n">
        <v>32</v>
      </c>
      <c r="R45" s="7" t="n">
        <v>0.3097</v>
      </c>
      <c r="S45" s="7" t="n">
        <v>9.33</v>
      </c>
      <c r="T45" s="12">
        <f>(R45/$T$7)*100</f>
        <v/>
      </c>
      <c r="U45" s="6">
        <f>$T$6/(1-(T45/100))</f>
        <v/>
      </c>
      <c r="V45" s="12">
        <f>S45/U45</f>
        <v/>
      </c>
      <c r="W45" s="12">
        <f>V45+$T$10</f>
        <v/>
      </c>
    </row>
    <row r="46">
      <c r="A46" s="5" t="n">
        <v>33</v>
      </c>
      <c r="B46" s="7" t="n">
        <v>0.318</v>
      </c>
      <c r="C46" s="7" t="n">
        <v>9.699</v>
      </c>
      <c r="D46" s="12">
        <f>(B46/$D$7)*100</f>
        <v/>
      </c>
      <c r="E46" s="6">
        <f>$D$6/(1-(D46/100))</f>
        <v/>
      </c>
      <c r="F46" s="12">
        <f>C46/E46</f>
        <v/>
      </c>
      <c r="G46" s="12">
        <f>F46+$D$10</f>
        <v/>
      </c>
      <c r="I46" s="5" t="n">
        <v>33</v>
      </c>
      <c r="J46" s="6" t="n">
        <v>0.3133</v>
      </c>
      <c r="K46" s="6" t="n">
        <v>10.288</v>
      </c>
      <c r="L46" s="12">
        <f>(J46/$L$7)*100</f>
        <v/>
      </c>
      <c r="M46" s="6">
        <f>$L$6/(1-(L46/100))</f>
        <v/>
      </c>
      <c r="N46" s="12">
        <f>K46/M46</f>
        <v/>
      </c>
      <c r="O46" s="12">
        <f>N46+$L$10</f>
        <v/>
      </c>
      <c r="Q46" s="5" t="n">
        <v>33</v>
      </c>
      <c r="R46" s="7" t="n">
        <v>0.3242</v>
      </c>
      <c r="S46" s="7" t="n">
        <v>9.41</v>
      </c>
      <c r="T46" s="12">
        <f>(R46/$T$7)*100</f>
        <v/>
      </c>
      <c r="U46" s="6">
        <f>$T$6/(1-(T46/100))</f>
        <v/>
      </c>
      <c r="V46" s="12">
        <f>S46/U46</f>
        <v/>
      </c>
      <c r="W46" s="12">
        <f>V46+$T$10</f>
        <v/>
      </c>
    </row>
    <row r="47">
      <c r="A47" s="5" t="n">
        <v>34</v>
      </c>
      <c r="B47" s="7" t="n">
        <v>0.331</v>
      </c>
      <c r="C47" s="7" t="n">
        <v>9.798</v>
      </c>
      <c r="D47" s="12">
        <f>(B47/$D$7)*100</f>
        <v/>
      </c>
      <c r="E47" s="6">
        <f>$D$6/(1-(D47/100))</f>
        <v/>
      </c>
      <c r="F47" s="12">
        <f>C47/E47</f>
        <v/>
      </c>
      <c r="G47" s="12">
        <f>F47+$D$10</f>
        <v/>
      </c>
      <c r="I47" s="5" t="n">
        <v>34</v>
      </c>
      <c r="J47" s="6" t="n">
        <v>0.3217</v>
      </c>
      <c r="K47" s="6" t="n">
        <v>10.686</v>
      </c>
      <c r="L47" s="12">
        <f>(J47/$L$7)*100</f>
        <v/>
      </c>
      <c r="M47" s="6">
        <f>$L$6/(1-(L47/100))</f>
        <v/>
      </c>
      <c r="N47" s="12">
        <f>K47/M47</f>
        <v/>
      </c>
      <c r="O47" s="12">
        <f>N47+$L$10</f>
        <v/>
      </c>
      <c r="Q47" s="5" t="n">
        <v>34</v>
      </c>
      <c r="R47" s="7" t="n">
        <v>0.3325</v>
      </c>
      <c r="S47" s="7" t="n">
        <v>9.51</v>
      </c>
      <c r="T47" s="12">
        <f>(R47/$T$7)*100</f>
        <v/>
      </c>
      <c r="U47" s="6">
        <f>$T$6/(1-(T47/100))</f>
        <v/>
      </c>
      <c r="V47" s="12">
        <f>S47/U47</f>
        <v/>
      </c>
      <c r="W47" s="12">
        <f>V47+$T$10</f>
        <v/>
      </c>
    </row>
    <row r="48">
      <c r="A48" s="5" t="n">
        <v>35</v>
      </c>
      <c r="B48" s="7" t="n">
        <v>0.3397</v>
      </c>
      <c r="C48" s="7" t="n">
        <v>9.875</v>
      </c>
      <c r="D48" s="12">
        <f>(B48/$D$7)*100</f>
        <v/>
      </c>
      <c r="E48" s="6">
        <f>$D$6/(1-(D48/100))</f>
        <v/>
      </c>
      <c r="F48" s="12">
        <f>C48/E48</f>
        <v/>
      </c>
      <c r="G48" s="12">
        <f>F48+$D$10</f>
        <v/>
      </c>
      <c r="I48" s="5" t="n">
        <v>35</v>
      </c>
      <c r="J48" s="6" t="n">
        <v>0.3319</v>
      </c>
      <c r="K48" s="6" t="n">
        <v>11.197</v>
      </c>
      <c r="L48" s="12">
        <f>(J48/$L$7)*100</f>
        <v/>
      </c>
      <c r="M48" s="6">
        <f>$L$6/(1-(L48/100))</f>
        <v/>
      </c>
      <c r="N48" s="12">
        <f>K48/M48</f>
        <v/>
      </c>
      <c r="O48" s="12">
        <f>N48+$L$10</f>
        <v/>
      </c>
      <c r="Q48" s="5" t="n">
        <v>35</v>
      </c>
      <c r="R48" s="7" t="n">
        <v>0.3433</v>
      </c>
      <c r="S48" s="7" t="n">
        <v>9.689</v>
      </c>
      <c r="T48" s="12">
        <f>(R48/$T$7)*100</f>
        <v/>
      </c>
      <c r="U48" s="6">
        <f>$T$6/(1-(T48/100))</f>
        <v/>
      </c>
      <c r="V48" s="12">
        <f>S48/U48</f>
        <v/>
      </c>
      <c r="W48" s="12">
        <f>V48+$T$10</f>
        <v/>
      </c>
    </row>
    <row r="49">
      <c r="A49" s="5" t="n">
        <v>36</v>
      </c>
      <c r="B49" s="7" t="n">
        <v>0.3477</v>
      </c>
      <c r="C49" s="7" t="n">
        <v>9.962</v>
      </c>
      <c r="D49" s="12">
        <f>(B49/$D$7)*100</f>
        <v/>
      </c>
      <c r="E49" s="6">
        <f>$D$6/(1-(D49/100))</f>
        <v/>
      </c>
      <c r="F49" s="12">
        <f>C49/E49</f>
        <v/>
      </c>
      <c r="G49" s="12">
        <f>F49+$D$10</f>
        <v/>
      </c>
      <c r="I49" s="5" t="n">
        <v>36</v>
      </c>
      <c r="J49" s="6" t="n">
        <v>0.3401</v>
      </c>
      <c r="K49" s="6" t="n">
        <v>11.609</v>
      </c>
      <c r="L49" s="12">
        <f>(J49/$L$7)*100</f>
        <v/>
      </c>
      <c r="M49" s="6">
        <f>$L$6/(1-(L49/100))</f>
        <v/>
      </c>
      <c r="N49" s="12">
        <f>K49/M49</f>
        <v/>
      </c>
      <c r="O49" s="12">
        <f>N49+$L$10</f>
        <v/>
      </c>
      <c r="Q49" s="5" t="n">
        <v>36</v>
      </c>
      <c r="R49" s="7" t="n">
        <v>0.3537</v>
      </c>
      <c r="S49" s="7" t="n">
        <v>10.004</v>
      </c>
      <c r="T49" s="12">
        <f>(R49/$T$7)*100</f>
        <v/>
      </c>
      <c r="U49" s="6">
        <f>$T$6/(1-(T49/100))</f>
        <v/>
      </c>
      <c r="V49" s="12">
        <f>S49/U49</f>
        <v/>
      </c>
      <c r="W49" s="12">
        <f>V49+$T$10</f>
        <v/>
      </c>
    </row>
    <row r="50">
      <c r="A50" s="5" t="n">
        <v>37</v>
      </c>
      <c r="B50" s="7" t="n">
        <v>0.3581</v>
      </c>
      <c r="C50" s="7" t="n">
        <v>10.058</v>
      </c>
      <c r="D50" s="12">
        <f>(B50/$D$7)*100</f>
        <v/>
      </c>
      <c r="E50" s="6">
        <f>$D$6/(1-(D50/100))</f>
        <v/>
      </c>
      <c r="F50" s="12">
        <f>C50/E50</f>
        <v/>
      </c>
      <c r="G50" s="12">
        <f>F50+$D$10</f>
        <v/>
      </c>
      <c r="I50" s="5" t="n">
        <v>37</v>
      </c>
      <c r="J50" s="6" t="n">
        <v>0.353</v>
      </c>
      <c r="K50" s="6" t="n">
        <v>12.389</v>
      </c>
      <c r="L50" s="12">
        <f>(J50/$L$7)*100</f>
        <v/>
      </c>
      <c r="M50" s="6">
        <f>$L$6/(1-(L50/100))</f>
        <v/>
      </c>
      <c r="N50" s="12">
        <f>K50/M50</f>
        <v/>
      </c>
      <c r="O50" s="12">
        <f>N50+$L$10</f>
        <v/>
      </c>
      <c r="Q50" s="5" t="n">
        <v>37</v>
      </c>
      <c r="R50" s="7" t="n">
        <v>0.3619</v>
      </c>
      <c r="S50" s="7" t="n">
        <v>10.205</v>
      </c>
      <c r="T50" s="12">
        <f>(R50/$T$7)*100</f>
        <v/>
      </c>
      <c r="U50" s="6">
        <f>$T$6/(1-(T50/100))</f>
        <v/>
      </c>
      <c r="V50" s="12">
        <f>S50/U50</f>
        <v/>
      </c>
      <c r="W50" s="12">
        <f>V50+$T$10</f>
        <v/>
      </c>
    </row>
    <row r="51">
      <c r="A51" s="5" t="n">
        <v>38</v>
      </c>
      <c r="B51" s="7" t="n">
        <v>0.3685</v>
      </c>
      <c r="C51" s="7" t="n">
        <v>10.156</v>
      </c>
      <c r="D51" s="12">
        <f>(B51/$D$7)*100</f>
        <v/>
      </c>
      <c r="E51" s="6">
        <f>$D$6/(1-(D51/100))</f>
        <v/>
      </c>
      <c r="F51" s="12">
        <f>C51/E51</f>
        <v/>
      </c>
      <c r="G51" s="12">
        <f>F51+$D$10</f>
        <v/>
      </c>
      <c r="I51" s="5" t="n">
        <v>38</v>
      </c>
      <c r="J51" s="6" t="n">
        <v>0.3653</v>
      </c>
      <c r="K51" s="6" t="n">
        <v>13.124</v>
      </c>
      <c r="L51" s="12">
        <f>(J51/$L$7)*100</f>
        <v/>
      </c>
      <c r="M51" s="6">
        <f>$L$6/(1-(L51/100))</f>
        <v/>
      </c>
      <c r="N51" s="12">
        <f>K51/M51</f>
        <v/>
      </c>
      <c r="O51" s="12">
        <f>N51+$L$10</f>
        <v/>
      </c>
      <c r="Q51" s="5" t="n">
        <v>38</v>
      </c>
      <c r="R51" s="7" t="n">
        <v>0.3745</v>
      </c>
      <c r="S51" s="7" t="n">
        <v>10.649</v>
      </c>
      <c r="T51" s="12">
        <f>(R51/$T$7)*100</f>
        <v/>
      </c>
      <c r="U51" s="6">
        <f>$T$6/(1-(T51/100))</f>
        <v/>
      </c>
      <c r="V51" s="12">
        <f>S51/U51</f>
        <v/>
      </c>
      <c r="W51" s="12">
        <f>V51+$T$10</f>
        <v/>
      </c>
    </row>
    <row r="52">
      <c r="A52" s="5" t="n">
        <v>39</v>
      </c>
      <c r="B52" s="7" t="n">
        <v>0.3789</v>
      </c>
      <c r="C52" s="7" t="n">
        <v>10.535</v>
      </c>
      <c r="D52" s="12">
        <f>(B52/$D$7)*100</f>
        <v/>
      </c>
      <c r="E52" s="6">
        <f>$D$6/(1-(D52/100))</f>
        <v/>
      </c>
      <c r="F52" s="12">
        <f>C52/E52</f>
        <v/>
      </c>
      <c r="G52" s="12">
        <f>F52+$D$10</f>
        <v/>
      </c>
      <c r="I52" s="5" t="n">
        <v>39</v>
      </c>
      <c r="J52" s="6" t="n">
        <v>0.3737</v>
      </c>
      <c r="K52" s="6" t="n">
        <v>13.715</v>
      </c>
      <c r="L52" s="12">
        <f>(J52/$L$7)*100</f>
        <v/>
      </c>
      <c r="M52" s="6">
        <f>$L$6/(1-(L52/100))</f>
        <v/>
      </c>
      <c r="N52" s="12">
        <f>K52/M52</f>
        <v/>
      </c>
      <c r="O52" s="12">
        <f>N52+$L$10</f>
        <v/>
      </c>
      <c r="Q52" s="5" t="n">
        <v>39</v>
      </c>
      <c r="R52" s="7" t="n">
        <v>0.3847</v>
      </c>
      <c r="S52" s="7" t="n">
        <v>11.13</v>
      </c>
      <c r="T52" s="12">
        <f>(R52/$T$7)*100</f>
        <v/>
      </c>
      <c r="U52" s="6">
        <f>$T$6/(1-(T52/100))</f>
        <v/>
      </c>
      <c r="V52" s="12">
        <f>S52/U52</f>
        <v/>
      </c>
      <c r="W52" s="12">
        <f>V52+$T$10</f>
        <v/>
      </c>
    </row>
    <row r="53">
      <c r="A53" s="5" t="n">
        <v>40</v>
      </c>
      <c r="B53" s="7" t="n">
        <v>0.3894</v>
      </c>
      <c r="C53" s="7" t="n">
        <v>10.878</v>
      </c>
      <c r="D53" s="12">
        <f>(B53/$D$7)*100</f>
        <v/>
      </c>
      <c r="E53" s="6">
        <f>$D$6/(1-(D53/100))</f>
        <v/>
      </c>
      <c r="F53" s="12">
        <f>C53/E53</f>
        <v/>
      </c>
      <c r="G53" s="12">
        <f>F53+$D$10</f>
        <v/>
      </c>
      <c r="I53" s="5" t="n">
        <v>40</v>
      </c>
      <c r="J53" s="6" t="n">
        <v>0.3842</v>
      </c>
      <c r="K53" s="6" t="n">
        <v>14.373</v>
      </c>
      <c r="L53" s="12">
        <f>(J53/$L$7)*100</f>
        <v/>
      </c>
      <c r="M53" s="6">
        <f>$L$6/(1-(L53/100))</f>
        <v/>
      </c>
      <c r="N53" s="12">
        <f>K53/M53</f>
        <v/>
      </c>
      <c r="O53" s="12">
        <f>N53+$L$10</f>
        <v/>
      </c>
      <c r="Q53" s="5" t="n">
        <v>40</v>
      </c>
      <c r="R53" s="7" t="n">
        <v>0.3951</v>
      </c>
      <c r="S53" s="7" t="n">
        <v>11.575</v>
      </c>
      <c r="T53" s="12">
        <f>(R53/$T$7)*100</f>
        <v/>
      </c>
      <c r="U53" s="6">
        <f>$T$6/(1-(T53/100))</f>
        <v/>
      </c>
      <c r="V53" s="12">
        <f>S53/U53</f>
        <v/>
      </c>
      <c r="W53" s="12">
        <f>V53+$T$10</f>
        <v/>
      </c>
    </row>
    <row r="54">
      <c r="A54" s="5" t="n">
        <v>41</v>
      </c>
      <c r="B54" s="7" t="n">
        <v>0.3997</v>
      </c>
      <c r="C54" s="7" t="n">
        <v>11.227</v>
      </c>
      <c r="D54" s="12">
        <f>(B54/$D$7)*100</f>
        <v/>
      </c>
      <c r="E54" s="6">
        <f>$D$6/(1-(D54/100))</f>
        <v/>
      </c>
      <c r="F54" s="12">
        <f>C54/E54</f>
        <v/>
      </c>
      <c r="G54" s="12">
        <f>F54+$D$10</f>
        <v/>
      </c>
      <c r="I54" s="5" t="n">
        <v>41</v>
      </c>
      <c r="J54" s="6" t="n">
        <v>0.3946</v>
      </c>
      <c r="K54" s="6" t="n">
        <v>14.882</v>
      </c>
      <c r="L54" s="12">
        <f>(J54/$L$7)*100</f>
        <v/>
      </c>
      <c r="M54" s="6">
        <f>$L$6/(1-(L54/100))</f>
        <v/>
      </c>
      <c r="N54" s="12">
        <f>K54/M54</f>
        <v/>
      </c>
      <c r="O54" s="12">
        <f>N54+$L$10</f>
        <v/>
      </c>
      <c r="Q54" s="5" t="n">
        <v>41</v>
      </c>
      <c r="R54" s="7" t="n">
        <v>0.4078000000000001</v>
      </c>
      <c r="S54" s="7" t="n">
        <v>12.275</v>
      </c>
      <c r="T54" s="12">
        <f>(R54/$T$7)*100</f>
        <v/>
      </c>
      <c r="U54" s="6">
        <f>$T$6/(1-(T54/100))</f>
        <v/>
      </c>
      <c r="V54" s="12">
        <f>S54/U54</f>
        <v/>
      </c>
      <c r="W54" s="12">
        <f>V54+$T$10</f>
        <v/>
      </c>
    </row>
    <row r="55">
      <c r="A55" s="5" t="n">
        <v>42</v>
      </c>
      <c r="B55" s="7" t="n">
        <v>0.4077</v>
      </c>
      <c r="C55" s="7" t="n">
        <v>11.584</v>
      </c>
      <c r="D55" s="12">
        <f>(B55/$D$7)*100</f>
        <v/>
      </c>
      <c r="E55" s="6">
        <f>$D$6/(1-(D55/100))</f>
        <v/>
      </c>
      <c r="F55" s="12">
        <f>C55/E55</f>
        <v/>
      </c>
      <c r="G55" s="12">
        <f>F55+$D$10</f>
        <v/>
      </c>
      <c r="I55" s="5" t="n">
        <v>42</v>
      </c>
      <c r="J55" s="6" t="n">
        <v>0.403</v>
      </c>
      <c r="K55" s="6" t="n">
        <v>15.358</v>
      </c>
      <c r="L55" s="12">
        <f>(J55/$L$7)*100</f>
        <v/>
      </c>
      <c r="M55" s="6">
        <f>$L$6/(1-(L55/100))</f>
        <v/>
      </c>
      <c r="N55" s="12">
        <f>K55/M55</f>
        <v/>
      </c>
      <c r="O55" s="12">
        <f>N55+$L$10</f>
        <v/>
      </c>
      <c r="Q55" s="5" t="n">
        <v>42</v>
      </c>
      <c r="R55" s="7" t="n">
        <v>0.4182</v>
      </c>
      <c r="S55" s="7" t="n">
        <v>12.898</v>
      </c>
      <c r="T55" s="12">
        <f>(R55/$T$7)*100</f>
        <v/>
      </c>
      <c r="U55" s="6">
        <f>$T$6/(1-(T55/100))</f>
        <v/>
      </c>
      <c r="V55" s="12">
        <f>S55/U55</f>
        <v/>
      </c>
      <c r="W55" s="12">
        <f>V55+$T$10</f>
        <v/>
      </c>
    </row>
    <row r="56">
      <c r="A56" s="5" t="n">
        <v>43</v>
      </c>
      <c r="B56" s="7" t="n">
        <v>0.4181</v>
      </c>
      <c r="C56" s="7" t="n">
        <v>11.935</v>
      </c>
      <c r="D56" s="12">
        <f>(B56/$D$7)*100</f>
        <v/>
      </c>
      <c r="E56" s="6">
        <f>$D$6/(1-(D56/100))</f>
        <v/>
      </c>
      <c r="F56" s="12">
        <f>C56/E56</f>
        <v/>
      </c>
      <c r="G56" s="12">
        <f>F56+$D$10</f>
        <v/>
      </c>
      <c r="I56" s="5" t="n">
        <v>43</v>
      </c>
      <c r="J56" s="6" t="n">
        <v>0.4152</v>
      </c>
      <c r="K56" s="6" t="n">
        <v>16.114</v>
      </c>
      <c r="L56" s="12">
        <f>(J56/$L$7)*100</f>
        <v/>
      </c>
      <c r="M56" s="6">
        <f>$L$6/(1-(L56/100))</f>
        <v/>
      </c>
      <c r="N56" s="12">
        <f>K56/M56</f>
        <v/>
      </c>
      <c r="O56" s="12">
        <f>N56+$L$10</f>
        <v/>
      </c>
      <c r="Q56" s="5" t="n">
        <v>43</v>
      </c>
      <c r="R56" s="7" t="n">
        <v>0.4309</v>
      </c>
      <c r="S56" s="7" t="n">
        <v>13.825</v>
      </c>
      <c r="T56" s="12">
        <f>(R56/$T$7)*100</f>
        <v/>
      </c>
      <c r="U56" s="6">
        <f>$T$6/(1-(T56/100))</f>
        <v/>
      </c>
      <c r="V56" s="12">
        <f>S56/U56</f>
        <v/>
      </c>
      <c r="W56" s="12">
        <f>V56+$T$10</f>
        <v/>
      </c>
    </row>
    <row r="57">
      <c r="A57" s="5" t="n">
        <v>44</v>
      </c>
      <c r="B57" s="7" t="n">
        <v>0.4305</v>
      </c>
      <c r="C57" s="7" t="n">
        <v>12.42</v>
      </c>
      <c r="D57" s="12">
        <f>(B57/$D$7)*100</f>
        <v/>
      </c>
      <c r="E57" s="6">
        <f>$D$6/(1-(D57/100))</f>
        <v/>
      </c>
      <c r="F57" s="12">
        <f>C57/E57</f>
        <v/>
      </c>
      <c r="G57" s="12">
        <f>F57+$D$10</f>
        <v/>
      </c>
      <c r="I57" s="5" t="n">
        <v>44</v>
      </c>
      <c r="J57" s="6" t="n">
        <v>0.4274</v>
      </c>
      <c r="K57" s="6" t="n">
        <v>16.605</v>
      </c>
      <c r="L57" s="12">
        <f>(J57/$L$7)*100</f>
        <v/>
      </c>
      <c r="M57" s="6">
        <f>$L$6/(1-(L57/100))</f>
        <v/>
      </c>
      <c r="N57" s="12">
        <f>K57/M57</f>
        <v/>
      </c>
      <c r="O57" s="12">
        <f>N57+$L$10</f>
        <v/>
      </c>
      <c r="Q57" s="5" t="n">
        <v>44</v>
      </c>
      <c r="R57" s="7" t="n">
        <v>0.4391</v>
      </c>
      <c r="S57" s="7" t="n">
        <v>14.374</v>
      </c>
      <c r="T57" s="12">
        <f>(R57/$T$7)*100</f>
        <v/>
      </c>
      <c r="U57" s="6">
        <f>$T$6/(1-(T57/100))</f>
        <v/>
      </c>
      <c r="V57" s="12">
        <f>S57/U57</f>
        <v/>
      </c>
      <c r="W57" s="12">
        <f>V57+$T$10</f>
        <v/>
      </c>
    </row>
    <row r="58">
      <c r="A58" s="5" t="n">
        <v>45</v>
      </c>
      <c r="B58" s="7" t="n">
        <v>0.4409</v>
      </c>
      <c r="C58" s="7" t="n">
        <v>13.162</v>
      </c>
      <c r="D58" s="12">
        <f>(B58/$D$7)*100</f>
        <v/>
      </c>
      <c r="E58" s="6">
        <f>$D$6/(1-(D58/100))</f>
        <v/>
      </c>
      <c r="F58" s="12">
        <f>C58/E58</f>
        <v/>
      </c>
      <c r="G58" s="12">
        <f>F58+$D$10</f>
        <v/>
      </c>
      <c r="I58" s="5" t="n">
        <v>45</v>
      </c>
      <c r="J58" s="6" t="n">
        <v>0.4378</v>
      </c>
      <c r="K58" s="6" t="n">
        <v>17.079</v>
      </c>
      <c r="L58" s="12">
        <f>(J58/$L$7)*100</f>
        <v/>
      </c>
      <c r="M58" s="6">
        <f>$L$6/(1-(L58/100))</f>
        <v/>
      </c>
      <c r="N58" s="12">
        <f>K58/M58</f>
        <v/>
      </c>
      <c r="O58" s="12">
        <f>N58+$L$10</f>
        <v/>
      </c>
      <c r="Q58" s="5" t="n">
        <v>45</v>
      </c>
      <c r="R58" s="7" t="n">
        <v>0.4473</v>
      </c>
      <c r="S58" s="7" t="n">
        <v>14.955</v>
      </c>
      <c r="T58" s="12">
        <f>(R58/$T$7)*100</f>
        <v/>
      </c>
      <c r="U58" s="6">
        <f>$T$6/(1-(T58/100))</f>
        <v/>
      </c>
      <c r="V58" s="12">
        <f>S58/U58</f>
        <v/>
      </c>
      <c r="W58" s="12">
        <f>V58+$T$10</f>
        <v/>
      </c>
    </row>
    <row r="59">
      <c r="A59" s="5" t="n">
        <v>46</v>
      </c>
      <c r="B59" s="7" t="n">
        <v>0.4513</v>
      </c>
      <c r="C59" s="7" t="n">
        <v>13.617</v>
      </c>
      <c r="D59" s="12">
        <f>(B59/$D$7)*100</f>
        <v/>
      </c>
      <c r="E59" s="6">
        <f>$D$6/(1-(D59/100))</f>
        <v/>
      </c>
      <c r="F59" s="12">
        <f>C59/E59</f>
        <v/>
      </c>
      <c r="G59" s="12">
        <f>F59+$D$10</f>
        <v/>
      </c>
      <c r="I59" s="5" t="n">
        <v>46</v>
      </c>
      <c r="J59" s="6" t="n">
        <v>0.4484</v>
      </c>
      <c r="K59" s="6" t="n">
        <v>17.324</v>
      </c>
      <c r="L59" s="12">
        <f>(J59/$L$7)*100</f>
        <v/>
      </c>
      <c r="M59" s="6">
        <f>$L$6/(1-(L59/100))</f>
        <v/>
      </c>
      <c r="N59" s="12">
        <f>K59/M59</f>
        <v/>
      </c>
      <c r="O59" s="12">
        <f>N59+$L$10</f>
        <v/>
      </c>
      <c r="Q59" s="5" t="n">
        <v>46</v>
      </c>
      <c r="R59" s="7" t="n">
        <v>0.4578</v>
      </c>
      <c r="S59" s="7" t="n">
        <v>15.588</v>
      </c>
      <c r="T59" s="12">
        <f>(R59/$T$7)*100</f>
        <v/>
      </c>
      <c r="U59" s="6">
        <f>$T$6/(1-(T59/100))</f>
        <v/>
      </c>
      <c r="V59" s="12">
        <f>S59/U59</f>
        <v/>
      </c>
      <c r="W59" s="12">
        <f>V59+$T$10</f>
        <v/>
      </c>
    </row>
    <row r="60">
      <c r="A60" s="5" t="n">
        <v>47</v>
      </c>
      <c r="B60" s="7" t="n">
        <v>0.4617</v>
      </c>
      <c r="C60" s="7" t="n">
        <v>14.079</v>
      </c>
      <c r="D60" s="12">
        <f>(B60/$D$7)*100</f>
        <v/>
      </c>
      <c r="E60" s="6">
        <f>$D$6/(1-(D60/100))</f>
        <v/>
      </c>
      <c r="F60" s="12">
        <f>C60/E60</f>
        <v/>
      </c>
      <c r="G60" s="12">
        <f>F60+$D$10</f>
        <v/>
      </c>
      <c r="I60" s="5" t="n">
        <v>47</v>
      </c>
      <c r="J60" s="6" t="n">
        <v>0.4611</v>
      </c>
      <c r="K60" s="6" t="n">
        <v>17.584</v>
      </c>
      <c r="L60" s="12">
        <f>(J60/$L$7)*100</f>
        <v/>
      </c>
      <c r="M60" s="6">
        <f>$L$6/(1-(L60/100))</f>
        <v/>
      </c>
      <c r="N60" s="12">
        <f>K60/M60</f>
        <v/>
      </c>
      <c r="O60" s="12">
        <f>N60+$L$10</f>
        <v/>
      </c>
      <c r="Q60" s="5" t="n">
        <v>47</v>
      </c>
      <c r="R60" s="7" t="n">
        <v>0.4685</v>
      </c>
      <c r="S60" s="7" t="n">
        <v>16.18</v>
      </c>
      <c r="T60" s="12">
        <f>(R60/$T$7)*100</f>
        <v/>
      </c>
      <c r="U60" s="6">
        <f>$T$6/(1-(T60/100))</f>
        <v/>
      </c>
      <c r="V60" s="12">
        <f>S60/U60</f>
        <v/>
      </c>
      <c r="W60" s="12">
        <f>V60+$T$10</f>
        <v/>
      </c>
    </row>
    <row r="61">
      <c r="A61" s="5" t="n">
        <v>48</v>
      </c>
      <c r="B61" s="7" t="n">
        <v>0.4722000000000001</v>
      </c>
      <c r="C61" s="7" t="n">
        <v>14.463</v>
      </c>
      <c r="D61" s="12">
        <f>(B61/$D$7)*100</f>
        <v/>
      </c>
      <c r="E61" s="6">
        <f>$D$6/(1-(D61/100))</f>
        <v/>
      </c>
      <c r="F61" s="12">
        <f>C61/E61</f>
        <v/>
      </c>
      <c r="G61" s="12">
        <f>F61+$D$10</f>
        <v/>
      </c>
      <c r="I61" s="5" t="n">
        <v>48</v>
      </c>
      <c r="J61" s="6" t="n">
        <v>0.4717</v>
      </c>
      <c r="K61" s="6" t="n">
        <v>17.774</v>
      </c>
      <c r="L61" s="12">
        <f>(J61/$L$7)*100</f>
        <v/>
      </c>
      <c r="M61" s="6">
        <f>$L$6/(1-(L61/100))</f>
        <v/>
      </c>
      <c r="N61" s="12">
        <f>K61/M61</f>
        <v/>
      </c>
      <c r="O61" s="12">
        <f>N61+$L$10</f>
        <v/>
      </c>
      <c r="Q61" s="5" t="n">
        <v>48</v>
      </c>
      <c r="R61" s="7" t="n">
        <v>0.4771</v>
      </c>
      <c r="S61" s="7" t="n">
        <v>16.71</v>
      </c>
      <c r="T61" s="12">
        <f>(R61/$T$7)*100</f>
        <v/>
      </c>
      <c r="U61" s="6">
        <f>$T$6/(1-(T61/100))</f>
        <v/>
      </c>
      <c r="V61" s="12">
        <f>S61/U61</f>
        <v/>
      </c>
      <c r="W61" s="12">
        <f>V61+$T$10</f>
        <v/>
      </c>
    </row>
    <row r="62">
      <c r="A62" s="5" t="n">
        <v>49</v>
      </c>
      <c r="B62" s="7" t="n">
        <v>0.4827</v>
      </c>
      <c r="C62" s="7" t="n">
        <v>14.895</v>
      </c>
      <c r="D62" s="12">
        <f>(B62/$D$7)*100</f>
        <v/>
      </c>
      <c r="E62" s="6">
        <f>$D$6/(1-(D62/100))</f>
        <v/>
      </c>
      <c r="F62" s="12">
        <f>C62/E62</f>
        <v/>
      </c>
      <c r="G62" s="12">
        <f>F62+$D$10</f>
        <v/>
      </c>
      <c r="I62" s="5" t="n">
        <v>49</v>
      </c>
      <c r="J62" s="6" t="n">
        <v>0.4823000000000001</v>
      </c>
      <c r="K62" s="6" t="n">
        <v>17.821</v>
      </c>
      <c r="L62" s="12">
        <f>(J62/$L$7)*100</f>
        <v/>
      </c>
      <c r="M62" s="6">
        <f>$L$6/(1-(L62/100))</f>
        <v/>
      </c>
      <c r="N62" s="12">
        <f>K62/M62</f>
        <v/>
      </c>
      <c r="O62" s="12">
        <f>N62+$L$10</f>
        <v/>
      </c>
      <c r="Q62" s="5" t="n">
        <v>49</v>
      </c>
      <c r="R62" s="7" t="n">
        <v>0.4855</v>
      </c>
      <c r="S62" s="7" t="n">
        <v>17.11</v>
      </c>
      <c r="T62" s="12">
        <f>(R62/$T$7)*100</f>
        <v/>
      </c>
      <c r="U62" s="6">
        <f>$T$6/(1-(T62/100))</f>
        <v/>
      </c>
      <c r="V62" s="12">
        <f>S62/U62</f>
        <v/>
      </c>
      <c r="W62" s="12">
        <f>V62+$T$10</f>
        <v/>
      </c>
    </row>
    <row r="63">
      <c r="A63" s="5" t="n">
        <v>50</v>
      </c>
      <c r="B63" s="7" t="n">
        <v>0.495</v>
      </c>
      <c r="C63" s="7" t="n">
        <v>15.254</v>
      </c>
      <c r="D63" s="12">
        <f>(B63/$D$7)*100</f>
        <v/>
      </c>
      <c r="E63" s="6">
        <f>$D$6/(1-(D63/100))</f>
        <v/>
      </c>
      <c r="F63" s="12">
        <f>C63/E63</f>
        <v/>
      </c>
      <c r="G63" s="12">
        <f>F63+$D$10</f>
        <v/>
      </c>
      <c r="I63" s="5" t="n">
        <v>50</v>
      </c>
      <c r="J63" s="6" t="n">
        <v>0.493</v>
      </c>
      <c r="K63" s="6" t="n">
        <v>17.997</v>
      </c>
      <c r="L63" s="12">
        <f>(J63/$L$7)*100</f>
        <v/>
      </c>
      <c r="M63" s="6">
        <f>$L$6/(1-(L63/100))</f>
        <v/>
      </c>
      <c r="N63" s="12">
        <f>K63/M63</f>
        <v/>
      </c>
      <c r="O63" s="12">
        <f>N63+$L$10</f>
        <v/>
      </c>
      <c r="Q63" s="5" t="n">
        <v>50</v>
      </c>
      <c r="R63" s="7" t="n">
        <v>0.4939</v>
      </c>
      <c r="S63" s="7" t="n">
        <v>17.509</v>
      </c>
      <c r="T63" s="12">
        <f>(R63/$T$7)*100</f>
        <v/>
      </c>
      <c r="U63" s="6">
        <f>$T$6/(1-(T63/100))</f>
        <v/>
      </c>
      <c r="V63" s="12">
        <f>S63/U63</f>
        <v/>
      </c>
      <c r="W63" s="12">
        <f>V63+$T$10</f>
        <v/>
      </c>
    </row>
    <row r="64">
      <c r="A64" s="5" t="n">
        <v>51</v>
      </c>
      <c r="B64" s="7" t="n">
        <v>0.5035000000000001</v>
      </c>
      <c r="C64" s="7" t="n">
        <v>15.681</v>
      </c>
      <c r="D64" s="12">
        <f>(B64/$D$7)*100</f>
        <v/>
      </c>
      <c r="E64" s="6">
        <f>$D$6/(1-(D64/100))</f>
        <v/>
      </c>
      <c r="F64" s="12">
        <f>C64/E64</f>
        <v/>
      </c>
      <c r="G64" s="12">
        <f>F64+$D$10</f>
        <v/>
      </c>
      <c r="I64" s="5" t="n">
        <v>51</v>
      </c>
      <c r="J64" s="6" t="n">
        <v>0.5038</v>
      </c>
      <c r="K64" s="6" t="n">
        <v>18.021</v>
      </c>
      <c r="L64" s="12">
        <f>(J64/$L$7)*100</f>
        <v/>
      </c>
      <c r="M64" s="6">
        <f>$L$6/(1-(L64/100))</f>
        <v/>
      </c>
      <c r="N64" s="12">
        <f>K64/M64</f>
        <v/>
      </c>
      <c r="O64" s="12">
        <f>N64+$L$10</f>
        <v/>
      </c>
      <c r="Q64" s="5" t="n">
        <v>51</v>
      </c>
      <c r="R64" s="7" t="n">
        <v>0.5022</v>
      </c>
      <c r="S64" s="7" t="n">
        <v>17.852</v>
      </c>
      <c r="T64" s="12">
        <f>(R64/$T$7)*100</f>
        <v/>
      </c>
      <c r="U64" s="6">
        <f>$T$6/(1-(T64/100))</f>
        <v/>
      </c>
      <c r="V64" s="12">
        <f>S64/U64</f>
        <v/>
      </c>
      <c r="W64" s="12">
        <f>V64+$T$10</f>
        <v/>
      </c>
    </row>
    <row r="65">
      <c r="A65" s="5" t="n">
        <v>52</v>
      </c>
      <c r="B65" s="7" t="n">
        <v>0.5138</v>
      </c>
      <c r="C65" s="7" t="n">
        <v>16.055</v>
      </c>
      <c r="D65" s="12">
        <f>(B65/$D$7)*100</f>
        <v/>
      </c>
      <c r="E65" s="6">
        <f>$D$6/(1-(D65/100))</f>
        <v/>
      </c>
      <c r="F65" s="12">
        <f>C65/E65</f>
        <v/>
      </c>
      <c r="G65" s="12">
        <f>F65+$D$10</f>
        <v/>
      </c>
      <c r="I65" s="5" t="n">
        <v>52</v>
      </c>
      <c r="J65" s="6" t="n">
        <v>0.516</v>
      </c>
      <c r="K65" s="6" t="n">
        <v>18.416</v>
      </c>
      <c r="L65" s="12">
        <f>(J65/$L$7)*100</f>
        <v/>
      </c>
      <c r="M65" s="6">
        <f>$L$6/(1-(L65/100))</f>
        <v/>
      </c>
      <c r="N65" s="12">
        <f>K65/M65</f>
        <v/>
      </c>
      <c r="O65" s="12">
        <f>N65+$L$10</f>
        <v/>
      </c>
      <c r="Q65" s="5" t="n">
        <v>52</v>
      </c>
      <c r="R65" s="7" t="n">
        <v>0.5126999999999999</v>
      </c>
      <c r="S65" s="7" t="n">
        <v>18.163</v>
      </c>
      <c r="T65" s="12">
        <f>(R65/$T$7)*100</f>
        <v/>
      </c>
      <c r="U65" s="6">
        <f>$T$6/(1-(T65/100))</f>
        <v/>
      </c>
      <c r="V65" s="12">
        <f>S65/U65</f>
        <v/>
      </c>
      <c r="W65" s="12">
        <f>V65+$T$10</f>
        <v/>
      </c>
    </row>
    <row r="66">
      <c r="A66" s="5" t="n">
        <v>53</v>
      </c>
      <c r="B66" s="7" t="n">
        <v>0.5221</v>
      </c>
      <c r="C66" s="7" t="n">
        <v>16.178</v>
      </c>
      <c r="D66" s="12">
        <f>(B66/$D$7)*100</f>
        <v/>
      </c>
      <c r="E66" s="6">
        <f>$D$6/(1-(D66/100))</f>
        <v/>
      </c>
      <c r="F66" s="12">
        <f>C66/E66</f>
        <v/>
      </c>
      <c r="G66" s="12">
        <f>F66+$D$10</f>
        <v/>
      </c>
      <c r="I66" s="5" t="n">
        <v>53</v>
      </c>
      <c r="J66" s="6" t="n">
        <v>0.5266</v>
      </c>
      <c r="K66" s="6" t="n">
        <v>19.184</v>
      </c>
      <c r="L66" s="12">
        <f>(J66/$L$7)*100</f>
        <v/>
      </c>
      <c r="M66" s="6">
        <f>$L$6/(1-(L66/100))</f>
        <v/>
      </c>
      <c r="N66" s="12">
        <f>K66/M66</f>
        <v/>
      </c>
      <c r="O66" s="12">
        <f>N66+$L$10</f>
        <v/>
      </c>
      <c r="Q66" s="5" t="n">
        <v>53</v>
      </c>
      <c r="R66" s="7" t="n">
        <v>0.5185999999999999</v>
      </c>
      <c r="S66" s="7" t="n">
        <v>18.239</v>
      </c>
      <c r="T66" s="12">
        <f>(R66/$T$7)*100</f>
        <v/>
      </c>
      <c r="U66" s="6">
        <f>$T$6/(1-(T66/100))</f>
        <v/>
      </c>
      <c r="V66" s="12">
        <f>S66/U66</f>
        <v/>
      </c>
      <c r="W66" s="12">
        <f>V66+$T$10</f>
        <v/>
      </c>
    </row>
    <row r="67">
      <c r="A67" s="5" t="n">
        <v>54</v>
      </c>
      <c r="B67" s="7" t="n">
        <v>0.5324</v>
      </c>
      <c r="C67" s="7" t="n">
        <v>16.529</v>
      </c>
      <c r="D67" s="12">
        <f>(B67/$D$7)*100</f>
        <v/>
      </c>
      <c r="E67" s="6">
        <f>$D$6/(1-(D67/100))</f>
        <v/>
      </c>
      <c r="F67" s="12">
        <f>C67/E67</f>
        <v/>
      </c>
      <c r="G67" s="12">
        <f>F67+$D$10</f>
        <v/>
      </c>
      <c r="I67" s="5" t="n">
        <v>54</v>
      </c>
      <c r="J67" s="6" t="n">
        <v>0.5393</v>
      </c>
      <c r="K67" s="6" t="n">
        <v>20.582</v>
      </c>
      <c r="L67" s="12">
        <f>(J67/$L$7)*100</f>
        <v/>
      </c>
      <c r="M67" s="6">
        <f>$L$6/(1-(L67/100))</f>
        <v/>
      </c>
      <c r="N67" s="12">
        <f>K67/M67</f>
        <v/>
      </c>
      <c r="O67" s="12">
        <f>N67+$L$10</f>
        <v/>
      </c>
      <c r="Q67" s="5" t="n">
        <v>54</v>
      </c>
      <c r="R67" s="7" t="n">
        <v>0.5309</v>
      </c>
      <c r="S67" s="7" t="n">
        <v>18.47</v>
      </c>
      <c r="T67" s="12">
        <f>(R67/$T$7)*100</f>
        <v/>
      </c>
      <c r="U67" s="6">
        <f>$T$6/(1-(T67/100))</f>
        <v/>
      </c>
      <c r="V67" s="12">
        <f>S67/U67</f>
        <v/>
      </c>
      <c r="W67" s="12">
        <f>V67+$T$10</f>
        <v/>
      </c>
    </row>
    <row r="68">
      <c r="A68" s="5" t="n">
        <v>55</v>
      </c>
      <c r="B68" s="7" t="n">
        <v>0.5427999999999999</v>
      </c>
      <c r="C68" s="7" t="n">
        <v>16.844</v>
      </c>
      <c r="D68" s="12">
        <f>(B68/$D$7)*100</f>
        <v/>
      </c>
      <c r="E68" s="6">
        <f>$D$6/(1-(D68/100))</f>
        <v/>
      </c>
      <c r="F68" s="12">
        <f>C68/E68</f>
        <v/>
      </c>
      <c r="G68" s="12">
        <f>F68+$D$10</f>
        <v/>
      </c>
      <c r="I68" s="5" t="n">
        <v>55</v>
      </c>
      <c r="J68" s="6" t="n">
        <v>0.5476</v>
      </c>
      <c r="K68" s="6" t="n">
        <v>21.315</v>
      </c>
      <c r="L68" s="12">
        <f>(J68/$L$7)*100</f>
        <v/>
      </c>
      <c r="M68" s="6">
        <f>$L$6/(1-(L68/100))</f>
        <v/>
      </c>
      <c r="N68" s="12">
        <f>K68/M68</f>
        <v/>
      </c>
      <c r="O68" s="12">
        <f>N68+$L$10</f>
        <v/>
      </c>
      <c r="Q68" s="5" t="n">
        <v>55</v>
      </c>
      <c r="R68" s="7" t="n">
        <v>0.5413</v>
      </c>
      <c r="S68" s="7" t="n">
        <v>18.379</v>
      </c>
      <c r="T68" s="12">
        <f>(R68/$T$7)*100</f>
        <v/>
      </c>
      <c r="U68" s="6">
        <f>$T$6/(1-(T68/100))</f>
        <v/>
      </c>
      <c r="V68" s="12">
        <f>S68/U68</f>
        <v/>
      </c>
      <c r="W68" s="12">
        <f>V68+$T$10</f>
        <v/>
      </c>
    </row>
    <row r="69">
      <c r="A69" s="5" t="n">
        <v>56</v>
      </c>
      <c r="B69" s="7" t="n">
        <v>0.5488000000000001</v>
      </c>
      <c r="C69" s="7" t="n">
        <v>16.726</v>
      </c>
      <c r="D69" s="12">
        <f>(B69/$D$7)*100</f>
        <v/>
      </c>
      <c r="E69" s="6">
        <f>$D$6/(1-(D69/100))</f>
        <v/>
      </c>
      <c r="F69" s="12">
        <f>C69/E69</f>
        <v/>
      </c>
      <c r="G69" s="12">
        <f>F69+$D$10</f>
        <v/>
      </c>
      <c r="I69" s="5" t="n">
        <v>56</v>
      </c>
      <c r="J69" s="6" t="n">
        <v>0.5599000000000001</v>
      </c>
      <c r="K69" s="6" t="n">
        <v>22.62</v>
      </c>
      <c r="L69" s="12">
        <f>(J69/$L$7)*100</f>
        <v/>
      </c>
      <c r="M69" s="6">
        <f>$L$6/(1-(L69/100))</f>
        <v/>
      </c>
      <c r="N69" s="12">
        <f>K69/M69</f>
        <v/>
      </c>
      <c r="O69" s="12">
        <f>N69+$L$10</f>
        <v/>
      </c>
      <c r="Q69" s="5" t="n">
        <v>56</v>
      </c>
      <c r="R69" s="7" t="n">
        <v>0.5516</v>
      </c>
      <c r="S69" s="7" t="n">
        <v>18.502</v>
      </c>
      <c r="T69" s="12">
        <f>(R69/$T$7)*100</f>
        <v/>
      </c>
      <c r="U69" s="6">
        <f>$T$6/(1-(T69/100))</f>
        <v/>
      </c>
      <c r="V69" s="12">
        <f>S69/U69</f>
        <v/>
      </c>
      <c r="W69" s="12">
        <f>V69+$T$10</f>
        <v/>
      </c>
    </row>
    <row r="70">
      <c r="A70" s="5" t="n">
        <v>57</v>
      </c>
      <c r="B70" s="7" t="n">
        <v>0.5570999999999999</v>
      </c>
      <c r="C70" s="7" t="n">
        <v>16.901</v>
      </c>
      <c r="D70" s="12">
        <f>(B70/$D$7)*100</f>
        <v/>
      </c>
      <c r="E70" s="6">
        <f>$D$6/(1-(D70/100))</f>
        <v/>
      </c>
      <c r="F70" s="12">
        <f>C70/E70</f>
        <v/>
      </c>
      <c r="G70" s="12">
        <f>F70+$D$10</f>
        <v/>
      </c>
      <c r="I70" s="5" t="n">
        <v>57</v>
      </c>
      <c r="J70" s="6" t="n">
        <v>0.5702</v>
      </c>
      <c r="K70" s="6" t="n">
        <v>23.063</v>
      </c>
      <c r="L70" s="12">
        <f>(J70/$L$7)*100</f>
        <v/>
      </c>
      <c r="M70" s="6">
        <f>$L$6/(1-(L70/100))</f>
        <v/>
      </c>
      <c r="N70" s="12">
        <f>K70/M70</f>
        <v/>
      </c>
      <c r="O70" s="12">
        <f>N70+$L$10</f>
        <v/>
      </c>
      <c r="Q70" s="5" t="n">
        <v>57</v>
      </c>
      <c r="R70" s="7" t="n">
        <v>0.5624</v>
      </c>
      <c r="S70" s="7" t="n">
        <v>18.471</v>
      </c>
      <c r="T70" s="12">
        <f>(R70/$T$7)*100</f>
        <v/>
      </c>
      <c r="U70" s="6">
        <f>$T$6/(1-(T70/100))</f>
        <v/>
      </c>
      <c r="V70" s="12">
        <f>S70/U70</f>
        <v/>
      </c>
      <c r="W70" s="12">
        <f>V70+$T$10</f>
        <v/>
      </c>
    </row>
    <row r="71">
      <c r="A71" s="5" t="n">
        <v>58</v>
      </c>
      <c r="B71" s="7" t="n">
        <v>0.5657</v>
      </c>
      <c r="C71" s="7" t="n">
        <v>16.926</v>
      </c>
      <c r="D71" s="12">
        <f>(B71/$D$7)*100</f>
        <v/>
      </c>
      <c r="E71" s="6">
        <f>$D$6/(1-(D71/100))</f>
        <v/>
      </c>
      <c r="F71" s="12">
        <f>C71/E71</f>
        <v/>
      </c>
      <c r="G71" s="12">
        <f>F71+$D$10</f>
        <v/>
      </c>
      <c r="I71" s="5" t="n">
        <v>58</v>
      </c>
      <c r="J71" s="6" t="n">
        <v>0.5826</v>
      </c>
      <c r="K71" s="6" t="n">
        <v>23.332</v>
      </c>
      <c r="L71" s="12">
        <f>(J71/$L$7)*100</f>
        <v/>
      </c>
      <c r="M71" s="6">
        <f>$L$6/(1-(L71/100))</f>
        <v/>
      </c>
      <c r="N71" s="12">
        <f>K71/M71</f>
        <v/>
      </c>
      <c r="O71" s="12">
        <f>N71+$L$10</f>
        <v/>
      </c>
      <c r="Q71" s="5" t="n">
        <v>58</v>
      </c>
      <c r="R71" s="7" t="n">
        <v>0.5728</v>
      </c>
      <c r="S71" s="7" t="n">
        <v>18.689</v>
      </c>
      <c r="T71" s="12">
        <f>(R71/$T$7)*100</f>
        <v/>
      </c>
      <c r="U71" s="6">
        <f>$T$6/(1-(T71/100))</f>
        <v/>
      </c>
      <c r="V71" s="12">
        <f>S71/U71</f>
        <v/>
      </c>
      <c r="W71" s="12">
        <f>V71+$T$10</f>
        <v/>
      </c>
    </row>
    <row r="72">
      <c r="A72" s="5" t="n">
        <v>59</v>
      </c>
      <c r="B72" s="7" t="n">
        <v>0.5736</v>
      </c>
      <c r="C72" s="7" t="n">
        <v>16.928</v>
      </c>
      <c r="D72" s="12">
        <f>(B72/$D$7)*100</f>
        <v/>
      </c>
      <c r="E72" s="6">
        <f>$D$6/(1-(D72/100))</f>
        <v/>
      </c>
      <c r="F72" s="12">
        <f>C72/E72</f>
        <v/>
      </c>
      <c r="G72" s="12">
        <f>F72+$D$10</f>
        <v/>
      </c>
      <c r="I72" s="5" t="n">
        <v>59</v>
      </c>
      <c r="J72" s="6" t="n">
        <v>0.5929</v>
      </c>
      <c r="K72" s="6" t="n">
        <v>23.497</v>
      </c>
      <c r="L72" s="12">
        <f>(J72/$L$7)*100</f>
        <v/>
      </c>
      <c r="M72" s="6">
        <f>$L$6/(1-(L72/100))</f>
        <v/>
      </c>
      <c r="N72" s="12">
        <f>K72/M72</f>
        <v/>
      </c>
      <c r="O72" s="12">
        <f>N72+$L$10</f>
        <v/>
      </c>
      <c r="Q72" s="5" t="n">
        <v>59</v>
      </c>
      <c r="R72" s="7" t="n">
        <v>0.583</v>
      </c>
      <c r="S72" s="7" t="n">
        <v>18.953</v>
      </c>
      <c r="T72" s="12">
        <f>(R72/$T$7)*100</f>
        <v/>
      </c>
      <c r="U72" s="6">
        <f>$T$6/(1-(T72/100))</f>
        <v/>
      </c>
      <c r="V72" s="12">
        <f>S72/U72</f>
        <v/>
      </c>
      <c r="W72" s="12">
        <f>V72+$T$10</f>
        <v/>
      </c>
    </row>
    <row r="73">
      <c r="A73" s="5" t="n">
        <v>60</v>
      </c>
      <c r="B73" s="7" t="n">
        <v>0.5838</v>
      </c>
      <c r="C73" s="7" t="n">
        <v>17.054</v>
      </c>
      <c r="D73" s="12">
        <f>(B73/$D$7)*100</f>
        <v/>
      </c>
      <c r="E73" s="6">
        <f>$D$6/(1-(D73/100))</f>
        <v/>
      </c>
      <c r="F73" s="12">
        <f>C73/E73</f>
        <v/>
      </c>
      <c r="G73" s="12">
        <f>F73+$D$10</f>
        <v/>
      </c>
      <c r="I73" s="5" t="n">
        <v>60</v>
      </c>
      <c r="J73" s="6" t="n">
        <v>0.6035</v>
      </c>
      <c r="K73" s="6" t="n">
        <v>23.68</v>
      </c>
      <c r="L73" s="12">
        <f>(J73/$L$7)*100</f>
        <v/>
      </c>
      <c r="M73" s="6">
        <f>$L$6/(1-(L73/100))</f>
        <v/>
      </c>
      <c r="N73" s="12">
        <f>K73/M73</f>
        <v/>
      </c>
      <c r="O73" s="12">
        <f>N73+$L$10</f>
        <v/>
      </c>
      <c r="Q73" s="5" t="n">
        <v>60</v>
      </c>
      <c r="R73" s="7" t="n">
        <v>0.5932999999999999</v>
      </c>
      <c r="S73" s="7" t="n">
        <v>19.405</v>
      </c>
      <c r="T73" s="12">
        <f>(R73/$T$7)*100</f>
        <v/>
      </c>
      <c r="U73" s="6">
        <f>$T$6/(1-(T73/100))</f>
        <v/>
      </c>
      <c r="V73" s="12">
        <f>S73/U73</f>
        <v/>
      </c>
      <c r="W73" s="12">
        <f>V73+$T$10</f>
        <v/>
      </c>
    </row>
    <row r="74">
      <c r="A74" s="5" t="n">
        <v>61</v>
      </c>
      <c r="B74" s="7" t="n">
        <v>0.5919</v>
      </c>
      <c r="C74" s="7" t="n">
        <v>17.231</v>
      </c>
      <c r="D74" s="12">
        <f>(B74/$D$7)*100</f>
        <v/>
      </c>
      <c r="E74" s="6">
        <f>$D$6/(1-(D74/100))</f>
        <v/>
      </c>
      <c r="F74" s="12">
        <f>C74/E74</f>
        <v/>
      </c>
      <c r="G74" s="12">
        <f>F74+$D$10</f>
        <v/>
      </c>
      <c r="I74" s="5" t="n">
        <v>61</v>
      </c>
      <c r="J74" s="6" t="n">
        <v>0.6118</v>
      </c>
      <c r="K74" s="6" t="n">
        <v>23.861</v>
      </c>
      <c r="L74" s="12">
        <f>(J74/$L$7)*100</f>
        <v/>
      </c>
      <c r="M74" s="6">
        <f>$L$6/(1-(L74/100))</f>
        <v/>
      </c>
      <c r="N74" s="12">
        <f>K74/M74</f>
        <v/>
      </c>
      <c r="O74" s="12">
        <f>N74+$L$10</f>
        <v/>
      </c>
      <c r="Q74" s="5" t="n">
        <v>61</v>
      </c>
      <c r="R74" s="7" t="n">
        <v>0.6035999999999999</v>
      </c>
      <c r="S74" s="7" t="n">
        <v>20.008</v>
      </c>
      <c r="T74" s="12">
        <f>(R74/$T$7)*100</f>
        <v/>
      </c>
      <c r="U74" s="6">
        <f>$T$6/(1-(T74/100))</f>
        <v/>
      </c>
      <c r="V74" s="12">
        <f>S74/U74</f>
        <v/>
      </c>
      <c r="W74" s="12">
        <f>V74+$T$10</f>
        <v/>
      </c>
    </row>
    <row r="75">
      <c r="A75" s="5" t="n">
        <v>62</v>
      </c>
      <c r="B75" s="7" t="n">
        <v>0.6002</v>
      </c>
      <c r="C75" s="7" t="n">
        <v>17.181</v>
      </c>
      <c r="D75" s="12">
        <f>(B75/$D$7)*100</f>
        <v/>
      </c>
      <c r="E75" s="6">
        <f>$D$6/(1-(D75/100))</f>
        <v/>
      </c>
      <c r="F75" s="12">
        <f>C75/E75</f>
        <v/>
      </c>
      <c r="G75" s="12">
        <f>F75+$D$10</f>
        <v/>
      </c>
      <c r="I75" s="5" t="n">
        <v>62</v>
      </c>
      <c r="J75" s="6" t="n">
        <v>0.6178</v>
      </c>
      <c r="K75" s="6" t="n">
        <v>23.953</v>
      </c>
      <c r="L75" s="12">
        <f>(J75/$L$7)*100</f>
        <v/>
      </c>
      <c r="M75" s="6">
        <f>$L$6/(1-(L75/100))</f>
        <v/>
      </c>
      <c r="N75" s="12">
        <f>K75/M75</f>
        <v/>
      </c>
      <c r="O75" s="12">
        <f>N75+$L$10</f>
        <v/>
      </c>
      <c r="Q75" s="5" t="n">
        <v>62</v>
      </c>
      <c r="R75" s="7" t="n">
        <v>0.6136999999999999</v>
      </c>
      <c r="S75" s="7" t="n">
        <v>20.574</v>
      </c>
      <c r="T75" s="12">
        <f>(R75/$T$7)*100</f>
        <v/>
      </c>
      <c r="U75" s="6">
        <f>$T$6/(1-(T75/100))</f>
        <v/>
      </c>
      <c r="V75" s="12">
        <f>S75/U75</f>
        <v/>
      </c>
      <c r="W75" s="12">
        <f>V75+$T$10</f>
        <v/>
      </c>
    </row>
    <row r="76">
      <c r="A76" s="5" t="n">
        <v>63</v>
      </c>
      <c r="B76" s="7" t="n">
        <v>0.6087</v>
      </c>
      <c r="C76" s="7" t="n">
        <v>17.085</v>
      </c>
      <c r="D76" s="12">
        <f>(B76/$D$7)*100</f>
        <v/>
      </c>
      <c r="E76" s="6">
        <f>$D$6/(1-(D76/100))</f>
        <v/>
      </c>
      <c r="F76" s="12">
        <f>C76/E76</f>
        <v/>
      </c>
      <c r="G76" s="12">
        <f>F76+$D$10</f>
        <v/>
      </c>
      <c r="I76" s="5" t="n">
        <v>63</v>
      </c>
      <c r="J76" s="6" t="n">
        <v>0.6262</v>
      </c>
      <c r="K76" s="6" t="n">
        <v>23.981</v>
      </c>
      <c r="L76" s="12">
        <f>(J76/$L$7)*100</f>
        <v/>
      </c>
      <c r="M76" s="6">
        <f>$L$6/(1-(L76/100))</f>
        <v/>
      </c>
      <c r="N76" s="12">
        <f>K76/M76</f>
        <v/>
      </c>
      <c r="O76" s="12">
        <f>N76+$L$10</f>
        <v/>
      </c>
      <c r="Q76" s="5" t="n">
        <v>63</v>
      </c>
      <c r="R76" s="7" t="n">
        <v>0.6237</v>
      </c>
      <c r="S76" s="7" t="n">
        <v>21.404</v>
      </c>
      <c r="T76" s="12">
        <f>(R76/$T$7)*100</f>
        <v/>
      </c>
      <c r="U76" s="6">
        <f>$T$6/(1-(T76/100))</f>
        <v/>
      </c>
      <c r="V76" s="12">
        <f>S76/U76</f>
        <v/>
      </c>
      <c r="W76" s="12">
        <f>V76+$T$10</f>
        <v/>
      </c>
    </row>
    <row r="77">
      <c r="A77" s="5" t="n">
        <v>64</v>
      </c>
      <c r="B77" s="7" t="n">
        <v>0.6213</v>
      </c>
      <c r="C77" s="7" t="n">
        <v>17.238</v>
      </c>
      <c r="D77" s="12">
        <f>(B77/$D$7)*100</f>
        <v/>
      </c>
      <c r="E77" s="6">
        <f>$D$6/(1-(D77/100))</f>
        <v/>
      </c>
      <c r="F77" s="12">
        <f>C77/E77</f>
        <v/>
      </c>
      <c r="G77" s="12">
        <f>F77+$D$10</f>
        <v/>
      </c>
      <c r="I77" s="5" t="n">
        <v>64</v>
      </c>
      <c r="J77" s="6" t="n">
        <v>0.6368</v>
      </c>
      <c r="K77" s="6" t="n">
        <v>24.009</v>
      </c>
      <c r="L77" s="12">
        <f>(J77/$L$7)*100</f>
        <v/>
      </c>
      <c r="M77" s="6">
        <f>$L$6/(1-(L77/100))</f>
        <v/>
      </c>
      <c r="N77" s="12">
        <f>K77/M77</f>
        <v/>
      </c>
      <c r="O77" s="12">
        <f>N77+$L$10</f>
        <v/>
      </c>
      <c r="Q77" s="5" t="n">
        <v>64</v>
      </c>
      <c r="R77" s="7" t="n">
        <v>0.634</v>
      </c>
      <c r="S77" s="7" t="n">
        <v>22.18</v>
      </c>
      <c r="T77" s="12">
        <f>(R77/$T$7)*100</f>
        <v/>
      </c>
      <c r="U77" s="6">
        <f>$T$6/(1-(T77/100))</f>
        <v/>
      </c>
      <c r="V77" s="12">
        <f>S77/U77</f>
        <v/>
      </c>
      <c r="W77" s="12">
        <f>V77+$T$10</f>
        <v/>
      </c>
    </row>
    <row r="78">
      <c r="A78" s="5" t="n">
        <v>65</v>
      </c>
      <c r="B78" s="7" t="n">
        <v>0.6339</v>
      </c>
      <c r="C78" s="7" t="n">
        <v>17.492</v>
      </c>
      <c r="D78" s="12">
        <f>(B78/$D$7)*100</f>
        <v/>
      </c>
      <c r="E78" s="6">
        <f>$D$6/(1-(D78/100))</f>
        <v/>
      </c>
      <c r="F78" s="12">
        <f>C78/E78</f>
        <v/>
      </c>
      <c r="G78" s="12">
        <f>F78+$D$10</f>
        <v/>
      </c>
      <c r="I78" s="5" t="n">
        <v>65</v>
      </c>
      <c r="J78" s="6" t="n">
        <v>0.6445000000000001</v>
      </c>
      <c r="K78" s="6" t="n">
        <v>23.912</v>
      </c>
      <c r="L78" s="12">
        <f>(J78/$L$7)*100</f>
        <v/>
      </c>
      <c r="M78" s="6">
        <f>$L$6/(1-(L78/100))</f>
        <v/>
      </c>
      <c r="N78" s="12">
        <f>K78/M78</f>
        <v/>
      </c>
      <c r="O78" s="12">
        <f>N78+$L$10</f>
        <v/>
      </c>
      <c r="Q78" s="5" t="n">
        <v>65</v>
      </c>
      <c r="R78" s="7" t="n">
        <v>0.6446</v>
      </c>
      <c r="S78" s="7" t="n">
        <v>23.002</v>
      </c>
      <c r="T78" s="12">
        <f>(R78/$T$7)*100</f>
        <v/>
      </c>
      <c r="U78" s="6">
        <f>$T$6/(1-(T78/100))</f>
        <v/>
      </c>
      <c r="V78" s="12">
        <f>S78/U78</f>
        <v/>
      </c>
      <c r="W78" s="12">
        <f>V78+$T$10</f>
        <v/>
      </c>
    </row>
    <row r="79">
      <c r="A79" s="5" t="n">
        <v>66</v>
      </c>
      <c r="B79" s="7" t="n">
        <v>0.6422</v>
      </c>
      <c r="C79" s="7" t="n">
        <v>17.854</v>
      </c>
      <c r="D79" s="12">
        <f>(B79/$D$7)*100</f>
        <v/>
      </c>
      <c r="E79" s="6">
        <f>$D$6/(1-(D79/100))</f>
        <v/>
      </c>
      <c r="F79" s="12">
        <f>C79/E79</f>
        <v/>
      </c>
      <c r="G79" s="12">
        <f>F79+$D$10</f>
        <v/>
      </c>
      <c r="I79" s="5" t="n">
        <v>66</v>
      </c>
      <c r="J79" s="6" t="n">
        <v>0.6549</v>
      </c>
      <c r="K79" s="6" t="n">
        <v>23.941</v>
      </c>
      <c r="L79" s="12">
        <f>(J79/$L$7)*100</f>
        <v/>
      </c>
      <c r="M79" s="6">
        <f>$L$6/(1-(L79/100))</f>
        <v/>
      </c>
      <c r="N79" s="12">
        <f>K79/M79</f>
        <v/>
      </c>
      <c r="O79" s="12">
        <f>N79+$L$10</f>
        <v/>
      </c>
      <c r="Q79" s="5" t="n">
        <v>66</v>
      </c>
      <c r="R79" s="7" t="n">
        <v>0.6531</v>
      </c>
      <c r="S79" s="7" t="n">
        <v>23.801</v>
      </c>
      <c r="T79" s="12">
        <f>(R79/$T$7)*100</f>
        <v/>
      </c>
      <c r="U79" s="6">
        <f>$T$6/(1-(T79/100))</f>
        <v/>
      </c>
      <c r="V79" s="12">
        <f>S79/U79</f>
        <v/>
      </c>
      <c r="W79" s="12">
        <f>V79+$T$10</f>
        <v/>
      </c>
    </row>
    <row r="80">
      <c r="A80" s="5" t="n">
        <v>67</v>
      </c>
      <c r="B80" s="7" t="n">
        <v>0.6509</v>
      </c>
      <c r="C80" s="7" t="n">
        <v>18.122</v>
      </c>
      <c r="D80" s="12">
        <f>(B80/$D$7)*100</f>
        <v/>
      </c>
      <c r="E80" s="6">
        <f>$D$6/(1-(D80/100))</f>
        <v/>
      </c>
      <c r="F80" s="12">
        <f>C80/E80</f>
        <v/>
      </c>
      <c r="G80" s="12">
        <f>F80+$D$10</f>
        <v/>
      </c>
      <c r="I80" s="5" t="n">
        <v>67</v>
      </c>
      <c r="J80" s="6" t="n">
        <v>0.6653</v>
      </c>
      <c r="K80" s="6" t="n">
        <v>23.991</v>
      </c>
      <c r="L80" s="12">
        <f>(J80/$L$7)*100</f>
        <v/>
      </c>
      <c r="M80" s="6">
        <f>$L$6/(1-(L80/100))</f>
        <v/>
      </c>
      <c r="N80" s="12">
        <f>K80/M80</f>
        <v/>
      </c>
      <c r="O80" s="12">
        <f>N80+$L$10</f>
        <v/>
      </c>
      <c r="Q80" s="5" t="n">
        <v>67</v>
      </c>
      <c r="R80" s="7" t="n">
        <v>0.6616</v>
      </c>
      <c r="S80" s="7" t="n">
        <v>24.174</v>
      </c>
      <c r="T80" s="12">
        <f>(R80/$T$7)*100</f>
        <v/>
      </c>
      <c r="U80" s="6">
        <f>$T$6/(1-(T80/100))</f>
        <v/>
      </c>
      <c r="V80" s="12">
        <f>S80/U80</f>
        <v/>
      </c>
      <c r="W80" s="12">
        <f>V80+$T$10</f>
        <v/>
      </c>
    </row>
    <row r="81">
      <c r="A81" s="5" t="n">
        <v>68</v>
      </c>
      <c r="B81" s="7" t="n">
        <v>0.6632</v>
      </c>
      <c r="C81" s="7" t="n">
        <v>18.802</v>
      </c>
      <c r="D81" s="12">
        <f>(B81/$D$7)*100</f>
        <v/>
      </c>
      <c r="E81" s="6">
        <f>$D$6/(1-(D81/100))</f>
        <v/>
      </c>
      <c r="F81" s="12">
        <f>C81/E81</f>
        <v/>
      </c>
      <c r="G81" s="12">
        <f>F81+$D$10</f>
        <v/>
      </c>
      <c r="I81" s="5" t="n">
        <v>68</v>
      </c>
      <c r="J81" s="6" t="n">
        <v>0.6759000000000001</v>
      </c>
      <c r="K81" s="6" t="n">
        <v>23.849</v>
      </c>
      <c r="L81" s="12">
        <f>(J81/$L$7)*100</f>
        <v/>
      </c>
      <c r="M81" s="6">
        <f>$L$6/(1-(L81/100))</f>
        <v/>
      </c>
      <c r="N81" s="12">
        <f>K81/M81</f>
        <v/>
      </c>
      <c r="O81" s="12">
        <f>N81+$L$10</f>
        <v/>
      </c>
      <c r="Q81" s="5" t="n">
        <v>68</v>
      </c>
      <c r="R81" s="7" t="n">
        <v>0.6698999999999999</v>
      </c>
      <c r="S81" s="7" t="n">
        <v>24.654</v>
      </c>
      <c r="T81" s="12">
        <f>(R81/$T$7)*100</f>
        <v/>
      </c>
      <c r="U81" s="6">
        <f>$T$6/(1-(T81/100))</f>
        <v/>
      </c>
      <c r="V81" s="12">
        <f>S81/U81</f>
        <v/>
      </c>
      <c r="W81" s="12">
        <f>V81+$T$10</f>
        <v/>
      </c>
    </row>
    <row r="82">
      <c r="A82" s="5" t="n">
        <v>69</v>
      </c>
      <c r="B82" s="7" t="n">
        <v>0.6758</v>
      </c>
      <c r="C82" s="7" t="n">
        <v>19.404</v>
      </c>
      <c r="D82" s="12">
        <f>(B82/$D$7)*100</f>
        <v/>
      </c>
      <c r="E82" s="6">
        <f>$D$6/(1-(D82/100))</f>
        <v/>
      </c>
      <c r="F82" s="12">
        <f>C82/E82</f>
        <v/>
      </c>
      <c r="G82" s="12">
        <f>F82+$D$10</f>
        <v/>
      </c>
      <c r="I82" s="5" t="n">
        <v>69</v>
      </c>
      <c r="J82" s="6" t="n">
        <v>0.6863</v>
      </c>
      <c r="K82" s="6" t="n">
        <v>23.808</v>
      </c>
      <c r="L82" s="12">
        <f>(J82/$L$7)*100</f>
        <v/>
      </c>
      <c r="M82" s="6">
        <f>$L$6/(1-(L82/100))</f>
        <v/>
      </c>
      <c r="N82" s="12">
        <f>K82/M82</f>
        <v/>
      </c>
      <c r="O82" s="12">
        <f>N82+$L$10</f>
        <v/>
      </c>
      <c r="Q82" s="5" t="n">
        <v>69</v>
      </c>
      <c r="R82" s="7" t="n">
        <v>0.6804</v>
      </c>
      <c r="S82" s="7" t="n">
        <v>24.971</v>
      </c>
      <c r="T82" s="12">
        <f>(R82/$T$7)*100</f>
        <v/>
      </c>
      <c r="U82" s="6">
        <f>$T$6/(1-(T82/100))</f>
        <v/>
      </c>
      <c r="V82" s="12">
        <f>S82/U82</f>
        <v/>
      </c>
      <c r="W82" s="12">
        <f>V82+$T$10</f>
        <v/>
      </c>
    </row>
    <row r="83">
      <c r="A83" s="5" t="n">
        <v>70</v>
      </c>
      <c r="B83" s="7" t="n">
        <v>0.6844</v>
      </c>
      <c r="C83" s="7" t="n">
        <v>20.233</v>
      </c>
      <c r="D83" s="12">
        <f>(B83/$D$7)*100</f>
        <v/>
      </c>
      <c r="E83" s="6">
        <f>$D$6/(1-(D83/100))</f>
        <v/>
      </c>
      <c r="F83" s="12">
        <f>C83/E83</f>
        <v/>
      </c>
      <c r="G83" s="12">
        <f>F83+$D$10</f>
        <v/>
      </c>
      <c r="I83" s="5" t="n">
        <v>70</v>
      </c>
      <c r="J83" s="6" t="n">
        <v>0.6945</v>
      </c>
      <c r="K83" s="6" t="n">
        <v>23.958</v>
      </c>
      <c r="L83" s="12">
        <f>(J83/$L$7)*100</f>
        <v/>
      </c>
      <c r="M83" s="6">
        <f>$L$6/(1-(L83/100))</f>
        <v/>
      </c>
      <c r="N83" s="12">
        <f>K83/M83</f>
        <v/>
      </c>
      <c r="O83" s="12">
        <f>N83+$L$10</f>
        <v/>
      </c>
      <c r="Q83" s="5" t="n">
        <v>70</v>
      </c>
      <c r="R83" s="7" t="n">
        <v>0.6948000000000001</v>
      </c>
      <c r="S83" s="7" t="n">
        <v>25.304</v>
      </c>
      <c r="T83" s="12">
        <f>(R83/$T$7)*100</f>
        <v/>
      </c>
      <c r="U83" s="6">
        <f>$T$6/(1-(T83/100))</f>
        <v/>
      </c>
      <c r="V83" s="12">
        <f>S83/U83</f>
        <v/>
      </c>
      <c r="W83" s="12">
        <f>V83+$T$10</f>
        <v/>
      </c>
    </row>
    <row r="84">
      <c r="A84" s="5" t="n">
        <v>71</v>
      </c>
      <c r="B84" s="7" t="n">
        <v>0.6929999999999999</v>
      </c>
      <c r="C84" s="7" t="n">
        <v>20.642</v>
      </c>
      <c r="D84" s="12">
        <f>(B84/$D$7)*100</f>
        <v/>
      </c>
      <c r="E84" s="6">
        <f>$D$6/(1-(D84/100))</f>
        <v/>
      </c>
      <c r="F84" s="12">
        <f>C84/E84</f>
        <v/>
      </c>
      <c r="G84" s="12">
        <f>F84+$D$10</f>
        <v/>
      </c>
      <c r="I84" s="5" t="n">
        <v>71</v>
      </c>
      <c r="J84" s="6" t="n">
        <v>0.7028</v>
      </c>
      <c r="K84" s="6" t="n">
        <v>24.016</v>
      </c>
      <c r="L84" s="12">
        <f>(J84/$L$7)*100</f>
        <v/>
      </c>
      <c r="M84" s="6">
        <f>$L$6/(1-(L84/100))</f>
        <v/>
      </c>
      <c r="N84" s="12">
        <f>K84/M84</f>
        <v/>
      </c>
      <c r="O84" s="12">
        <f>N84+$L$10</f>
        <v/>
      </c>
      <c r="Q84" s="5" t="n">
        <v>71</v>
      </c>
      <c r="R84" s="7" t="n">
        <v>0.7032</v>
      </c>
      <c r="S84" s="7" t="n">
        <v>25.29</v>
      </c>
      <c r="T84" s="12">
        <f>(R84/$T$7)*100</f>
        <v/>
      </c>
      <c r="U84" s="6">
        <f>$T$6/(1-(T84/100))</f>
        <v/>
      </c>
      <c r="V84" s="12">
        <f>S84/U84</f>
        <v/>
      </c>
      <c r="W84" s="12">
        <f>V84+$T$10</f>
        <v/>
      </c>
    </row>
    <row r="85">
      <c r="A85" s="5" t="n">
        <v>72</v>
      </c>
      <c r="B85" s="7" t="n">
        <v>0.7033</v>
      </c>
      <c r="C85" s="7" t="n">
        <v>21.359</v>
      </c>
      <c r="D85" s="12">
        <f>(B85/$D$7)*100</f>
        <v/>
      </c>
      <c r="E85" s="6">
        <f>$D$6/(1-(D85/100))</f>
        <v/>
      </c>
      <c r="F85" s="12">
        <f>C85/E85</f>
        <v/>
      </c>
      <c r="G85" s="12">
        <f>F85+$D$10</f>
        <v/>
      </c>
      <c r="I85" s="5" t="n">
        <v>72</v>
      </c>
      <c r="J85" s="6" t="n">
        <v>0.7113</v>
      </c>
      <c r="K85" s="6" t="n">
        <v>23.975</v>
      </c>
      <c r="L85" s="12">
        <f>(J85/$L$7)*100</f>
        <v/>
      </c>
      <c r="M85" s="6">
        <f>$L$6/(1-(L85/100))</f>
        <v/>
      </c>
      <c r="N85" s="12">
        <f>K85/M85</f>
        <v/>
      </c>
      <c r="O85" s="12">
        <f>N85+$L$10</f>
        <v/>
      </c>
      <c r="Q85" s="5" t="n">
        <v>72</v>
      </c>
      <c r="R85" s="7" t="n">
        <v>0.7156</v>
      </c>
      <c r="S85" s="7" t="n">
        <v>25.334</v>
      </c>
      <c r="T85" s="12">
        <f>(R85/$T$7)*100</f>
        <v/>
      </c>
      <c r="U85" s="6">
        <f>$T$6/(1-(T85/100))</f>
        <v/>
      </c>
      <c r="V85" s="12">
        <f>S85/U85</f>
        <v/>
      </c>
      <c r="W85" s="12">
        <f>V85+$T$10</f>
        <v/>
      </c>
    </row>
    <row r="86">
      <c r="A86" s="5" t="n">
        <v>73</v>
      </c>
      <c r="B86" s="7" t="n">
        <v>0.7138</v>
      </c>
      <c r="C86" s="7" t="n">
        <v>21.423</v>
      </c>
      <c r="D86" s="12">
        <f>(B86/$D$7)*100</f>
        <v/>
      </c>
      <c r="E86" s="6">
        <f>$D$6/(1-(D86/100))</f>
        <v/>
      </c>
      <c r="F86" s="12">
        <f>C86/E86</f>
        <v/>
      </c>
      <c r="G86" s="12">
        <f>F86+$D$10</f>
        <v/>
      </c>
      <c r="I86" s="5" t="n">
        <v>73</v>
      </c>
      <c r="J86" s="6" t="n">
        <v>0.7236</v>
      </c>
      <c r="K86" s="6" t="n">
        <v>24.035</v>
      </c>
      <c r="L86" s="12">
        <f>(J86/$L$7)*100</f>
        <v/>
      </c>
      <c r="M86" s="6">
        <f>$L$6/(1-(L86/100))</f>
        <v/>
      </c>
      <c r="N86" s="12">
        <f>K86/M86</f>
        <v/>
      </c>
      <c r="O86" s="12">
        <f>N86+$L$10</f>
        <v/>
      </c>
      <c r="Q86" s="5" t="n">
        <v>73</v>
      </c>
      <c r="R86" s="7" t="n">
        <v>0.7217</v>
      </c>
      <c r="S86" s="7" t="n">
        <v>25.294</v>
      </c>
      <c r="T86" s="12">
        <f>(R86/$T$7)*100</f>
        <v/>
      </c>
      <c r="U86" s="6">
        <f>$T$6/(1-(T86/100))</f>
        <v/>
      </c>
      <c r="V86" s="12">
        <f>S86/U86</f>
        <v/>
      </c>
      <c r="W86" s="12">
        <f>V86+$T$10</f>
        <v/>
      </c>
    </row>
    <row r="87">
      <c r="A87" s="5" t="n">
        <v>74</v>
      </c>
      <c r="B87" s="7" t="n">
        <v>0.7285999999999999</v>
      </c>
      <c r="C87" s="7" t="n">
        <v>21.877</v>
      </c>
      <c r="D87" s="12">
        <f>(B87/$D$7)*100</f>
        <v/>
      </c>
      <c r="E87" s="6">
        <f>$D$6/(1-(D87/100))</f>
        <v/>
      </c>
      <c r="F87" s="12">
        <f>C87/E87</f>
        <v/>
      </c>
      <c r="G87" s="12">
        <f>F87+$D$10</f>
        <v/>
      </c>
      <c r="I87" s="5" t="n">
        <v>74</v>
      </c>
      <c r="J87" s="6" t="n">
        <v>0.7323000000000001</v>
      </c>
      <c r="K87" s="6" t="n">
        <v>23.864</v>
      </c>
      <c r="L87" s="12">
        <f>(J87/$L$7)*100</f>
        <v/>
      </c>
      <c r="M87" s="6">
        <f>$L$6/(1-(L87/100))</f>
        <v/>
      </c>
      <c r="N87" s="12">
        <f>K87/M87</f>
        <v/>
      </c>
      <c r="O87" s="12">
        <f>N87+$L$10</f>
        <v/>
      </c>
      <c r="Q87" s="5" t="n">
        <v>74</v>
      </c>
      <c r="R87" s="7" t="n">
        <v>0.73</v>
      </c>
      <c r="S87" s="7" t="n">
        <v>25.43</v>
      </c>
      <c r="T87" s="12">
        <f>(R87/$T$7)*100</f>
        <v/>
      </c>
      <c r="U87" s="6">
        <f>$T$6/(1-(T87/100))</f>
        <v/>
      </c>
      <c r="V87" s="12">
        <f>S87/U87</f>
        <v/>
      </c>
      <c r="W87" s="12">
        <f>V87+$T$10</f>
        <v/>
      </c>
    </row>
    <row r="88">
      <c r="A88" s="5" t="n">
        <v>75</v>
      </c>
      <c r="B88" s="7" t="n">
        <v>0.7386999999999999</v>
      </c>
      <c r="C88" s="7" t="n">
        <v>21.87</v>
      </c>
      <c r="D88" s="12">
        <f>(B88/$D$7)*100</f>
        <v/>
      </c>
      <c r="E88" s="6">
        <f>$D$6/(1-(D88/100))</f>
        <v/>
      </c>
      <c r="F88" s="12">
        <f>C88/E88</f>
        <v/>
      </c>
      <c r="G88" s="12">
        <f>F88+$D$10</f>
        <v/>
      </c>
      <c r="I88" s="5" t="n">
        <v>75</v>
      </c>
      <c r="J88" s="6" t="n">
        <v>0.7384000000000001</v>
      </c>
      <c r="K88" s="6" t="n">
        <v>24.251</v>
      </c>
      <c r="L88" s="12">
        <f>(J88/$L$7)*100</f>
        <v/>
      </c>
      <c r="M88" s="6">
        <f>$L$6/(1-(L88/100))</f>
        <v/>
      </c>
      <c r="N88" s="12">
        <f>K88/M88</f>
        <v/>
      </c>
      <c r="O88" s="12">
        <f>N88+$L$10</f>
        <v/>
      </c>
      <c r="Q88" s="5" t="n">
        <v>75</v>
      </c>
      <c r="R88" s="7" t="n">
        <v>0.7405999999999999</v>
      </c>
      <c r="S88" s="7" t="n">
        <v>25.693</v>
      </c>
      <c r="T88" s="12">
        <f>(R88/$T$7)*100</f>
        <v/>
      </c>
      <c r="U88" s="6">
        <f>$T$6/(1-(T88/100))</f>
        <v/>
      </c>
      <c r="V88" s="12">
        <f>S88/U88</f>
        <v/>
      </c>
      <c r="W88" s="12">
        <f>V88+$T$10</f>
        <v/>
      </c>
    </row>
    <row r="89">
      <c r="A89" s="5" t="n">
        <v>76</v>
      </c>
      <c r="B89" s="7" t="n">
        <v>0.7469</v>
      </c>
      <c r="C89" s="7" t="n">
        <v>21.963</v>
      </c>
      <c r="D89" s="12">
        <f>(B89/$D$7)*100</f>
        <v/>
      </c>
      <c r="E89" s="6">
        <f>$D$6/(1-(D89/100))</f>
        <v/>
      </c>
      <c r="F89" s="12">
        <f>C89/E89</f>
        <v/>
      </c>
      <c r="G89" s="12">
        <f>F89+$D$10</f>
        <v/>
      </c>
      <c r="I89" s="5" t="n">
        <v>76</v>
      </c>
      <c r="J89" s="6" t="n">
        <v>0.7485999999999999</v>
      </c>
      <c r="K89" s="6" t="n">
        <v>24.293</v>
      </c>
      <c r="L89" s="12">
        <f>(J89/$L$7)*100</f>
        <v/>
      </c>
      <c r="M89" s="6">
        <f>$L$6/(1-(L89/100))</f>
        <v/>
      </c>
      <c r="N89" s="12">
        <f>K89/M89</f>
        <v/>
      </c>
      <c r="O89" s="12">
        <f>N89+$L$10</f>
        <v/>
      </c>
      <c r="Q89" s="5" t="n">
        <v>76</v>
      </c>
      <c r="R89" s="7" t="n">
        <v>0.7514000000000001</v>
      </c>
      <c r="S89" s="7" t="n">
        <v>25.868</v>
      </c>
      <c r="T89" s="12">
        <f>(R89/$T$7)*100</f>
        <v/>
      </c>
      <c r="U89" s="6">
        <f>$T$6/(1-(T89/100))</f>
        <v/>
      </c>
      <c r="V89" s="12">
        <f>S89/U89</f>
        <v/>
      </c>
      <c r="W89" s="12">
        <f>V89+$T$10</f>
        <v/>
      </c>
    </row>
    <row r="90">
      <c r="A90" s="5" t="n">
        <v>77</v>
      </c>
      <c r="B90" s="7" t="n">
        <v>0.7575000000000001</v>
      </c>
      <c r="C90" s="7" t="n">
        <v>22.056</v>
      </c>
      <c r="D90" s="12">
        <f>(B90/$D$7)*100</f>
        <v/>
      </c>
      <c r="E90" s="6">
        <f>$D$6/(1-(D90/100))</f>
        <v/>
      </c>
      <c r="F90" s="12">
        <f>C90/E90</f>
        <v/>
      </c>
      <c r="G90" s="12">
        <f>F90+$D$10</f>
        <v/>
      </c>
      <c r="I90" s="5" t="n">
        <v>77</v>
      </c>
      <c r="J90" s="6" t="n">
        <v>0.7592</v>
      </c>
      <c r="K90" s="6" t="n">
        <v>24.252</v>
      </c>
      <c r="L90" s="12">
        <f>(J90/$L$7)*100</f>
        <v/>
      </c>
      <c r="M90" s="6">
        <f>$L$6/(1-(L90/100))</f>
        <v/>
      </c>
      <c r="N90" s="12">
        <f>K90/M90</f>
        <v/>
      </c>
      <c r="O90" s="12">
        <f>N90+$L$10</f>
        <v/>
      </c>
      <c r="Q90" s="5" t="n">
        <v>77</v>
      </c>
      <c r="R90" s="7" t="n">
        <v>0.7578</v>
      </c>
      <c r="S90" s="7" t="n">
        <v>26.085</v>
      </c>
      <c r="T90" s="12">
        <f>(R90/$T$7)*100</f>
        <v/>
      </c>
      <c r="U90" s="6">
        <f>$T$6/(1-(T90/100))</f>
        <v/>
      </c>
      <c r="V90" s="12">
        <f>S90/U90</f>
        <v/>
      </c>
      <c r="W90" s="12">
        <f>V90+$T$10</f>
        <v/>
      </c>
    </row>
    <row r="91">
      <c r="A91" s="5" t="n">
        <v>78</v>
      </c>
      <c r="B91" s="7" t="n">
        <v>0.7683</v>
      </c>
      <c r="C91" s="7" t="n">
        <v>22.197</v>
      </c>
      <c r="D91" s="12">
        <f>(B91/$D$7)*100</f>
        <v/>
      </c>
      <c r="E91" s="6">
        <f>$D$6/(1-(D91/100))</f>
        <v/>
      </c>
      <c r="F91" s="12">
        <f>C91/E91</f>
        <v/>
      </c>
      <c r="G91" s="12">
        <f>F91+$D$10</f>
        <v/>
      </c>
      <c r="I91" s="5" t="n">
        <v>78</v>
      </c>
      <c r="J91" s="6" t="n">
        <v>0.7676000000000001</v>
      </c>
      <c r="K91" s="6" t="n">
        <v>24.275</v>
      </c>
      <c r="L91" s="12">
        <f>(J91/$L$7)*100</f>
        <v/>
      </c>
      <c r="M91" s="6">
        <f>$L$6/(1-(L91/100))</f>
        <v/>
      </c>
      <c r="N91" s="12">
        <f>K91/M91</f>
        <v/>
      </c>
      <c r="O91" s="12">
        <f>N91+$L$10</f>
        <v/>
      </c>
      <c r="Q91" s="5" t="n">
        <v>78</v>
      </c>
      <c r="R91" s="7" t="n">
        <v>0.7678</v>
      </c>
      <c r="S91" s="7" t="n">
        <v>26.263</v>
      </c>
      <c r="T91" s="12">
        <f>(R91/$T$7)*100</f>
        <v/>
      </c>
      <c r="U91" s="6">
        <f>$T$6/(1-(T91/100))</f>
        <v/>
      </c>
      <c r="V91" s="12">
        <f>S91/U91</f>
        <v/>
      </c>
      <c r="W91" s="12">
        <f>V91+$T$10</f>
        <v/>
      </c>
    </row>
    <row r="92">
      <c r="A92" s="5" t="n">
        <v>79</v>
      </c>
      <c r="B92" s="7" t="n">
        <v>0.7804</v>
      </c>
      <c r="C92" s="7" t="n">
        <v>22.452</v>
      </c>
      <c r="D92" s="12">
        <f>(B92/$D$7)*100</f>
        <v/>
      </c>
      <c r="E92" s="6">
        <f>$D$6/(1-(D92/100))</f>
        <v/>
      </c>
      <c r="F92" s="12">
        <f>C92/E92</f>
        <v/>
      </c>
      <c r="G92" s="12">
        <f>F92+$D$10</f>
        <v/>
      </c>
      <c r="I92" s="5" t="n">
        <v>79</v>
      </c>
      <c r="J92" s="6" t="n">
        <v>0.7781</v>
      </c>
      <c r="K92" s="6" t="n">
        <v>24.392</v>
      </c>
      <c r="L92" s="12">
        <f>(J92/$L$7)*100</f>
        <v/>
      </c>
      <c r="M92" s="6">
        <f>$L$6/(1-(L92/100))</f>
        <v/>
      </c>
      <c r="N92" s="12">
        <f>K92/M92</f>
        <v/>
      </c>
      <c r="O92" s="12">
        <f>N92+$L$10</f>
        <v/>
      </c>
      <c r="Q92" s="5" t="n">
        <v>79</v>
      </c>
      <c r="R92" s="7" t="n">
        <v>0.7761</v>
      </c>
      <c r="S92" s="7" t="n">
        <v>26.294</v>
      </c>
      <c r="T92" s="12">
        <f>(R92/$T$7)*100</f>
        <v/>
      </c>
      <c r="U92" s="6">
        <f>$T$6/(1-(T92/100))</f>
        <v/>
      </c>
      <c r="V92" s="12">
        <f>S92/U92</f>
        <v/>
      </c>
      <c r="W92" s="12">
        <f>V92+$T$10</f>
        <v/>
      </c>
    </row>
    <row r="93">
      <c r="A93" s="5" t="n">
        <v>80</v>
      </c>
      <c r="B93" s="7" t="n">
        <v>0.7929</v>
      </c>
      <c r="C93" s="7" t="n">
        <v>22.561</v>
      </c>
      <c r="D93" s="12">
        <f>(B93/$D$7)*100</f>
        <v/>
      </c>
      <c r="E93" s="6">
        <f>$D$6/(1-(D93/100))</f>
        <v/>
      </c>
      <c r="F93" s="12">
        <f>C93/E93</f>
        <v/>
      </c>
      <c r="G93" s="12">
        <f>F93+$D$10</f>
        <v/>
      </c>
      <c r="I93" s="5" t="n">
        <v>80</v>
      </c>
      <c r="J93" s="6" t="n">
        <v>0.7887</v>
      </c>
      <c r="K93" s="6" t="n">
        <v>23.996</v>
      </c>
      <c r="L93" s="12">
        <f>(J93/$L$7)*100</f>
        <v/>
      </c>
      <c r="M93" s="6">
        <f>$L$6/(1-(L93/100))</f>
        <v/>
      </c>
      <c r="N93" s="12">
        <f>K93/M93</f>
        <v/>
      </c>
      <c r="O93" s="12">
        <f>N93+$L$10</f>
        <v/>
      </c>
      <c r="Q93" s="5" t="n">
        <v>80</v>
      </c>
      <c r="R93" s="7" t="n">
        <v>0.7864</v>
      </c>
      <c r="S93" s="7" t="n">
        <v>26.412</v>
      </c>
      <c r="T93" s="12">
        <f>(R93/$T$7)*100</f>
        <v/>
      </c>
      <c r="U93" s="6">
        <f>$T$6/(1-(T93/100))</f>
        <v/>
      </c>
      <c r="V93" s="12">
        <f>S93/U93</f>
        <v/>
      </c>
      <c r="W93" s="12">
        <f>V93+$T$10</f>
        <v/>
      </c>
    </row>
    <row r="94">
      <c r="A94" s="5" t="n">
        <v>81</v>
      </c>
      <c r="B94" s="7" t="n">
        <v>0.8034000000000001</v>
      </c>
      <c r="C94" s="7" t="n">
        <v>22.592</v>
      </c>
      <c r="D94" s="12">
        <f>(B94/$D$7)*100</f>
        <v/>
      </c>
      <c r="E94" s="6">
        <f>$D$6/(1-(D94/100))</f>
        <v/>
      </c>
      <c r="F94" s="12">
        <f>C94/E94</f>
        <v/>
      </c>
      <c r="G94" s="12">
        <f>F94+$D$10</f>
        <v/>
      </c>
      <c r="I94" s="5" t="n">
        <v>81</v>
      </c>
      <c r="J94" s="6" t="n">
        <v>0.7992</v>
      </c>
      <c r="K94" s="6" t="n">
        <v>23.796</v>
      </c>
      <c r="L94" s="12">
        <f>(J94/$L$7)*100</f>
        <v/>
      </c>
      <c r="M94" s="6">
        <f>$L$6/(1-(L94/100))</f>
        <v/>
      </c>
      <c r="N94" s="12">
        <f>K94/M94</f>
        <v/>
      </c>
      <c r="O94" s="12">
        <f>N94+$L$10</f>
        <v/>
      </c>
      <c r="Q94" s="5" t="n">
        <v>81</v>
      </c>
      <c r="R94" s="7" t="n">
        <v>0.7969999999999999</v>
      </c>
      <c r="S94" s="7" t="n">
        <v>26.444</v>
      </c>
      <c r="T94" s="12">
        <f>(R94/$T$7)*100</f>
        <v/>
      </c>
      <c r="U94" s="6">
        <f>$T$6/(1-(T94/100))</f>
        <v/>
      </c>
      <c r="V94" s="12">
        <f>S94/U94</f>
        <v/>
      </c>
      <c r="W94" s="12">
        <f>V94+$T$10</f>
        <v/>
      </c>
    </row>
    <row r="95">
      <c r="A95" s="5" t="n">
        <v>82</v>
      </c>
      <c r="B95" s="7" t="n">
        <v>0.8118000000000001</v>
      </c>
      <c r="C95" s="7" t="n">
        <v>22.611</v>
      </c>
      <c r="D95" s="12">
        <f>(B95/$D$7)*100</f>
        <v/>
      </c>
      <c r="E95" s="6">
        <f>$D$6/(1-(D95/100))</f>
        <v/>
      </c>
      <c r="F95" s="12">
        <f>C95/E95</f>
        <v/>
      </c>
      <c r="G95" s="12">
        <f>F95+$D$10</f>
        <v/>
      </c>
      <c r="I95" s="5" t="n">
        <v>82</v>
      </c>
      <c r="J95" s="6" t="n">
        <v>0.8079000000000001</v>
      </c>
      <c r="K95" s="6" t="n">
        <v>23.675</v>
      </c>
      <c r="L95" s="12">
        <f>(J95/$L$7)*100</f>
        <v/>
      </c>
      <c r="M95" s="6">
        <f>$L$6/(1-(L95/100))</f>
        <v/>
      </c>
      <c r="N95" s="12">
        <f>K95/M95</f>
        <v/>
      </c>
      <c r="O95" s="12">
        <f>N95+$L$10</f>
        <v/>
      </c>
      <c r="Q95" s="5" t="n">
        <v>82</v>
      </c>
      <c r="R95" s="7" t="n">
        <v>0.8074999999999999</v>
      </c>
      <c r="S95" s="7" t="n">
        <v>26.436</v>
      </c>
      <c r="T95" s="12">
        <f>(R95/$T$7)*100</f>
        <v/>
      </c>
      <c r="U95" s="6">
        <f>$T$6/(1-(T95/100))</f>
        <v/>
      </c>
      <c r="V95" s="12">
        <f>S95/U95</f>
        <v/>
      </c>
      <c r="W95" s="12">
        <f>V95+$T$10</f>
        <v/>
      </c>
    </row>
    <row r="96">
      <c r="A96" s="5" t="n">
        <v>83</v>
      </c>
      <c r="B96" s="7" t="n">
        <v>0.8246</v>
      </c>
      <c r="C96" s="7" t="n">
        <v>22.664</v>
      </c>
      <c r="D96" s="12">
        <f>(B96/$D$7)*100</f>
        <v/>
      </c>
      <c r="E96" s="6">
        <f>$D$6/(1-(D96/100))</f>
        <v/>
      </c>
      <c r="F96" s="12">
        <f>C96/E96</f>
        <v/>
      </c>
      <c r="G96" s="12">
        <f>F96+$D$10</f>
        <v/>
      </c>
      <c r="I96" s="5" t="n">
        <v>83</v>
      </c>
      <c r="J96" s="6" t="n">
        <v>0.8179999999999999</v>
      </c>
      <c r="K96" s="6" t="n">
        <v>23.324</v>
      </c>
      <c r="L96" s="12">
        <f>(J96/$L$7)*100</f>
        <v/>
      </c>
      <c r="M96" s="6">
        <f>$L$6/(1-(L96/100))</f>
        <v/>
      </c>
      <c r="N96" s="12">
        <f>K96/M96</f>
        <v/>
      </c>
      <c r="O96" s="12">
        <f>N96+$L$10</f>
        <v/>
      </c>
      <c r="Q96" s="5" t="n">
        <v>83</v>
      </c>
      <c r="R96" s="7" t="n">
        <v>0.8175000000000001</v>
      </c>
      <c r="S96" s="7" t="n">
        <v>26.519</v>
      </c>
      <c r="T96" s="12">
        <f>(R96/$T$7)*100</f>
        <v/>
      </c>
      <c r="U96" s="6">
        <f>$T$6/(1-(T96/100))</f>
        <v/>
      </c>
      <c r="V96" s="12">
        <f>S96/U96</f>
        <v/>
      </c>
      <c r="W96" s="12">
        <f>V96+$T$10</f>
        <v/>
      </c>
    </row>
    <row r="97">
      <c r="A97" s="5" t="n">
        <v>84</v>
      </c>
      <c r="B97" s="7" t="n">
        <v>0.833</v>
      </c>
      <c r="C97" s="7" t="n">
        <v>22.643</v>
      </c>
      <c r="D97" s="12">
        <f>(B97/$D$7)*100</f>
        <v/>
      </c>
      <c r="E97" s="6">
        <f>$D$6/(1-(D97/100))</f>
        <v/>
      </c>
      <c r="F97" s="12">
        <f>C97/E97</f>
        <v/>
      </c>
      <c r="G97" s="12">
        <f>F97+$D$10</f>
        <v/>
      </c>
      <c r="I97" s="5" t="n">
        <v>84</v>
      </c>
      <c r="J97" s="6" t="n">
        <v>0.8263</v>
      </c>
      <c r="K97" s="6" t="n">
        <v>23.056</v>
      </c>
      <c r="L97" s="12">
        <f>(J97/$L$7)*100</f>
        <v/>
      </c>
      <c r="M97" s="6">
        <f>$L$6/(1-(L97/100))</f>
        <v/>
      </c>
      <c r="N97" s="12">
        <f>K97/M97</f>
        <v/>
      </c>
      <c r="O97" s="12">
        <f>N97+$L$10</f>
        <v/>
      </c>
      <c r="Q97" s="5" t="n">
        <v>84</v>
      </c>
      <c r="R97" s="7" t="n">
        <v>0.8275</v>
      </c>
      <c r="S97" s="7" t="n">
        <v>26.456</v>
      </c>
      <c r="T97" s="12">
        <f>(R97/$T$7)*100</f>
        <v/>
      </c>
      <c r="U97" s="6">
        <f>$T$6/(1-(T97/100))</f>
        <v/>
      </c>
      <c r="V97" s="12">
        <f>S97/U97</f>
        <v/>
      </c>
      <c r="W97" s="12">
        <f>V97+$T$10</f>
        <v/>
      </c>
    </row>
    <row r="98">
      <c r="A98" s="5" t="n">
        <v>85</v>
      </c>
      <c r="B98" s="7" t="n">
        <v>0.8412000000000001</v>
      </c>
      <c r="C98" s="7" t="n">
        <v>22.583</v>
      </c>
      <c r="D98" s="12">
        <f>(B98/$D$7)*100</f>
        <v/>
      </c>
      <c r="E98" s="6">
        <f>$D$6/(1-(D98/100))</f>
        <v/>
      </c>
      <c r="F98" s="12">
        <f>C98/E98</f>
        <v/>
      </c>
      <c r="G98" s="12">
        <f>F98+$D$10</f>
        <v/>
      </c>
      <c r="I98" s="5" t="n">
        <v>85</v>
      </c>
      <c r="J98" s="6" t="n">
        <v>0.8385999999999999</v>
      </c>
      <c r="K98" s="6" t="n">
        <v>23.04</v>
      </c>
      <c r="L98" s="12">
        <f>(J98/$L$7)*100</f>
        <v/>
      </c>
      <c r="M98" s="6">
        <f>$L$6/(1-(L98/100))</f>
        <v/>
      </c>
      <c r="N98" s="12">
        <f>K98/M98</f>
        <v/>
      </c>
      <c r="O98" s="12">
        <f>N98+$L$10</f>
        <v/>
      </c>
      <c r="Q98" s="5" t="n">
        <v>85</v>
      </c>
      <c r="R98" s="7" t="n">
        <v>0.836</v>
      </c>
      <c r="S98" s="7" t="n">
        <v>26.327</v>
      </c>
      <c r="T98" s="12">
        <f>(R98/$T$7)*100</f>
        <v/>
      </c>
      <c r="U98" s="6">
        <f>$T$6/(1-(T98/100))</f>
        <v/>
      </c>
      <c r="V98" s="12">
        <f>S98/U98</f>
        <v/>
      </c>
      <c r="W98" s="12">
        <f>V98+$T$10</f>
        <v/>
      </c>
    </row>
    <row r="99">
      <c r="A99" s="5" t="n">
        <v>86</v>
      </c>
      <c r="B99" s="7" t="n">
        <v>0.8493000000000001</v>
      </c>
      <c r="C99" s="7" t="n">
        <v>22.636</v>
      </c>
      <c r="D99" s="12">
        <f>(B99/$D$7)*100</f>
        <v/>
      </c>
      <c r="E99" s="6">
        <f>$D$6/(1-(D99/100))</f>
        <v/>
      </c>
      <c r="F99" s="12">
        <f>C99/E99</f>
        <v/>
      </c>
      <c r="G99" s="12">
        <f>F99+$D$10</f>
        <v/>
      </c>
      <c r="I99" s="5" t="n">
        <v>86</v>
      </c>
      <c r="J99" s="6" t="n">
        <v>0.851</v>
      </c>
      <c r="K99" s="6" t="n">
        <v>22.837</v>
      </c>
      <c r="L99" s="12">
        <f>(J99/$L$7)*100</f>
        <v/>
      </c>
      <c r="M99" s="6">
        <f>$L$6/(1-(L99/100))</f>
        <v/>
      </c>
      <c r="N99" s="12">
        <f>K99/M99</f>
        <v/>
      </c>
      <c r="O99" s="12">
        <f>N99+$L$10</f>
        <v/>
      </c>
      <c r="Q99" s="5" t="n">
        <v>86</v>
      </c>
      <c r="R99" s="7" t="n">
        <v>0.8483000000000001</v>
      </c>
      <c r="S99" s="7" t="n">
        <v>26.246</v>
      </c>
      <c r="T99" s="12">
        <f>(R99/$T$7)*100</f>
        <v/>
      </c>
      <c r="U99" s="6">
        <f>$T$6/(1-(T99/100))</f>
        <v/>
      </c>
      <c r="V99" s="12">
        <f>S99/U99</f>
        <v/>
      </c>
      <c r="W99" s="12">
        <f>V99+$T$10</f>
        <v/>
      </c>
    </row>
    <row r="100">
      <c r="A100" s="5" t="n">
        <v>87</v>
      </c>
      <c r="B100" s="7" t="n">
        <v>0.8599</v>
      </c>
      <c r="C100" s="7" t="n">
        <v>22.6</v>
      </c>
      <c r="D100" s="12">
        <f>(B100/$D$7)*100</f>
        <v/>
      </c>
      <c r="E100" s="6">
        <f>$D$6/(1-(D100/100))</f>
        <v/>
      </c>
      <c r="F100" s="12">
        <f>C100/E100</f>
        <v/>
      </c>
      <c r="G100" s="12">
        <f>F100+$D$10</f>
        <v/>
      </c>
      <c r="I100" s="5" t="n">
        <v>87</v>
      </c>
      <c r="J100" s="6" t="n">
        <v>0.8591</v>
      </c>
      <c r="K100" s="6" t="n">
        <v>22.837</v>
      </c>
      <c r="L100" s="12">
        <f>(J100/$L$7)*100</f>
        <v/>
      </c>
      <c r="M100" s="6">
        <f>$L$6/(1-(L100/100))</f>
        <v/>
      </c>
      <c r="N100" s="12">
        <f>K100/M100</f>
        <v/>
      </c>
      <c r="O100" s="12">
        <f>N100+$L$10</f>
        <v/>
      </c>
      <c r="Q100" s="5" t="n">
        <v>87</v>
      </c>
      <c r="R100" s="7" t="n">
        <v>0.8544</v>
      </c>
      <c r="S100" s="7" t="n">
        <v>26.263</v>
      </c>
      <c r="T100" s="12">
        <f>(R100/$T$7)*100</f>
        <v/>
      </c>
      <c r="U100" s="6">
        <f>$T$6/(1-(T100/100))</f>
        <v/>
      </c>
      <c r="V100" s="12">
        <f>S100/U100</f>
        <v/>
      </c>
      <c r="W100" s="12">
        <f>V100+$T$10</f>
        <v/>
      </c>
    </row>
    <row r="101">
      <c r="A101" s="5" t="n">
        <v>88</v>
      </c>
      <c r="B101" s="7" t="n">
        <v>0.8683</v>
      </c>
      <c r="C101" s="7" t="n">
        <v>22.775</v>
      </c>
      <c r="D101" s="12">
        <f>(B101/$D$7)*100</f>
        <v/>
      </c>
      <c r="E101" s="6">
        <f>$D$6/(1-(D101/100))</f>
        <v/>
      </c>
      <c r="F101" s="12">
        <f>C101/E101</f>
        <v/>
      </c>
      <c r="G101" s="12">
        <f>F101+$D$10</f>
        <v/>
      </c>
      <c r="I101" s="5" t="n">
        <v>88</v>
      </c>
      <c r="J101" s="6" t="n">
        <v>0.8676999999999999</v>
      </c>
      <c r="K101" s="6" t="n">
        <v>22.456</v>
      </c>
      <c r="L101" s="12">
        <f>(J101/$L$7)*100</f>
        <v/>
      </c>
      <c r="M101" s="6">
        <f>$L$6/(1-(L101/100))</f>
        <v/>
      </c>
      <c r="N101" s="12">
        <f>K101/M101</f>
        <v/>
      </c>
      <c r="O101" s="12">
        <f>N101+$L$10</f>
        <v/>
      </c>
      <c r="Q101" s="5" t="n">
        <v>88</v>
      </c>
      <c r="R101" s="7" t="n">
        <v>0.8628</v>
      </c>
      <c r="S101" s="7" t="n">
        <v>26.449</v>
      </c>
      <c r="T101" s="12">
        <f>(R101/$T$7)*100</f>
        <v/>
      </c>
      <c r="U101" s="6">
        <f>$T$6/(1-(T101/100))</f>
        <v/>
      </c>
      <c r="V101" s="12">
        <f>S101/U101</f>
        <v/>
      </c>
      <c r="W101" s="12">
        <f>V101+$T$10</f>
        <v/>
      </c>
    </row>
    <row r="102">
      <c r="A102" s="5" t="n">
        <v>89</v>
      </c>
      <c r="B102" s="7" t="n">
        <v>0.8766999999999999</v>
      </c>
      <c r="C102" s="7" t="n">
        <v>22.628</v>
      </c>
      <c r="D102" s="12">
        <f>(B102/$D$7)*100</f>
        <v/>
      </c>
      <c r="E102" s="6">
        <f>$D$6/(1-(D102/100))</f>
        <v/>
      </c>
      <c r="F102" s="12">
        <f>C102/E102</f>
        <v/>
      </c>
      <c r="G102" s="12">
        <f>F102+$D$10</f>
        <v/>
      </c>
      <c r="I102" s="5" t="n">
        <v>89</v>
      </c>
      <c r="J102" s="6" t="n">
        <v>0.8783</v>
      </c>
      <c r="K102" s="6" t="n">
        <v>22.383</v>
      </c>
      <c r="L102" s="12">
        <f>(J102/$L$7)*100</f>
        <v/>
      </c>
      <c r="M102" s="6">
        <f>$L$6/(1-(L102/100))</f>
        <v/>
      </c>
      <c r="N102" s="12">
        <f>K102/M102</f>
        <v/>
      </c>
      <c r="O102" s="12">
        <f>N102+$L$10</f>
        <v/>
      </c>
      <c r="Q102" s="5" t="n">
        <v>89</v>
      </c>
      <c r="R102" s="7" t="n">
        <v>0.8734</v>
      </c>
      <c r="S102" s="7" t="n">
        <v>26.561</v>
      </c>
      <c r="T102" s="12">
        <f>(R102/$T$7)*100</f>
        <v/>
      </c>
      <c r="U102" s="6">
        <f>$T$6/(1-(T102/100))</f>
        <v/>
      </c>
      <c r="V102" s="12">
        <f>S102/U102</f>
        <v/>
      </c>
      <c r="W102" s="12">
        <f>V102+$T$10</f>
        <v/>
      </c>
    </row>
    <row r="103">
      <c r="A103" s="5" t="n">
        <v>90</v>
      </c>
      <c r="B103" s="7" t="n">
        <v>0.8865999999999999</v>
      </c>
      <c r="C103" s="7" t="n">
        <v>22.758</v>
      </c>
      <c r="D103" s="12">
        <f>(B103/$D$7)*100</f>
        <v/>
      </c>
      <c r="E103" s="6">
        <f>$D$6/(1-(D103/100))</f>
        <v/>
      </c>
      <c r="F103" s="12">
        <f>C103/E103</f>
        <v/>
      </c>
      <c r="G103" s="12">
        <f>F103+$D$10</f>
        <v/>
      </c>
      <c r="I103" s="5" t="n">
        <v>90</v>
      </c>
      <c r="J103" s="6" t="n">
        <v>0.8884000000000001</v>
      </c>
      <c r="K103" s="6" t="n">
        <v>22.059</v>
      </c>
      <c r="L103" s="12">
        <f>(J103/$L$7)*100</f>
        <v/>
      </c>
      <c r="M103" s="6">
        <f>$L$6/(1-(L103/100))</f>
        <v/>
      </c>
      <c r="N103" s="12">
        <f>K103/M103</f>
        <v/>
      </c>
      <c r="O103" s="12">
        <f>N103+$L$10</f>
        <v/>
      </c>
      <c r="Q103" s="5" t="n">
        <v>90</v>
      </c>
      <c r="R103" s="7" t="n">
        <v>0.8817999999999999</v>
      </c>
      <c r="S103" s="7" t="n">
        <v>26.444</v>
      </c>
      <c r="T103" s="12">
        <f>(R103/$T$7)*100</f>
        <v/>
      </c>
      <c r="U103" s="6">
        <f>$T$6/(1-(T103/100))</f>
        <v/>
      </c>
      <c r="V103" s="12">
        <f>S103/U103</f>
        <v/>
      </c>
      <c r="W103" s="12">
        <f>V103+$T$10</f>
        <v/>
      </c>
    </row>
    <row r="104">
      <c r="A104" s="5" t="n">
        <v>91</v>
      </c>
      <c r="B104" s="7" t="n">
        <v>0.8971</v>
      </c>
      <c r="C104" s="7" t="n">
        <v>23.142</v>
      </c>
      <c r="D104" s="12">
        <f>(B104/$D$7)*100</f>
        <v/>
      </c>
      <c r="E104" s="6">
        <f>$D$6/(1-(D104/100))</f>
        <v/>
      </c>
      <c r="F104" s="12">
        <f>C104/E104</f>
        <v/>
      </c>
      <c r="G104" s="12">
        <f>F104+$D$10</f>
        <v/>
      </c>
      <c r="I104" s="5" t="n">
        <v>91</v>
      </c>
      <c r="J104" s="6" t="n">
        <v>0.8992000000000001</v>
      </c>
      <c r="K104" s="6" t="n">
        <v>22.312</v>
      </c>
      <c r="L104" s="12">
        <f>(J104/$L$7)*100</f>
        <v/>
      </c>
      <c r="M104" s="6">
        <f>$L$6/(1-(L104/100))</f>
        <v/>
      </c>
      <c r="N104" s="12">
        <f>K104/M104</f>
        <v/>
      </c>
      <c r="O104" s="12">
        <f>N104+$L$10</f>
        <v/>
      </c>
      <c r="Q104" s="5" t="n">
        <v>91</v>
      </c>
      <c r="R104" s="7" t="n">
        <v>0.8922000000000001</v>
      </c>
      <c r="S104" s="7" t="n">
        <v>26.466</v>
      </c>
      <c r="T104" s="12">
        <f>(R104/$T$7)*100</f>
        <v/>
      </c>
      <c r="U104" s="6">
        <f>$T$6/(1-(T104/100))</f>
        <v/>
      </c>
      <c r="V104" s="12">
        <f>S104/U104</f>
        <v/>
      </c>
      <c r="W104" s="12">
        <f>V104+$T$10</f>
        <v/>
      </c>
    </row>
    <row r="105">
      <c r="A105" s="5" t="n">
        <v>92</v>
      </c>
      <c r="B105" s="7" t="n">
        <v>0.909</v>
      </c>
      <c r="C105" s="7" t="n">
        <v>22.947</v>
      </c>
      <c r="D105" s="12">
        <f>(B105/$D$7)*100</f>
        <v/>
      </c>
      <c r="E105" s="6">
        <f>$D$6/(1-(D105/100))</f>
        <v/>
      </c>
      <c r="F105" s="12">
        <f>C105/E105</f>
        <v/>
      </c>
      <c r="G105" s="12">
        <f>F105+$D$10</f>
        <v/>
      </c>
      <c r="I105" s="5" t="n">
        <v>92</v>
      </c>
      <c r="J105" s="6" t="n">
        <v>0.9121</v>
      </c>
      <c r="K105" s="6" t="n">
        <v>22.091</v>
      </c>
      <c r="L105" s="12">
        <f>(J105/$L$7)*100</f>
        <v/>
      </c>
      <c r="M105" s="6">
        <f>$L$6/(1-(L105/100))</f>
        <v/>
      </c>
      <c r="N105" s="12">
        <f>K105/M105</f>
        <v/>
      </c>
      <c r="O105" s="12">
        <f>N105+$L$10</f>
        <v/>
      </c>
      <c r="Q105" s="5" t="n">
        <v>92</v>
      </c>
      <c r="R105" s="7" t="n">
        <v>0.9006000000000001</v>
      </c>
      <c r="S105" s="7" t="n">
        <v>26.692</v>
      </c>
      <c r="T105" s="12">
        <f>(R105/$T$7)*100</f>
        <v/>
      </c>
      <c r="U105" s="6">
        <f>$T$6/(1-(T105/100))</f>
        <v/>
      </c>
      <c r="V105" s="12">
        <f>S105/U105</f>
        <v/>
      </c>
      <c r="W105" s="12">
        <f>V105+$T$10</f>
        <v/>
      </c>
    </row>
    <row r="106">
      <c r="A106" s="5" t="n">
        <v>93</v>
      </c>
      <c r="B106" s="7" t="n">
        <v>0.9196</v>
      </c>
      <c r="C106" s="7" t="n">
        <v>23.066</v>
      </c>
      <c r="D106" s="12">
        <f>(B106/$D$7)*100</f>
        <v/>
      </c>
      <c r="E106" s="6">
        <f>$D$6/(1-(D106/100))</f>
        <v/>
      </c>
      <c r="F106" s="12">
        <f>C106/E106</f>
        <v/>
      </c>
      <c r="G106" s="12">
        <f>F106+$D$10</f>
        <v/>
      </c>
      <c r="I106" s="5" t="n">
        <v>93</v>
      </c>
      <c r="J106" s="6" t="n">
        <v>0.9204000000000001</v>
      </c>
      <c r="K106" s="6" t="n">
        <v>21.987</v>
      </c>
      <c r="L106" s="12">
        <f>(J106/$L$7)*100</f>
        <v/>
      </c>
      <c r="M106" s="6">
        <f>$L$6/(1-(L106/100))</f>
        <v/>
      </c>
      <c r="N106" s="12">
        <f>K106/M106</f>
        <v/>
      </c>
      <c r="O106" s="12">
        <f>N106+$L$10</f>
        <v/>
      </c>
      <c r="Q106" s="5" t="n">
        <v>93</v>
      </c>
      <c r="R106" s="7" t="n">
        <v>0.9109999999999999</v>
      </c>
      <c r="S106" s="7" t="n">
        <v>26.591</v>
      </c>
      <c r="T106" s="12">
        <f>(R106/$T$7)*100</f>
        <v/>
      </c>
      <c r="U106" s="6">
        <f>$T$6/(1-(T106/100))</f>
        <v/>
      </c>
      <c r="V106" s="12">
        <f>S106/U106</f>
        <v/>
      </c>
      <c r="W106" s="12">
        <f>V106+$T$10</f>
        <v/>
      </c>
    </row>
    <row r="107">
      <c r="A107" s="5" t="n">
        <v>94</v>
      </c>
      <c r="B107" s="7" t="n">
        <v>0.9303000000000001</v>
      </c>
      <c r="C107" s="7" t="n">
        <v>23.218</v>
      </c>
      <c r="D107" s="12">
        <f>(B107/$D$7)*100</f>
        <v/>
      </c>
      <c r="E107" s="6">
        <f>$D$6/(1-(D107/100))</f>
        <v/>
      </c>
      <c r="F107" s="12">
        <f>C107/E107</f>
        <v/>
      </c>
      <c r="G107" s="12">
        <f>F107+$D$10</f>
        <v/>
      </c>
      <c r="I107" s="5" t="n">
        <v>94</v>
      </c>
      <c r="J107" s="6" t="n">
        <v>0.931</v>
      </c>
      <c r="K107" s="6" t="n">
        <v>21.774</v>
      </c>
      <c r="L107" s="12">
        <f>(J107/$L$7)*100</f>
        <v/>
      </c>
      <c r="M107" s="6">
        <f>$L$6/(1-(L107/100))</f>
        <v/>
      </c>
      <c r="N107" s="12">
        <f>K107/M107</f>
        <v/>
      </c>
      <c r="O107" s="12">
        <f>N107+$L$10</f>
        <v/>
      </c>
      <c r="Q107" s="5" t="n">
        <v>94</v>
      </c>
      <c r="R107" s="7" t="n">
        <v>0.9233</v>
      </c>
      <c r="S107" s="7" t="n">
        <v>26.416</v>
      </c>
      <c r="T107" s="12">
        <f>(R107/$T$7)*100</f>
        <v/>
      </c>
      <c r="U107" s="6">
        <f>$T$6/(1-(T107/100))</f>
        <v/>
      </c>
      <c r="V107" s="12">
        <f>S107/U107</f>
        <v/>
      </c>
      <c r="W107" s="12">
        <f>V107+$T$10</f>
        <v/>
      </c>
    </row>
    <row r="108">
      <c r="A108" s="5" t="n">
        <v>95</v>
      </c>
      <c r="B108" s="7" t="n">
        <v>0.9390000000000001</v>
      </c>
      <c r="C108" s="7" t="n">
        <v>23.215</v>
      </c>
      <c r="D108" s="12">
        <f>(B108/$D$7)*100</f>
        <v/>
      </c>
      <c r="E108" s="6">
        <f>$D$6/(1-(D108/100))</f>
        <v/>
      </c>
      <c r="F108" s="12">
        <f>C108/E108</f>
        <v/>
      </c>
      <c r="G108" s="12">
        <f>F108+$D$10</f>
        <v/>
      </c>
      <c r="I108" s="5" t="n">
        <v>95</v>
      </c>
      <c r="J108" s="6" t="n">
        <v>0.9391999999999999</v>
      </c>
      <c r="K108" s="6" t="n">
        <v>21.842</v>
      </c>
      <c r="L108" s="12">
        <f>(J108/$L$7)*100</f>
        <v/>
      </c>
      <c r="M108" s="6">
        <f>$L$6/(1-(L108/100))</f>
        <v/>
      </c>
      <c r="N108" s="12">
        <f>K108/M108</f>
        <v/>
      </c>
      <c r="O108" s="12">
        <f>N108+$L$10</f>
        <v/>
      </c>
      <c r="Q108" s="5" t="n">
        <v>95</v>
      </c>
      <c r="R108" s="7" t="n">
        <v>0.9317</v>
      </c>
      <c r="S108" s="7" t="n">
        <v>26.332</v>
      </c>
      <c r="T108" s="12">
        <f>(R108/$T$7)*100</f>
        <v/>
      </c>
      <c r="U108" s="6">
        <f>$T$6/(1-(T108/100))</f>
        <v/>
      </c>
      <c r="V108" s="12">
        <f>S108/U108</f>
        <v/>
      </c>
      <c r="W108" s="12">
        <f>V108+$T$10</f>
        <v/>
      </c>
    </row>
    <row r="109">
      <c r="A109" s="5" t="n">
        <v>96</v>
      </c>
      <c r="B109" s="7" t="n">
        <v>0.9496</v>
      </c>
      <c r="C109" s="7" t="n">
        <v>23.087</v>
      </c>
      <c r="D109" s="12">
        <f>(B109/$D$7)*100</f>
        <v/>
      </c>
      <c r="E109" s="6">
        <f>$D$6/(1-(D109/100))</f>
        <v/>
      </c>
      <c r="F109" s="12">
        <f>C109/E109</f>
        <v/>
      </c>
      <c r="G109" s="12">
        <f>F109+$D$10</f>
        <v/>
      </c>
      <c r="I109" s="5" t="n">
        <v>96</v>
      </c>
      <c r="J109" s="6" t="n">
        <v>0.9477</v>
      </c>
      <c r="K109" s="6" t="n">
        <v>18.727</v>
      </c>
      <c r="L109" s="12">
        <f>(J109/$L$7)*100</f>
        <v/>
      </c>
      <c r="M109" s="6">
        <f>$L$6/(1-(L109/100))</f>
        <v/>
      </c>
      <c r="N109" s="12">
        <f>K109/M109</f>
        <v/>
      </c>
      <c r="O109" s="12">
        <f>N109+$L$10</f>
        <v/>
      </c>
      <c r="Q109" s="5" t="n">
        <v>96</v>
      </c>
      <c r="R109" s="7" t="n">
        <v>0.9419999999999999</v>
      </c>
      <c r="S109" s="7" t="n">
        <v>26.538</v>
      </c>
      <c r="T109" s="12">
        <f>(R109/$T$7)*100</f>
        <v/>
      </c>
      <c r="U109" s="6">
        <f>$T$6/(1-(T109/100))</f>
        <v/>
      </c>
      <c r="V109" s="12">
        <f>S109/U109</f>
        <v/>
      </c>
      <c r="W109" s="12">
        <f>V109+$T$10</f>
        <v/>
      </c>
    </row>
    <row r="110">
      <c r="A110" s="5" t="n">
        <v>97</v>
      </c>
      <c r="B110" s="7" t="n">
        <v>0.9581</v>
      </c>
      <c r="C110" s="7" t="n">
        <v>23.404</v>
      </c>
      <c r="D110" s="12">
        <f>(B110/$D$7)*100</f>
        <v/>
      </c>
      <c r="E110" s="6">
        <f>$D$6/(1-(D110/100))</f>
        <v/>
      </c>
      <c r="F110" s="12">
        <f>C110/E110</f>
        <v/>
      </c>
      <c r="G110" s="12">
        <f>F110+$D$10</f>
        <v/>
      </c>
      <c r="I110" s="5" t="n">
        <v>97</v>
      </c>
      <c r="J110" s="6" t="n">
        <v>0.9583</v>
      </c>
      <c r="K110" s="6" t="n">
        <v>18.629</v>
      </c>
      <c r="L110" s="12">
        <f>(J110/$L$7)*100</f>
        <v/>
      </c>
      <c r="M110" s="6">
        <f>$L$6/(1-(L110/100))</f>
        <v/>
      </c>
      <c r="N110" s="12">
        <f>K110/M110</f>
        <v/>
      </c>
      <c r="O110" s="12">
        <f>N110+$L$10</f>
        <v/>
      </c>
      <c r="Q110" s="5" t="n">
        <v>97</v>
      </c>
      <c r="R110" s="7" t="n">
        <v>0.9525</v>
      </c>
      <c r="S110" s="7" t="n">
        <v>26.63</v>
      </c>
      <c r="T110" s="12">
        <f>(R110/$T$7)*100</f>
        <v/>
      </c>
      <c r="U110" s="6">
        <f>$T$6/(1-(T110/100))</f>
        <v/>
      </c>
      <c r="V110" s="12">
        <f>S110/U110</f>
        <v/>
      </c>
      <c r="W110" s="12">
        <f>V110+$T$10</f>
        <v/>
      </c>
    </row>
    <row r="111">
      <c r="A111" s="5" t="n">
        <v>98</v>
      </c>
      <c r="B111" s="7" t="n">
        <v>0.9663999999999999</v>
      </c>
      <c r="C111" s="7" t="n">
        <v>23.152</v>
      </c>
      <c r="D111" s="12">
        <f>(B111/$D$7)*100</f>
        <v/>
      </c>
      <c r="E111" s="6">
        <f>$D$6/(1-(D111/100))</f>
        <v/>
      </c>
      <c r="F111" s="12">
        <f>C111/E111</f>
        <v/>
      </c>
      <c r="G111" s="12">
        <f>F111+$D$10</f>
        <v/>
      </c>
      <c r="I111" s="5" t="n">
        <v>98</v>
      </c>
      <c r="J111" s="6" t="n">
        <v>0.9683999999999999</v>
      </c>
      <c r="K111" s="6" t="n">
        <v>18.872</v>
      </c>
      <c r="L111" s="12">
        <f>(J111/$L$7)*100</f>
        <v/>
      </c>
      <c r="M111" s="6">
        <f>$L$6/(1-(L111/100))</f>
        <v/>
      </c>
      <c r="N111" s="12">
        <f>K111/M111</f>
        <v/>
      </c>
      <c r="O111" s="12">
        <f>N111+$L$10</f>
        <v/>
      </c>
      <c r="Q111" s="5" t="n">
        <v>98</v>
      </c>
      <c r="R111" s="7" t="n">
        <v>0.9611000000000001</v>
      </c>
      <c r="S111" s="7" t="n">
        <v>26.563</v>
      </c>
      <c r="T111" s="12">
        <f>(R111/$T$7)*100</f>
        <v/>
      </c>
      <c r="U111" s="6">
        <f>$T$6/(1-(T111/100))</f>
        <v/>
      </c>
      <c r="V111" s="12">
        <f>S111/U111</f>
        <v/>
      </c>
      <c r="W111" s="12">
        <f>V111+$T$10</f>
        <v/>
      </c>
    </row>
    <row r="112">
      <c r="A112" s="5" t="n">
        <v>99</v>
      </c>
      <c r="B112" s="7" t="n">
        <v>0.977</v>
      </c>
      <c r="C112" s="7" t="n">
        <v>23.192</v>
      </c>
      <c r="D112" s="12">
        <f>(B112/$D$7)*100</f>
        <v/>
      </c>
      <c r="E112" s="6">
        <f>$D$6/(1-(D112/100))</f>
        <v/>
      </c>
      <c r="F112" s="12">
        <f>C112/E112</f>
        <v/>
      </c>
      <c r="G112" s="12">
        <f>F112+$D$10</f>
        <v/>
      </c>
      <c r="I112" s="5" t="n">
        <v>99</v>
      </c>
      <c r="J112" s="6" t="n">
        <v>0.9766999999999999</v>
      </c>
      <c r="K112" s="6" t="n">
        <v>19.059</v>
      </c>
      <c r="L112" s="12">
        <f>(J112/$L$7)*100</f>
        <v/>
      </c>
      <c r="M112" s="6">
        <f>$L$6/(1-(L112/100))</f>
        <v/>
      </c>
      <c r="N112" s="12">
        <f>K112/M112</f>
        <v/>
      </c>
      <c r="O112" s="12">
        <f>N112+$L$10</f>
        <v/>
      </c>
      <c r="Q112" s="5" t="n">
        <v>99</v>
      </c>
      <c r="R112" s="7" t="n">
        <v>0.9715</v>
      </c>
      <c r="S112" s="7" t="n">
        <v>26.647</v>
      </c>
      <c r="T112" s="12">
        <f>(R112/$T$7)*100</f>
        <v/>
      </c>
      <c r="U112" s="6">
        <f>$T$6/(1-(T112/100))</f>
        <v/>
      </c>
      <c r="V112" s="12">
        <f>S112/U112</f>
        <v/>
      </c>
      <c r="W112" s="12">
        <f>V112+$T$10</f>
        <v/>
      </c>
    </row>
    <row r="113">
      <c r="A113" s="5" t="n">
        <v>100</v>
      </c>
      <c r="B113" s="7" t="n">
        <v>0.9897</v>
      </c>
      <c r="C113" s="7" t="n">
        <v>23.021</v>
      </c>
      <c r="D113" s="12">
        <f>(B113/$D$7)*100</f>
        <v/>
      </c>
      <c r="E113" s="6">
        <f>$D$6/(1-(D113/100))</f>
        <v/>
      </c>
      <c r="F113" s="12">
        <f>C113/E113</f>
        <v/>
      </c>
      <c r="G113" s="12">
        <f>F113+$D$10</f>
        <v/>
      </c>
      <c r="I113" s="5" t="n">
        <v>100</v>
      </c>
      <c r="J113" s="6" t="n">
        <v>0.9888999999999999</v>
      </c>
      <c r="K113" s="6" t="n">
        <v>19.043</v>
      </c>
      <c r="L113" s="12">
        <f>(J113/$L$7)*100</f>
        <v/>
      </c>
      <c r="M113" s="6">
        <f>$L$6/(1-(L113/100))</f>
        <v/>
      </c>
      <c r="N113" s="12">
        <f>K113/M113</f>
        <v/>
      </c>
      <c r="O113" s="12">
        <f>N113+$L$10</f>
        <v/>
      </c>
      <c r="Q113" s="5" t="n">
        <v>100</v>
      </c>
      <c r="R113" s="7" t="n">
        <v>0.9797</v>
      </c>
      <c r="S113" s="7" t="n">
        <v>26.526</v>
      </c>
      <c r="T113" s="12">
        <f>(R113/$T$7)*100</f>
        <v/>
      </c>
      <c r="U113" s="6">
        <f>$T$6/(1-(T113/100))</f>
        <v/>
      </c>
      <c r="V113" s="12">
        <f>S113/U113</f>
        <v/>
      </c>
      <c r="W113" s="12">
        <f>V113+$T$10</f>
        <v/>
      </c>
    </row>
    <row r="114">
      <c r="A114" s="5" t="n">
        <v>101</v>
      </c>
      <c r="B114" s="7" t="n">
        <v>0.998</v>
      </c>
      <c r="C114" s="7" t="n">
        <v>23.036</v>
      </c>
      <c r="D114" s="12">
        <f>(B114/$D$7)*100</f>
        <v/>
      </c>
      <c r="E114" s="6">
        <f>$D$6/(1-(D114/100))</f>
        <v/>
      </c>
      <c r="F114" s="12">
        <f>C114/E114</f>
        <v/>
      </c>
      <c r="G114" s="12">
        <f>F114+$D$10</f>
        <v/>
      </c>
      <c r="I114" s="5" t="n">
        <v>101</v>
      </c>
      <c r="J114" s="6" t="n">
        <v>0.9973000000000001</v>
      </c>
      <c r="K114" s="6" t="n">
        <v>19.039</v>
      </c>
      <c r="L114" s="12">
        <f>(J114/$L$7)*100</f>
        <v/>
      </c>
      <c r="M114" s="6">
        <f>$L$6/(1-(L114/100))</f>
        <v/>
      </c>
      <c r="N114" s="12">
        <f>K114/M114</f>
        <v/>
      </c>
      <c r="O114" s="12">
        <f>N114+$L$10</f>
        <v/>
      </c>
      <c r="Q114" s="5" t="n">
        <v>101</v>
      </c>
      <c r="R114" s="7" t="n">
        <v>0.9881</v>
      </c>
      <c r="S114" s="7" t="n">
        <v>26.757</v>
      </c>
      <c r="T114" s="12">
        <f>(R114/$T$7)*100</f>
        <v/>
      </c>
      <c r="U114" s="6">
        <f>$T$6/(1-(T114/100))</f>
        <v/>
      </c>
      <c r="V114" s="12">
        <f>S114/U114</f>
        <v/>
      </c>
      <c r="W114" s="12">
        <f>V114+$T$10</f>
        <v/>
      </c>
    </row>
    <row r="115">
      <c r="A115" s="5" t="n">
        <v>102</v>
      </c>
      <c r="B115" s="7" t="n">
        <v>1.0085</v>
      </c>
      <c r="C115" s="7" t="n">
        <v>22.752</v>
      </c>
      <c r="D115" s="12">
        <f>(B115/$D$7)*100</f>
        <v/>
      </c>
      <c r="E115" s="6">
        <f>$D$6/(1-(D115/100))</f>
        <v/>
      </c>
      <c r="F115" s="12">
        <f>C115/E115</f>
        <v/>
      </c>
      <c r="G115" s="12">
        <f>F115+$D$10</f>
        <v/>
      </c>
      <c r="I115" s="5" t="n">
        <v>102</v>
      </c>
      <c r="J115" s="6" t="n">
        <v>1.0061</v>
      </c>
      <c r="K115" s="6" t="n">
        <v>19.042</v>
      </c>
      <c r="L115" s="12">
        <f>(J115/$L$7)*100</f>
        <v/>
      </c>
      <c r="M115" s="6">
        <f>$L$6/(1-(L115/100))</f>
        <v/>
      </c>
      <c r="N115" s="12">
        <f>K115/M115</f>
        <v/>
      </c>
      <c r="O115" s="12">
        <f>N115+$L$10</f>
        <v/>
      </c>
      <c r="Q115" s="5" t="n">
        <v>102</v>
      </c>
      <c r="R115" s="7" t="n">
        <v>0.9986</v>
      </c>
      <c r="S115" s="7" t="n">
        <v>26.637</v>
      </c>
      <c r="T115" s="12">
        <f>(R115/$T$7)*100</f>
        <v/>
      </c>
      <c r="U115" s="6">
        <f>$T$6/(1-(T115/100))</f>
        <v/>
      </c>
      <c r="V115" s="12">
        <f>S115/U115</f>
        <v/>
      </c>
      <c r="W115" s="12">
        <f>V115+$T$10</f>
        <v/>
      </c>
    </row>
    <row r="116">
      <c r="A116" s="5" t="n">
        <v>103</v>
      </c>
      <c r="B116" s="7" t="n">
        <v>1.019</v>
      </c>
      <c r="C116" s="7" t="n">
        <v>22.775</v>
      </c>
      <c r="D116" s="12">
        <f>(B116/$D$7)*100</f>
        <v/>
      </c>
      <c r="E116" s="6">
        <f>$D$6/(1-(D116/100))</f>
        <v/>
      </c>
      <c r="F116" s="12">
        <f>C116/E116</f>
        <v/>
      </c>
      <c r="G116" s="12">
        <f>F116+$D$10</f>
        <v/>
      </c>
      <c r="I116" s="5" t="n">
        <v>103</v>
      </c>
      <c r="J116" s="6" t="n">
        <v>1.0166</v>
      </c>
      <c r="K116" s="6" t="n">
        <v>18.812</v>
      </c>
      <c r="L116" s="12">
        <f>(J116/$L$7)*100</f>
        <v/>
      </c>
      <c r="M116" s="6">
        <f>$L$6/(1-(L116/100))</f>
        <v/>
      </c>
      <c r="N116" s="12">
        <f>K116/M116</f>
        <v/>
      </c>
      <c r="O116" s="12">
        <f>N116+$L$10</f>
        <v/>
      </c>
      <c r="Q116" s="5" t="n">
        <v>103</v>
      </c>
      <c r="R116" s="7" t="n">
        <v>1.0069</v>
      </c>
      <c r="S116" s="7" t="n">
        <v>26.844</v>
      </c>
      <c r="T116" s="12">
        <f>(R116/$T$7)*100</f>
        <v/>
      </c>
      <c r="U116" s="6">
        <f>$T$6/(1-(T116/100))</f>
        <v/>
      </c>
      <c r="V116" s="12">
        <f>S116/U116</f>
        <v/>
      </c>
      <c r="W116" s="12">
        <f>V116+$T$10</f>
        <v/>
      </c>
    </row>
    <row r="117">
      <c r="A117" s="5" t="n">
        <v>104</v>
      </c>
      <c r="B117" s="7" t="n">
        <v>1.029</v>
      </c>
      <c r="C117" s="7" t="n">
        <v>22.404</v>
      </c>
      <c r="D117" s="12">
        <f>(B117/$D$7)*100</f>
        <v/>
      </c>
      <c r="E117" s="6">
        <f>$D$6/(1-(D117/100))</f>
        <v/>
      </c>
      <c r="F117" s="12">
        <f>C117/E117</f>
        <v/>
      </c>
      <c r="G117" s="12">
        <f>F117+$D$10</f>
        <v/>
      </c>
      <c r="I117" s="5" t="n">
        <v>104</v>
      </c>
      <c r="J117" s="6" t="n">
        <v>1.0228</v>
      </c>
      <c r="K117" s="6" t="n">
        <v>18.912</v>
      </c>
      <c r="L117" s="12">
        <f>(J117/$L$7)*100</f>
        <v/>
      </c>
      <c r="M117" s="6">
        <f>$L$6/(1-(L117/100))</f>
        <v/>
      </c>
      <c r="N117" s="12">
        <f>K117/M117</f>
        <v/>
      </c>
      <c r="O117" s="12">
        <f>N117+$L$10</f>
        <v/>
      </c>
      <c r="Q117" s="5" t="n">
        <v>104</v>
      </c>
      <c r="R117" s="7" t="n">
        <v>1.0154</v>
      </c>
      <c r="S117" s="7" t="n">
        <v>26.961</v>
      </c>
      <c r="T117" s="12">
        <f>(R117/$T$7)*100</f>
        <v/>
      </c>
      <c r="U117" s="6">
        <f>$T$6/(1-(T117/100))</f>
        <v/>
      </c>
      <c r="V117" s="12">
        <f>S117/U117</f>
        <v/>
      </c>
      <c r="W117" s="12">
        <f>V117+$T$10</f>
        <v/>
      </c>
    </row>
    <row r="118">
      <c r="A118" s="5" t="n">
        <v>105</v>
      </c>
      <c r="B118" s="7" t="n">
        <v>1.0356</v>
      </c>
      <c r="C118" s="7" t="n">
        <v>22.744</v>
      </c>
      <c r="D118" s="12">
        <f>(B118/$D$7)*100</f>
        <v/>
      </c>
      <c r="E118" s="6">
        <f>$D$6/(1-(D118/100))</f>
        <v/>
      </c>
      <c r="F118" s="12">
        <f>C118/E118</f>
        <v/>
      </c>
      <c r="G118" s="12">
        <f>F118+$D$10</f>
        <v/>
      </c>
      <c r="I118" s="5" t="n">
        <v>105</v>
      </c>
      <c r="J118" s="6" t="n">
        <v>1.0332</v>
      </c>
      <c r="K118" s="6" t="n">
        <v>19.234</v>
      </c>
      <c r="L118" s="12">
        <f>(J118/$L$7)*100</f>
        <v/>
      </c>
      <c r="M118" s="6">
        <f>$L$6/(1-(L118/100))</f>
        <v/>
      </c>
      <c r="N118" s="12">
        <f>K118/M118</f>
        <v/>
      </c>
      <c r="O118" s="12">
        <f>N118+$L$10</f>
        <v/>
      </c>
      <c r="Q118" s="5" t="n">
        <v>105</v>
      </c>
      <c r="R118" s="7" t="n">
        <v>1.0258</v>
      </c>
      <c r="S118" s="7" t="n">
        <v>26.999</v>
      </c>
      <c r="T118" s="12">
        <f>(R118/$T$7)*100</f>
        <v/>
      </c>
      <c r="U118" s="6">
        <f>$T$6/(1-(T118/100))</f>
        <v/>
      </c>
      <c r="V118" s="12">
        <f>S118/U118</f>
        <v/>
      </c>
      <c r="W118" s="12">
        <f>V118+$T$10</f>
        <v/>
      </c>
    </row>
    <row r="119">
      <c r="A119" s="5" t="n">
        <v>106</v>
      </c>
      <c r="B119" s="7" t="n">
        <v>1.0441</v>
      </c>
      <c r="C119" s="7" t="n">
        <v>22.719</v>
      </c>
      <c r="D119" s="12">
        <f>(B119/$D$7)*100</f>
        <v/>
      </c>
      <c r="E119" s="6">
        <f>$D$6/(1-(D119/100))</f>
        <v/>
      </c>
      <c r="F119" s="12">
        <f>C119/E119</f>
        <v/>
      </c>
      <c r="G119" s="12">
        <f>F119+$D$10</f>
        <v/>
      </c>
      <c r="I119" s="5" t="n">
        <v>106</v>
      </c>
      <c r="J119" s="6" t="n">
        <v>1.0438</v>
      </c>
      <c r="K119" s="6" t="n">
        <v>19.064</v>
      </c>
      <c r="L119" s="12">
        <f>(J119/$L$7)*100</f>
        <v/>
      </c>
      <c r="M119" s="6">
        <f>$L$6/(1-(L119/100))</f>
        <v/>
      </c>
      <c r="N119" s="12">
        <f>K119/M119</f>
        <v/>
      </c>
      <c r="O119" s="12">
        <f>N119+$L$10</f>
        <v/>
      </c>
      <c r="Q119" s="5" t="n">
        <v>106</v>
      </c>
      <c r="R119" s="7" t="n">
        <v>1.0321</v>
      </c>
      <c r="S119" s="7" t="n">
        <v>26.967</v>
      </c>
      <c r="T119" s="12">
        <f>(R119/$T$7)*100</f>
        <v/>
      </c>
      <c r="U119" s="6">
        <f>$T$6/(1-(T119/100))</f>
        <v/>
      </c>
      <c r="V119" s="12">
        <f>S119/U119</f>
        <v/>
      </c>
      <c r="W119" s="12">
        <f>V119+$T$10</f>
        <v/>
      </c>
    </row>
    <row r="120">
      <c r="A120" s="5" t="n">
        <v>107</v>
      </c>
      <c r="B120" s="7" t="n">
        <v>1.0525</v>
      </c>
      <c r="C120" s="7" t="n">
        <v>22.482</v>
      </c>
      <c r="D120" s="12">
        <f>(B120/$D$7)*100</f>
        <v/>
      </c>
      <c r="E120" s="6">
        <f>$D$6/(1-(D120/100))</f>
        <v/>
      </c>
      <c r="F120" s="12">
        <f>C120/E120</f>
        <v/>
      </c>
      <c r="G120" s="12">
        <f>F120+$D$10</f>
        <v/>
      </c>
      <c r="I120" s="5" t="n">
        <v>107</v>
      </c>
      <c r="J120" s="6" t="n">
        <v>1.0542</v>
      </c>
      <c r="K120" s="6" t="n">
        <v>19.09</v>
      </c>
      <c r="L120" s="12">
        <f>(J120/$L$7)*100</f>
        <v/>
      </c>
      <c r="M120" s="6">
        <f>$L$6/(1-(L120/100))</f>
        <v/>
      </c>
      <c r="N120" s="12">
        <f>K120/M120</f>
        <v/>
      </c>
      <c r="O120" s="12">
        <f>N120+$L$10</f>
        <v/>
      </c>
      <c r="Q120" s="5" t="n">
        <v>107</v>
      </c>
      <c r="R120" s="7" t="n">
        <v>1.0402</v>
      </c>
      <c r="S120" s="7" t="n">
        <v>26.95</v>
      </c>
      <c r="T120" s="12">
        <f>(R120/$T$7)*100</f>
        <v/>
      </c>
      <c r="U120" s="6">
        <f>$T$6/(1-(T120/100))</f>
        <v/>
      </c>
      <c r="V120" s="12">
        <f>S120/U120</f>
        <v/>
      </c>
      <c r="W120" s="12">
        <f>V120+$T$10</f>
        <v/>
      </c>
    </row>
    <row r="121">
      <c r="A121" s="5" t="n">
        <v>108</v>
      </c>
      <c r="B121" s="7" t="n">
        <v>1.0611</v>
      </c>
      <c r="C121" s="7" t="n">
        <v>22.307</v>
      </c>
      <c r="D121" s="12">
        <f>(B121/$D$7)*100</f>
        <v/>
      </c>
      <c r="E121" s="6">
        <f>$D$6/(1-(D121/100))</f>
        <v/>
      </c>
      <c r="F121" s="12">
        <f>C121/E121</f>
        <v/>
      </c>
      <c r="G121" s="12">
        <f>F121+$D$10</f>
        <v/>
      </c>
      <c r="I121" s="5" t="n">
        <v>108</v>
      </c>
      <c r="J121" s="6" t="n">
        <v>1.0625</v>
      </c>
      <c r="K121" s="6" t="n">
        <v>19.109</v>
      </c>
      <c r="L121" s="12">
        <f>(J121/$L$7)*100</f>
        <v/>
      </c>
      <c r="M121" s="6">
        <f>$L$6/(1-(L121/100))</f>
        <v/>
      </c>
      <c r="N121" s="12">
        <f>K121/M121</f>
        <v/>
      </c>
      <c r="O121" s="12">
        <f>N121+$L$10</f>
        <v/>
      </c>
      <c r="Q121" s="5" t="n">
        <v>108</v>
      </c>
      <c r="R121" s="7" t="n">
        <v>1.0483</v>
      </c>
      <c r="S121" s="7" t="n">
        <v>26.65</v>
      </c>
      <c r="T121" s="12">
        <f>(R121/$T$7)*100</f>
        <v/>
      </c>
      <c r="U121" s="6">
        <f>$T$6/(1-(T121/100))</f>
        <v/>
      </c>
      <c r="V121" s="12">
        <f>S121/U121</f>
        <v/>
      </c>
      <c r="W121" s="12">
        <f>V121+$T$10</f>
        <v/>
      </c>
    </row>
    <row r="122">
      <c r="A122" s="5" t="n">
        <v>109</v>
      </c>
      <c r="B122" s="7" t="n">
        <v>1.0733</v>
      </c>
      <c r="C122" s="7" t="n">
        <v>22.328</v>
      </c>
      <c r="D122" s="12">
        <f>(B122/$D$7)*100</f>
        <v/>
      </c>
      <c r="E122" s="6">
        <f>$D$6/(1-(D122/100))</f>
        <v/>
      </c>
      <c r="F122" s="12">
        <f>C122/E122</f>
        <v/>
      </c>
      <c r="G122" s="12">
        <f>F122+$D$10</f>
        <v/>
      </c>
      <c r="I122" s="5" t="n">
        <v>109</v>
      </c>
      <c r="J122" s="6" t="n">
        <v>1.0726</v>
      </c>
      <c r="K122" s="6" t="n">
        <v>19.012</v>
      </c>
      <c r="L122" s="12">
        <f>(J122/$L$7)*100</f>
        <v/>
      </c>
      <c r="M122" s="6">
        <f>$L$6/(1-(L122/100))</f>
        <v/>
      </c>
      <c r="N122" s="12">
        <f>K122/M122</f>
        <v/>
      </c>
      <c r="O122" s="12">
        <f>N122+$L$10</f>
        <v/>
      </c>
      <c r="Q122" s="5" t="n">
        <v>109</v>
      </c>
      <c r="R122" s="7" t="n">
        <v>1.0611</v>
      </c>
      <c r="S122" s="7" t="n">
        <v>26.401</v>
      </c>
      <c r="T122" s="12">
        <f>(R122/$T$7)*100</f>
        <v/>
      </c>
      <c r="U122" s="6">
        <f>$T$6/(1-(T122/100))</f>
        <v/>
      </c>
      <c r="V122" s="12">
        <f>S122/U122</f>
        <v/>
      </c>
      <c r="W122" s="12">
        <f>V122+$T$10</f>
        <v/>
      </c>
    </row>
    <row r="123">
      <c r="A123" s="5" t="n">
        <v>110</v>
      </c>
      <c r="B123" s="7" t="n">
        <v>1.0836</v>
      </c>
      <c r="C123" s="7" t="n">
        <v>22.028</v>
      </c>
      <c r="D123" s="12">
        <f>(B123/$D$7)*100</f>
        <v/>
      </c>
      <c r="E123" s="6">
        <f>$D$6/(1-(D123/100))</f>
        <v/>
      </c>
      <c r="F123" s="12">
        <f>C123/E123</f>
        <v/>
      </c>
      <c r="G123" s="12">
        <f>F123+$D$10</f>
        <v/>
      </c>
      <c r="I123" s="5" t="n">
        <v>110</v>
      </c>
      <c r="J123" s="6" t="n">
        <v>1.0826</v>
      </c>
      <c r="K123" s="6" t="n">
        <v>19.335</v>
      </c>
      <c r="L123" s="12">
        <f>(J123/$L$7)*100</f>
        <v/>
      </c>
      <c r="M123" s="6">
        <f>$L$6/(1-(L123/100))</f>
        <v/>
      </c>
      <c r="N123" s="12">
        <f>K123/M123</f>
        <v/>
      </c>
      <c r="O123" s="12">
        <f>N123+$L$10</f>
        <v/>
      </c>
      <c r="Q123" s="5" t="n">
        <v>110</v>
      </c>
      <c r="R123" s="7" t="n">
        <v>1.0713</v>
      </c>
      <c r="S123" s="7" t="n">
        <v>26.498</v>
      </c>
      <c r="T123" s="12">
        <f>(R123/$T$7)*100</f>
        <v/>
      </c>
      <c r="U123" s="6">
        <f>$T$6/(1-(T123/100))</f>
        <v/>
      </c>
      <c r="V123" s="12">
        <f>S123/U123</f>
        <v/>
      </c>
      <c r="W123" s="12">
        <f>V123+$T$10</f>
        <v/>
      </c>
    </row>
    <row r="124">
      <c r="A124" s="5" t="n">
        <v>111</v>
      </c>
      <c r="B124" s="7" t="n">
        <v>1.092</v>
      </c>
      <c r="C124" s="7" t="n">
        <v>22.276</v>
      </c>
      <c r="D124" s="12">
        <f>(B124/$D$7)*100</f>
        <v/>
      </c>
      <c r="E124" s="6">
        <f>$D$6/(1-(D124/100))</f>
        <v/>
      </c>
      <c r="F124" s="12">
        <f>C124/E124</f>
        <v/>
      </c>
      <c r="G124" s="12">
        <f>F124+$D$10</f>
        <v/>
      </c>
      <c r="I124" s="5" t="n">
        <v>111</v>
      </c>
      <c r="J124" s="6" t="n">
        <v>1.0911</v>
      </c>
      <c r="K124" s="6" t="n">
        <v>19.327</v>
      </c>
      <c r="L124" s="12">
        <f>(J124/$L$7)*100</f>
        <v/>
      </c>
      <c r="M124" s="6">
        <f>$L$6/(1-(L124/100))</f>
        <v/>
      </c>
      <c r="N124" s="12">
        <f>K124/M124</f>
        <v/>
      </c>
      <c r="O124" s="12">
        <f>N124+$L$10</f>
        <v/>
      </c>
      <c r="Q124" s="5" t="n">
        <v>111</v>
      </c>
      <c r="R124" s="7" t="n">
        <v>1.082</v>
      </c>
      <c r="S124" s="7" t="n">
        <v>26.351</v>
      </c>
      <c r="T124" s="12">
        <f>(R124/$T$7)*100</f>
        <v/>
      </c>
      <c r="U124" s="6">
        <f>$T$6/(1-(T124/100))</f>
        <v/>
      </c>
      <c r="V124" s="12">
        <f>S124/U124</f>
        <v/>
      </c>
      <c r="W124" s="12">
        <f>V124+$T$10</f>
        <v/>
      </c>
    </row>
    <row r="125">
      <c r="A125" s="5" t="n">
        <v>112</v>
      </c>
      <c r="B125" s="7" t="n">
        <v>1.1025</v>
      </c>
      <c r="C125" s="7" t="n">
        <v>22.117</v>
      </c>
      <c r="D125" s="12">
        <f>(B125/$D$7)*100</f>
        <v/>
      </c>
      <c r="E125" s="6">
        <f>$D$6/(1-(D125/100))</f>
        <v/>
      </c>
      <c r="F125" s="12">
        <f>C125/E125</f>
        <v/>
      </c>
      <c r="G125" s="12">
        <f>F125+$D$10</f>
        <v/>
      </c>
      <c r="I125" s="5" t="n">
        <v>112</v>
      </c>
      <c r="J125" s="6" t="n">
        <v>1.1015</v>
      </c>
      <c r="K125" s="6" t="n">
        <v>19.429</v>
      </c>
      <c r="L125" s="12">
        <f>(J125/$L$7)*100</f>
        <v/>
      </c>
      <c r="M125" s="6">
        <f>$L$6/(1-(L125/100))</f>
        <v/>
      </c>
      <c r="N125" s="12">
        <f>K125/M125</f>
        <v/>
      </c>
      <c r="O125" s="12">
        <f>N125+$L$10</f>
        <v/>
      </c>
      <c r="Q125" s="5" t="n">
        <v>112</v>
      </c>
      <c r="R125" s="7" t="n">
        <v>1.0925</v>
      </c>
      <c r="S125" s="7" t="n">
        <v>26.179</v>
      </c>
      <c r="T125" s="12">
        <f>(R125/$T$7)*100</f>
        <v/>
      </c>
      <c r="U125" s="6">
        <f>$T$6/(1-(T125/100))</f>
        <v/>
      </c>
      <c r="V125" s="12">
        <f>S125/U125</f>
        <v/>
      </c>
      <c r="W125" s="12">
        <f>V125+$T$10</f>
        <v/>
      </c>
    </row>
    <row r="126">
      <c r="A126" s="5" t="n">
        <v>113</v>
      </c>
      <c r="B126" s="7" t="n">
        <v>1.1106</v>
      </c>
      <c r="C126" s="7" t="n">
        <v>21.998</v>
      </c>
      <c r="D126" s="12">
        <f>(B126/$D$7)*100</f>
        <v/>
      </c>
      <c r="E126" s="6">
        <f>$D$6/(1-(D126/100))</f>
        <v/>
      </c>
      <c r="F126" s="12">
        <f>C126/E126</f>
        <v/>
      </c>
      <c r="G126" s="12">
        <f>F126+$D$10</f>
        <v/>
      </c>
      <c r="I126" s="5" t="n">
        <v>113</v>
      </c>
      <c r="J126" s="6" t="n">
        <v>1.1117</v>
      </c>
      <c r="K126" s="6" t="n">
        <v>19.506</v>
      </c>
      <c r="L126" s="12">
        <f>(J126/$L$7)*100</f>
        <v/>
      </c>
      <c r="M126" s="6">
        <f>$L$6/(1-(L126/100))</f>
        <v/>
      </c>
      <c r="N126" s="12">
        <f>K126/M126</f>
        <v/>
      </c>
      <c r="O126" s="12">
        <f>N126+$L$10</f>
        <v/>
      </c>
      <c r="Q126" s="5" t="n">
        <v>113</v>
      </c>
      <c r="R126" s="7" t="n">
        <v>1.1007</v>
      </c>
      <c r="S126" s="7" t="n">
        <v>26.285</v>
      </c>
      <c r="T126" s="12">
        <f>(R126/$T$7)*100</f>
        <v/>
      </c>
      <c r="U126" s="6">
        <f>$T$6/(1-(T126/100))</f>
        <v/>
      </c>
      <c r="V126" s="12">
        <f>S126/U126</f>
        <v/>
      </c>
      <c r="W126" s="12">
        <f>V126+$T$10</f>
        <v/>
      </c>
    </row>
    <row r="127">
      <c r="A127" s="5" t="n">
        <v>114</v>
      </c>
      <c r="B127" s="7" t="n">
        <v>1.121</v>
      </c>
      <c r="C127" s="7" t="n">
        <v>21.74</v>
      </c>
      <c r="D127" s="12">
        <f>(B127/$D$7)*100</f>
        <v/>
      </c>
      <c r="E127" s="6">
        <f>$D$6/(1-(D127/100))</f>
        <v/>
      </c>
      <c r="F127" s="12">
        <f>C127/E127</f>
        <v/>
      </c>
      <c r="G127" s="12">
        <f>F127+$D$10</f>
        <v/>
      </c>
      <c r="I127" s="5" t="n">
        <v>114</v>
      </c>
      <c r="J127" s="6" t="n">
        <v>1.1198</v>
      </c>
      <c r="K127" s="6" t="n">
        <v>19.525</v>
      </c>
      <c r="L127" s="12">
        <f>(J127/$L$7)*100</f>
        <v/>
      </c>
      <c r="M127" s="6">
        <f>$L$6/(1-(L127/100))</f>
        <v/>
      </c>
      <c r="N127" s="12">
        <f>K127/M127</f>
        <v/>
      </c>
      <c r="O127" s="12">
        <f>N127+$L$10</f>
        <v/>
      </c>
      <c r="Q127" s="5" t="n">
        <v>114</v>
      </c>
      <c r="R127" s="7" t="n">
        <v>1.1113</v>
      </c>
      <c r="S127" s="7" t="n">
        <v>26.269</v>
      </c>
      <c r="T127" s="12">
        <f>(R127/$T$7)*100</f>
        <v/>
      </c>
      <c r="U127" s="6">
        <f>$T$6/(1-(T127/100))</f>
        <v/>
      </c>
      <c r="V127" s="12">
        <f>S127/U127</f>
        <v/>
      </c>
      <c r="W127" s="12">
        <f>V127+$T$10</f>
        <v/>
      </c>
    </row>
    <row r="128">
      <c r="A128" s="5" t="n">
        <v>115</v>
      </c>
      <c r="B128" s="7" t="n">
        <v>1.1313</v>
      </c>
      <c r="C128" s="7" t="n">
        <v>21.875</v>
      </c>
      <c r="D128" s="12">
        <f>(B128/$D$7)*100</f>
        <v/>
      </c>
      <c r="E128" s="6">
        <f>$D$6/(1-(D128/100))</f>
        <v/>
      </c>
      <c r="F128" s="12">
        <f>C128/E128</f>
        <v/>
      </c>
      <c r="G128" s="12">
        <f>F128+$D$10</f>
        <v/>
      </c>
      <c r="I128" s="5" t="n">
        <v>115</v>
      </c>
      <c r="J128" s="6" t="n">
        <v>1.1279</v>
      </c>
      <c r="K128" s="6" t="n">
        <v>19.524</v>
      </c>
      <c r="L128" s="12">
        <f>(J128/$L$7)*100</f>
        <v/>
      </c>
      <c r="M128" s="6">
        <f>$L$6/(1-(L128/100))</f>
        <v/>
      </c>
      <c r="N128" s="12">
        <f>K128/M128</f>
        <v/>
      </c>
      <c r="O128" s="12">
        <f>N128+$L$10</f>
        <v/>
      </c>
      <c r="Q128" s="5" t="n">
        <v>115</v>
      </c>
      <c r="R128" s="7" t="n">
        <v>1.1214</v>
      </c>
      <c r="S128" s="7" t="n">
        <v>26.253</v>
      </c>
      <c r="T128" s="12">
        <f>(R128/$T$7)*100</f>
        <v/>
      </c>
      <c r="U128" s="6">
        <f>$T$6/(1-(T128/100))</f>
        <v/>
      </c>
      <c r="V128" s="12">
        <f>S128/U128</f>
        <v/>
      </c>
      <c r="W128" s="12">
        <f>V128+$T$10</f>
        <v/>
      </c>
    </row>
    <row r="129">
      <c r="A129" s="5" t="n">
        <v>116</v>
      </c>
      <c r="B129" s="7" t="n">
        <v>1.1438</v>
      </c>
      <c r="C129" s="7" t="n">
        <v>21.875</v>
      </c>
      <c r="D129" s="12">
        <f>(B129/$D$7)*100</f>
        <v/>
      </c>
      <c r="E129" s="6">
        <f>$D$6/(1-(D129/100))</f>
        <v/>
      </c>
      <c r="F129" s="12">
        <f>C129/E129</f>
        <v/>
      </c>
      <c r="G129" s="12">
        <f>F129+$D$10</f>
        <v/>
      </c>
      <c r="I129" s="5" t="n">
        <v>116</v>
      </c>
      <c r="J129" s="6" t="n">
        <v>1.1361</v>
      </c>
      <c r="K129" s="6" t="n">
        <v>19.645</v>
      </c>
      <c r="L129" s="12">
        <f>(J129/$L$7)*100</f>
        <v/>
      </c>
      <c r="M129" s="6">
        <f>$L$6/(1-(L129/100))</f>
        <v/>
      </c>
      <c r="N129" s="12">
        <f>K129/M129</f>
        <v/>
      </c>
      <c r="O129" s="12">
        <f>N129+$L$10</f>
        <v/>
      </c>
      <c r="Q129" s="5" t="n">
        <v>116</v>
      </c>
      <c r="R129" s="7" t="n">
        <v>1.132</v>
      </c>
      <c r="S129" s="7" t="n">
        <v>26.474</v>
      </c>
      <c r="T129" s="12">
        <f>(R129/$T$7)*100</f>
        <v/>
      </c>
      <c r="U129" s="6">
        <f>$T$6/(1-(T129/100))</f>
        <v/>
      </c>
      <c r="V129" s="12">
        <f>S129/U129</f>
        <v/>
      </c>
      <c r="W129" s="12">
        <f>V129+$T$10</f>
        <v/>
      </c>
    </row>
    <row r="130">
      <c r="A130" s="5" t="n">
        <v>117</v>
      </c>
      <c r="B130" s="7" t="n">
        <v>1.1562</v>
      </c>
      <c r="C130" s="7" t="n">
        <v>21.566</v>
      </c>
      <c r="D130" s="12">
        <f>(B130/$D$7)*100</f>
        <v/>
      </c>
      <c r="E130" s="6">
        <f>$D$6/(1-(D130/100))</f>
        <v/>
      </c>
      <c r="F130" s="12">
        <f>C130/E130</f>
        <v/>
      </c>
      <c r="G130" s="12">
        <f>F130+$D$10</f>
        <v/>
      </c>
      <c r="I130" s="5" t="n">
        <v>117</v>
      </c>
      <c r="J130" s="6" t="n">
        <v>1.1443</v>
      </c>
      <c r="K130" s="6" t="n">
        <v>19.928</v>
      </c>
      <c r="L130" s="12">
        <f>(J130/$L$7)*100</f>
        <v/>
      </c>
      <c r="M130" s="6">
        <f>$L$6/(1-(L130/100))</f>
        <v/>
      </c>
      <c r="N130" s="12">
        <f>K130/M130</f>
        <v/>
      </c>
      <c r="O130" s="12">
        <f>N130+$L$10</f>
        <v/>
      </c>
      <c r="Q130" s="5" t="n">
        <v>117</v>
      </c>
      <c r="R130" s="7" t="n">
        <v>1.1424</v>
      </c>
      <c r="S130" s="7" t="n">
        <v>26.452</v>
      </c>
      <c r="T130" s="12">
        <f>(R130/$T$7)*100</f>
        <v/>
      </c>
      <c r="U130" s="6">
        <f>$T$6/(1-(T130/100))</f>
        <v/>
      </c>
      <c r="V130" s="12">
        <f>S130/U130</f>
        <v/>
      </c>
      <c r="W130" s="12">
        <f>V130+$T$10</f>
        <v/>
      </c>
    </row>
    <row r="131">
      <c r="A131" s="5" t="n">
        <v>118</v>
      </c>
      <c r="B131" s="7" t="n">
        <v>1.1688</v>
      </c>
      <c r="C131" s="7" t="n">
        <v>21.747</v>
      </c>
      <c r="D131" s="12">
        <f>(B131/$D$7)*100</f>
        <v/>
      </c>
      <c r="E131" s="6">
        <f>$D$6/(1-(D131/100))</f>
        <v/>
      </c>
      <c r="F131" s="12">
        <f>C131/E131</f>
        <v/>
      </c>
      <c r="G131" s="12">
        <f>F131+$D$10</f>
        <v/>
      </c>
      <c r="I131" s="5" t="n">
        <v>118</v>
      </c>
      <c r="J131" s="6" t="n">
        <v>1.1549</v>
      </c>
      <c r="K131" s="6" t="n">
        <v>19.933</v>
      </c>
      <c r="L131" s="12">
        <f>(J131/$L$7)*100</f>
        <v/>
      </c>
      <c r="M131" s="6">
        <f>$L$6/(1-(L131/100))</f>
        <v/>
      </c>
      <c r="N131" s="12">
        <f>K131/M131</f>
        <v/>
      </c>
      <c r="O131" s="12">
        <f>N131+$L$10</f>
        <v/>
      </c>
      <c r="Q131" s="5" t="n">
        <v>118</v>
      </c>
      <c r="R131" s="7" t="n">
        <v>1.151</v>
      </c>
      <c r="S131" s="7" t="n">
        <v>26.632</v>
      </c>
      <c r="T131" s="12">
        <f>(R131/$T$7)*100</f>
        <v/>
      </c>
      <c r="U131" s="6">
        <f>$T$6/(1-(T131/100))</f>
        <v/>
      </c>
      <c r="V131" s="12">
        <f>S131/U131</f>
        <v/>
      </c>
      <c r="W131" s="12">
        <f>V131+$T$10</f>
        <v/>
      </c>
    </row>
    <row r="132">
      <c r="A132" s="5" t="n">
        <v>119</v>
      </c>
      <c r="B132" s="7" t="n">
        <v>1.1812</v>
      </c>
      <c r="C132" s="7" t="n">
        <v>21.52</v>
      </c>
      <c r="D132" s="12">
        <f>(B132/$D$7)*100</f>
        <v/>
      </c>
      <c r="E132" s="6">
        <f>$D$6/(1-(D132/100))</f>
        <v/>
      </c>
      <c r="F132" s="12">
        <f>C132/E132</f>
        <v/>
      </c>
      <c r="G132" s="12">
        <f>F132+$D$10</f>
        <v/>
      </c>
      <c r="I132" s="5" t="n">
        <v>119</v>
      </c>
      <c r="J132" s="6" t="n">
        <v>1.1657</v>
      </c>
      <c r="K132" s="6" t="n">
        <v>19.901</v>
      </c>
      <c r="L132" s="12">
        <f>(J132/$L$7)*100</f>
        <v/>
      </c>
      <c r="M132" s="6">
        <f>$L$6/(1-(L132/100))</f>
        <v/>
      </c>
      <c r="N132" s="12">
        <f>K132/M132</f>
        <v/>
      </c>
      <c r="O132" s="12">
        <f>N132+$L$10</f>
        <v/>
      </c>
      <c r="Q132" s="5" t="n">
        <v>119</v>
      </c>
      <c r="R132" s="7" t="n">
        <v>1.1572</v>
      </c>
      <c r="S132" s="7" t="n">
        <v>26.237</v>
      </c>
      <c r="T132" s="12">
        <f>(R132/$T$7)*100</f>
        <v/>
      </c>
      <c r="U132" s="6">
        <f>$T$6/(1-(T132/100))</f>
        <v/>
      </c>
      <c r="V132" s="12">
        <f>S132/U132</f>
        <v/>
      </c>
      <c r="W132" s="12">
        <f>V132+$T$10</f>
        <v/>
      </c>
    </row>
    <row r="133">
      <c r="A133" s="5" t="n">
        <v>120</v>
      </c>
      <c r="B133" s="7" t="n">
        <v>1.1918</v>
      </c>
      <c r="C133" s="7" t="n">
        <v>21.701</v>
      </c>
      <c r="D133" s="12">
        <f>(B133/$D$7)*100</f>
        <v/>
      </c>
      <c r="E133" s="6">
        <f>$D$6/(1-(D133/100))</f>
        <v/>
      </c>
      <c r="F133" s="12">
        <f>C133/E133</f>
        <v/>
      </c>
      <c r="G133" s="12">
        <f>F133+$D$10</f>
        <v/>
      </c>
      <c r="I133" s="5" t="n">
        <v>120</v>
      </c>
      <c r="J133" s="6" t="n">
        <v>1.1742</v>
      </c>
      <c r="K133" s="6" t="n">
        <v>19.786</v>
      </c>
      <c r="L133" s="12">
        <f>(J133/$L$7)*100</f>
        <v/>
      </c>
      <c r="M133" s="6">
        <f>$L$6/(1-(L133/100))</f>
        <v/>
      </c>
      <c r="N133" s="12">
        <f>K133/M133</f>
        <v/>
      </c>
      <c r="O133" s="12">
        <f>N133+$L$10</f>
        <v/>
      </c>
      <c r="Q133" s="5" t="n">
        <v>120</v>
      </c>
      <c r="R133" s="7" t="n">
        <v>1.1676</v>
      </c>
      <c r="S133" s="7" t="n">
        <v>26.084</v>
      </c>
      <c r="T133" s="12">
        <f>(R133/$T$7)*100</f>
        <v/>
      </c>
      <c r="U133" s="6">
        <f>$T$6/(1-(T133/100))</f>
        <v/>
      </c>
      <c r="V133" s="12">
        <f>S133/U133</f>
        <v/>
      </c>
      <c r="W133" s="12">
        <f>V133+$T$10</f>
        <v/>
      </c>
    </row>
    <row r="134">
      <c r="A134" s="5" t="n">
        <v>121</v>
      </c>
      <c r="B134" s="7" t="n">
        <v>1.2043</v>
      </c>
      <c r="C134" s="7" t="n">
        <v>21.652</v>
      </c>
      <c r="D134" s="12">
        <f>(B134/$D$7)*100</f>
        <v/>
      </c>
      <c r="E134" s="6">
        <f>$D$6/(1-(D134/100))</f>
        <v/>
      </c>
      <c r="F134" s="12">
        <f>C134/E134</f>
        <v/>
      </c>
      <c r="G134" s="12">
        <f>F134+$D$10</f>
        <v/>
      </c>
      <c r="I134" s="5" t="n">
        <v>121</v>
      </c>
      <c r="J134" s="6" t="n">
        <v>1.1846</v>
      </c>
      <c r="K134" s="6" t="n">
        <v>19.593</v>
      </c>
      <c r="L134" s="12">
        <f>(J134/$L$7)*100</f>
        <v/>
      </c>
      <c r="M134" s="6">
        <f>$L$6/(1-(L134/100))</f>
        <v/>
      </c>
      <c r="N134" s="12">
        <f>K134/M134</f>
        <v/>
      </c>
      <c r="O134" s="12">
        <f>N134+$L$10</f>
        <v/>
      </c>
      <c r="Q134" s="5" t="n">
        <v>121</v>
      </c>
      <c r="R134" s="7" t="n">
        <v>1.1782</v>
      </c>
      <c r="S134" s="7" t="n">
        <v>25.998</v>
      </c>
      <c r="T134" s="12">
        <f>(R134/$T$7)*100</f>
        <v/>
      </c>
      <c r="U134" s="6">
        <f>$T$6/(1-(T134/100))</f>
        <v/>
      </c>
      <c r="V134" s="12">
        <f>S134/U134</f>
        <v/>
      </c>
      <c r="W134" s="12">
        <f>V134+$T$10</f>
        <v/>
      </c>
    </row>
    <row r="135">
      <c r="A135" s="5" t="n">
        <v>122</v>
      </c>
      <c r="B135" s="7" t="n">
        <v>1.2126</v>
      </c>
      <c r="C135" s="7" t="n">
        <v>21.79</v>
      </c>
      <c r="D135" s="12">
        <f>(B135/$D$7)*100</f>
        <v/>
      </c>
      <c r="E135" s="6">
        <f>$D$6/(1-(D135/100))</f>
        <v/>
      </c>
      <c r="F135" s="12">
        <f>C135/E135</f>
        <v/>
      </c>
      <c r="G135" s="12">
        <f>F135+$D$10</f>
        <v/>
      </c>
      <c r="I135" s="5" t="n">
        <v>122</v>
      </c>
      <c r="J135" s="6" t="n">
        <v>1.1949</v>
      </c>
      <c r="K135" s="6" t="n">
        <v>19.785</v>
      </c>
      <c r="L135" s="12">
        <f>(J135/$L$7)*100</f>
        <v/>
      </c>
      <c r="M135" s="6">
        <f>$L$6/(1-(L135/100))</f>
        <v/>
      </c>
      <c r="N135" s="12">
        <f>K135/M135</f>
        <v/>
      </c>
      <c r="O135" s="12">
        <f>N135+$L$10</f>
        <v/>
      </c>
      <c r="Q135" s="5" t="n">
        <v>122</v>
      </c>
      <c r="R135" s="7" t="n">
        <v>1.1864</v>
      </c>
      <c r="S135" s="7" t="n">
        <v>26.139</v>
      </c>
      <c r="T135" s="12">
        <f>(R135/$T$7)*100</f>
        <v/>
      </c>
      <c r="U135" s="6">
        <f>$T$6/(1-(T135/100))</f>
        <v/>
      </c>
      <c r="V135" s="12">
        <f>S135/U135</f>
        <v/>
      </c>
      <c r="W135" s="12">
        <f>V135+$T$10</f>
        <v/>
      </c>
    </row>
    <row r="136">
      <c r="A136" s="5" t="n">
        <v>123</v>
      </c>
      <c r="B136" s="7" t="n">
        <v>1.2232</v>
      </c>
      <c r="C136" s="7" t="n">
        <v>21.61</v>
      </c>
      <c r="D136" s="12">
        <f>(B136/$D$7)*100</f>
        <v/>
      </c>
      <c r="E136" s="6">
        <f>$D$6/(1-(D136/100))</f>
        <v/>
      </c>
      <c r="F136" s="12">
        <f>C136/E136</f>
        <v/>
      </c>
      <c r="G136" s="12">
        <f>F136+$D$10</f>
        <v/>
      </c>
      <c r="I136" s="5" t="n">
        <v>123</v>
      </c>
      <c r="J136" s="6" t="n">
        <v>1.2053</v>
      </c>
      <c r="K136" s="6" t="n">
        <v>19.965</v>
      </c>
      <c r="L136" s="12">
        <f>(J136/$L$7)*100</f>
        <v/>
      </c>
      <c r="M136" s="6">
        <f>$L$6/(1-(L136/100))</f>
        <v/>
      </c>
      <c r="N136" s="12">
        <f>K136/M136</f>
        <v/>
      </c>
      <c r="O136" s="12">
        <f>N136+$L$10</f>
        <v/>
      </c>
      <c r="Q136" s="5" t="n">
        <v>123</v>
      </c>
      <c r="R136" s="7" t="n">
        <v>1.1989</v>
      </c>
      <c r="S136" s="7" t="n">
        <v>26.049</v>
      </c>
      <c r="T136" s="12">
        <f>(R136/$T$7)*100</f>
        <v/>
      </c>
      <c r="U136" s="6">
        <f>$T$6/(1-(T136/100))</f>
        <v/>
      </c>
      <c r="V136" s="12">
        <f>S136/U136</f>
        <v/>
      </c>
      <c r="W136" s="12">
        <f>V136+$T$10</f>
        <v/>
      </c>
    </row>
    <row r="137">
      <c r="A137" s="5" t="n">
        <v>124</v>
      </c>
      <c r="B137" s="7" t="n">
        <v>1.2339</v>
      </c>
      <c r="C137" s="7" t="n">
        <v>21.718</v>
      </c>
      <c r="D137" s="12">
        <f>(B137/$D$7)*100</f>
        <v/>
      </c>
      <c r="E137" s="6">
        <f>$D$6/(1-(D137/100))</f>
        <v/>
      </c>
      <c r="F137" s="12">
        <f>C137/E137</f>
        <v/>
      </c>
      <c r="G137" s="12">
        <f>F137+$D$10</f>
        <v/>
      </c>
      <c r="I137" s="5" t="n">
        <v>124</v>
      </c>
      <c r="J137" s="6" t="n">
        <v>1.2159</v>
      </c>
      <c r="K137" s="6" t="n">
        <v>19.938</v>
      </c>
      <c r="L137" s="12">
        <f>(J137/$L$7)*100</f>
        <v/>
      </c>
      <c r="M137" s="6">
        <f>$L$6/(1-(L137/100))</f>
        <v/>
      </c>
      <c r="N137" s="12">
        <f>K137/M137</f>
        <v/>
      </c>
      <c r="O137" s="12">
        <f>N137+$L$10</f>
        <v/>
      </c>
      <c r="Q137" s="5" t="n">
        <v>124</v>
      </c>
      <c r="R137" s="7" t="n">
        <v>1.2113</v>
      </c>
      <c r="S137" s="7" t="n">
        <v>25.982</v>
      </c>
      <c r="T137" s="12">
        <f>(R137/$T$7)*100</f>
        <v/>
      </c>
      <c r="U137" s="6">
        <f>$T$6/(1-(T137/100))</f>
        <v/>
      </c>
      <c r="V137" s="12">
        <f>S137/U137</f>
        <v/>
      </c>
      <c r="W137" s="12">
        <f>V137+$T$10</f>
        <v/>
      </c>
    </row>
    <row r="138">
      <c r="A138" s="5" t="n">
        <v>125</v>
      </c>
      <c r="B138" s="7" t="n">
        <v>1.2442</v>
      </c>
      <c r="C138" s="7" t="n">
        <v>21.778</v>
      </c>
      <c r="D138" s="12">
        <f>(B138/$D$7)*100</f>
        <v/>
      </c>
      <c r="E138" s="6">
        <f>$D$6/(1-(D138/100))</f>
        <v/>
      </c>
      <c r="F138" s="12">
        <f>C138/E138</f>
        <v/>
      </c>
      <c r="G138" s="12">
        <f>F138+$D$10</f>
        <v/>
      </c>
      <c r="I138" s="5" t="n">
        <v>125</v>
      </c>
      <c r="J138" s="6" t="n">
        <v>1.2265</v>
      </c>
      <c r="K138" s="6" t="n">
        <v>19.883</v>
      </c>
      <c r="L138" s="12">
        <f>(J138/$L$7)*100</f>
        <v/>
      </c>
      <c r="M138" s="6">
        <f>$L$6/(1-(L138/100))</f>
        <v/>
      </c>
      <c r="N138" s="12">
        <f>K138/M138</f>
        <v/>
      </c>
      <c r="O138" s="12">
        <f>N138+$L$10</f>
        <v/>
      </c>
      <c r="Q138" s="5" t="n">
        <v>125</v>
      </c>
      <c r="R138" s="7" t="n">
        <v>1.2156</v>
      </c>
      <c r="S138" s="7" t="n">
        <v>25.901</v>
      </c>
      <c r="T138" s="12">
        <f>(R138/$T$7)*100</f>
        <v/>
      </c>
      <c r="U138" s="6">
        <f>$T$6/(1-(T138/100))</f>
        <v/>
      </c>
      <c r="V138" s="12">
        <f>S138/U138</f>
        <v/>
      </c>
      <c r="W138" s="12">
        <f>V138+$T$10</f>
        <v/>
      </c>
    </row>
    <row r="139">
      <c r="A139" s="5" t="n">
        <v>126</v>
      </c>
      <c r="B139" s="7" t="n">
        <v>1.2546</v>
      </c>
      <c r="C139" s="7" t="n">
        <v>21.518</v>
      </c>
      <c r="D139" s="12">
        <f>(B139/$D$7)*100</f>
        <v/>
      </c>
      <c r="E139" s="6">
        <f>$D$6/(1-(D139/100))</f>
        <v/>
      </c>
      <c r="F139" s="12">
        <f>C139/E139</f>
        <v/>
      </c>
      <c r="G139" s="12">
        <f>F139+$D$10</f>
        <v/>
      </c>
      <c r="I139" s="5" t="n">
        <v>126</v>
      </c>
      <c r="J139" s="6" t="n">
        <v>1.2367</v>
      </c>
      <c r="K139" s="6" t="n">
        <v>19.847</v>
      </c>
      <c r="L139" s="12">
        <f>(J139/$L$7)*100</f>
        <v/>
      </c>
      <c r="M139" s="6">
        <f>$L$6/(1-(L139/100))</f>
        <v/>
      </c>
      <c r="N139" s="12">
        <f>K139/M139</f>
        <v/>
      </c>
      <c r="O139" s="12">
        <f>N139+$L$10</f>
        <v/>
      </c>
      <c r="Q139" s="5" t="n">
        <v>126</v>
      </c>
      <c r="R139" s="7" t="n"/>
      <c r="S139" s="7" t="n"/>
      <c r="T139" s="12" t="n"/>
      <c r="U139" s="6" t="n"/>
      <c r="V139" s="12" t="n"/>
      <c r="W139" s="12" t="n"/>
    </row>
    <row r="140">
      <c r="A140" s="5" t="n">
        <v>127</v>
      </c>
      <c r="B140" s="7" t="n">
        <v>1.2673</v>
      </c>
      <c r="C140" s="7" t="n">
        <v>21.685</v>
      </c>
      <c r="D140" s="12">
        <f>(B140/$D$7)*100</f>
        <v/>
      </c>
      <c r="E140" s="6">
        <f>$D$6/(1-(D140/100))</f>
        <v/>
      </c>
      <c r="F140" s="12">
        <f>C140/E140</f>
        <v/>
      </c>
      <c r="G140" s="12">
        <f>F140+$D$10</f>
        <v/>
      </c>
      <c r="I140" s="5" t="n">
        <v>127</v>
      </c>
      <c r="J140" s="6" t="n">
        <v>1.243</v>
      </c>
      <c r="K140" s="6" t="n">
        <v>19.825</v>
      </c>
      <c r="L140" s="12">
        <f>(J140/$L$7)*100</f>
        <v/>
      </c>
      <c r="M140" s="6">
        <f>$L$6/(1-(L140/100))</f>
        <v/>
      </c>
      <c r="N140" s="12">
        <f>K140/M140</f>
        <v/>
      </c>
      <c r="O140" s="12">
        <f>N140+$L$10</f>
        <v/>
      </c>
      <c r="Q140" s="5" t="n">
        <v>127</v>
      </c>
      <c r="R140" s="7" t="n"/>
      <c r="S140" s="7" t="n"/>
      <c r="T140" s="12" t="n"/>
      <c r="U140" s="6" t="n"/>
      <c r="V140" s="12" t="n"/>
      <c r="W140" s="12" t="n"/>
    </row>
    <row r="141">
      <c r="A141" s="5" t="n">
        <v>128</v>
      </c>
      <c r="B141" s="7" t="n">
        <v>1.2697</v>
      </c>
      <c r="C141" s="7" t="n">
        <v>21.618</v>
      </c>
      <c r="D141" s="12">
        <f>(B141/$D$7)*100</f>
        <v/>
      </c>
      <c r="E141" s="6">
        <f>$D$6/(1-(D141/100))</f>
        <v/>
      </c>
      <c r="F141" s="12">
        <f>C141/E141</f>
        <v/>
      </c>
      <c r="G141" s="12">
        <f>F141+$D$10</f>
        <v/>
      </c>
      <c r="I141" s="5" t="n">
        <v>128</v>
      </c>
      <c r="J141" s="6" t="n">
        <v>1.2556</v>
      </c>
      <c r="K141" s="6" t="n">
        <v>19.886</v>
      </c>
      <c r="L141" s="12">
        <f>(J141/$L$7)*100</f>
        <v/>
      </c>
      <c r="M141" s="6">
        <f>$L$6/(1-(L141/100))</f>
        <v/>
      </c>
      <c r="N141" s="12">
        <f>K141/M141</f>
        <v/>
      </c>
      <c r="O141" s="12">
        <f>N141+$L$10</f>
        <v/>
      </c>
      <c r="Q141" s="5" t="n">
        <v>128</v>
      </c>
      <c r="R141" s="7" t="n"/>
      <c r="S141" s="7" t="n"/>
      <c r="T141" s="12" t="n"/>
      <c r="U141" s="6" t="n"/>
      <c r="V141" s="12" t="n"/>
      <c r="W141" s="12" t="n"/>
    </row>
    <row r="142">
      <c r="A142" s="5" t="n">
        <v>129</v>
      </c>
      <c r="B142" s="7" t="n"/>
      <c r="C142" s="7" t="n"/>
      <c r="D142" s="12" t="n"/>
      <c r="E142" s="6" t="n"/>
      <c r="F142" s="12" t="n"/>
      <c r="G142" s="12" t="n"/>
      <c r="I142" s="5" t="n">
        <v>129</v>
      </c>
      <c r="J142" s="6" t="n">
        <v>1.2615</v>
      </c>
      <c r="K142" s="6" t="n">
        <v>19.978</v>
      </c>
      <c r="L142" s="12">
        <f>(J142/$L$7)*100</f>
        <v/>
      </c>
      <c r="M142" s="6">
        <f>$L$6/(1-(L142/100))</f>
        <v/>
      </c>
      <c r="N142" s="12">
        <f>K142/M142</f>
        <v/>
      </c>
      <c r="O142" s="12">
        <f>N142+$L$10</f>
        <v/>
      </c>
      <c r="Q142" s="5" t="n">
        <v>129</v>
      </c>
      <c r="R142" s="7" t="n"/>
      <c r="S142" s="7" t="n"/>
      <c r="T142" s="12" t="n"/>
      <c r="U142" s="6" t="n"/>
      <c r="V142" s="12" t="n"/>
      <c r="W142" s="12" t="n"/>
    </row>
    <row r="143">
      <c r="A143" s="5" t="n">
        <v>130</v>
      </c>
      <c r="B143" s="7" t="n"/>
      <c r="C143" s="7" t="n"/>
      <c r="D143" s="12" t="n"/>
      <c r="E143" s="6" t="n"/>
      <c r="F143" s="12" t="n"/>
      <c r="G143" s="12" t="n"/>
      <c r="I143" s="5" t="n">
        <v>130</v>
      </c>
      <c r="J143" s="6" t="n">
        <v>1.272</v>
      </c>
      <c r="K143" s="6" t="n">
        <v>19.893</v>
      </c>
      <c r="L143" s="12">
        <f>(J143/$L$7)*100</f>
        <v/>
      </c>
      <c r="M143" s="6">
        <f>$L$6/(1-(L143/100))</f>
        <v/>
      </c>
      <c r="N143" s="12">
        <f>K143/M143</f>
        <v/>
      </c>
      <c r="O143" s="12">
        <f>N143+$L$10</f>
        <v/>
      </c>
      <c r="Q143" s="5" t="n">
        <v>130</v>
      </c>
      <c r="R143" s="7" t="n"/>
      <c r="S143" s="7" t="n"/>
      <c r="T143" s="12" t="n"/>
      <c r="U143" s="6" t="n"/>
      <c r="V143" s="12" t="n"/>
      <c r="W143" s="12" t="n"/>
    </row>
    <row r="144">
      <c r="A144" s="5" t="n">
        <v>131</v>
      </c>
      <c r="B144" s="7" t="n"/>
      <c r="C144" s="7" t="n"/>
      <c r="D144" s="12" t="n"/>
      <c r="E144" s="6" t="n"/>
      <c r="F144" s="12" t="n"/>
      <c r="G144" s="12" t="n"/>
      <c r="I144" s="5" t="n">
        <v>131</v>
      </c>
      <c r="J144" s="6" t="n">
        <v>1.2825</v>
      </c>
      <c r="K144" s="6" t="n">
        <v>20.02</v>
      </c>
      <c r="L144" s="12">
        <f>(J144/$L$7)*100</f>
        <v/>
      </c>
      <c r="M144" s="6">
        <f>$L$6/(1-(L144/100))</f>
        <v/>
      </c>
      <c r="N144" s="12">
        <f>K144/M144</f>
        <v/>
      </c>
      <c r="O144" s="12">
        <f>N144+$L$10</f>
        <v/>
      </c>
      <c r="Q144" s="5" t="n">
        <v>131</v>
      </c>
      <c r="R144" s="7" t="n"/>
      <c r="S144" s="7" t="n"/>
      <c r="T144" s="12" t="n"/>
      <c r="U144" s="6" t="n"/>
      <c r="V144" s="12" t="n"/>
      <c r="W144" s="12" t="n"/>
    </row>
    <row r="145">
      <c r="A145" s="5" t="n">
        <v>132</v>
      </c>
      <c r="B145" s="7" t="n"/>
      <c r="C145" s="7" t="n"/>
      <c r="D145" s="12" t="n"/>
      <c r="E145" s="6" t="n"/>
      <c r="F145" s="12" t="n"/>
      <c r="G145" s="12" t="n"/>
      <c r="I145" s="5" t="n">
        <v>132</v>
      </c>
      <c r="J145" s="6" t="n">
        <v>1.2948</v>
      </c>
      <c r="K145" s="6" t="n">
        <v>20.056</v>
      </c>
      <c r="L145" s="12">
        <f>(J145/$L$7)*100</f>
        <v/>
      </c>
      <c r="M145" s="6">
        <f>$L$6/(1-(L145/100))</f>
        <v/>
      </c>
      <c r="N145" s="12">
        <f>K145/M145</f>
        <v/>
      </c>
      <c r="O145" s="12">
        <f>N145+$L$10</f>
        <v/>
      </c>
      <c r="Q145" s="5" t="n">
        <v>132</v>
      </c>
      <c r="R145" s="7" t="n"/>
      <c r="S145" s="7" t="n"/>
      <c r="T145" s="12" t="n"/>
      <c r="U145" s="6" t="n"/>
      <c r="V145" s="12" t="n"/>
      <c r="W145" s="12" t="n"/>
    </row>
    <row r="146">
      <c r="A146" s="5" t="n">
        <v>133</v>
      </c>
      <c r="B146" s="7" t="n"/>
      <c r="C146" s="7" t="n"/>
      <c r="D146" s="12" t="n"/>
      <c r="E146" s="6" t="n"/>
      <c r="F146" s="12" t="n"/>
      <c r="G146" s="12" t="n"/>
      <c r="I146" s="5" t="n">
        <v>133</v>
      </c>
      <c r="J146" s="6" t="n">
        <v>1.3052</v>
      </c>
      <c r="K146" s="6" t="n">
        <v>19.998</v>
      </c>
      <c r="L146" s="12">
        <f>(J146/$L$7)*100</f>
        <v/>
      </c>
      <c r="M146" s="6">
        <f>$L$6/(1-(L146/100))</f>
        <v/>
      </c>
      <c r="N146" s="12">
        <f>K146/M146</f>
        <v/>
      </c>
      <c r="O146" s="12">
        <f>N146+$L$10</f>
        <v/>
      </c>
      <c r="Q146" s="5" t="n">
        <v>133</v>
      </c>
      <c r="R146" s="7" t="n"/>
      <c r="S146" s="7" t="n"/>
      <c r="T146" s="12" t="n"/>
      <c r="U146" s="6" t="n"/>
      <c r="V146" s="12" t="n"/>
      <c r="W146" s="12" t="n"/>
    </row>
    <row r="147">
      <c r="A147" s="5" t="n">
        <v>134</v>
      </c>
      <c r="B147" s="7" t="n"/>
      <c r="C147" s="7" t="n"/>
      <c r="D147" s="12" t="n"/>
      <c r="E147" s="6" t="n"/>
      <c r="F147" s="12" t="n"/>
      <c r="G147" s="12" t="n"/>
      <c r="I147" s="5" t="n">
        <v>134</v>
      </c>
      <c r="J147" s="6" t="n">
        <v>1.3156</v>
      </c>
      <c r="K147" s="6" t="n">
        <v>20.215</v>
      </c>
      <c r="L147" s="12">
        <f>(J147/$L$7)*100</f>
        <v/>
      </c>
      <c r="M147" s="6">
        <f>$L$6/(1-(L147/100))</f>
        <v/>
      </c>
      <c r="N147" s="12">
        <f>K147/M147</f>
        <v/>
      </c>
      <c r="O147" s="12">
        <f>N147+$L$10</f>
        <v/>
      </c>
      <c r="Q147" s="5" t="n">
        <v>134</v>
      </c>
      <c r="R147" s="7" t="n"/>
      <c r="S147" s="7" t="n"/>
      <c r="T147" s="12" t="n"/>
      <c r="U147" s="6" t="n"/>
      <c r="V147" s="12" t="n"/>
      <c r="W147" s="12" t="n"/>
    </row>
    <row r="148">
      <c r="A148" s="5" t="n">
        <v>135</v>
      </c>
      <c r="B148" s="7" t="n"/>
      <c r="C148" s="7" t="n"/>
      <c r="D148" s="12" t="n"/>
      <c r="E148" s="6" t="n"/>
      <c r="F148" s="12" t="n"/>
      <c r="G148" s="12" t="n"/>
      <c r="I148" s="5" t="n">
        <v>135</v>
      </c>
      <c r="J148" s="6" t="n">
        <v>1.3237</v>
      </c>
      <c r="K148" s="6" t="n">
        <v>20.208</v>
      </c>
      <c r="L148" s="12">
        <f>(J148/$L$7)*100</f>
        <v/>
      </c>
      <c r="M148" s="6">
        <f>$L$6/(1-(L148/100))</f>
        <v/>
      </c>
      <c r="N148" s="12">
        <f>K148/M148</f>
        <v/>
      </c>
      <c r="O148" s="12">
        <f>N148+$L$10</f>
        <v/>
      </c>
      <c r="Q148" s="5" t="n">
        <v>135</v>
      </c>
      <c r="R148" s="7" t="n"/>
      <c r="S148" s="7" t="n"/>
      <c r="T148" s="12" t="n"/>
      <c r="U148" s="6" t="n"/>
      <c r="V148" s="12" t="n"/>
      <c r="W148" s="12" t="n"/>
    </row>
    <row r="149">
      <c r="A149" s="5" t="n">
        <v>136</v>
      </c>
      <c r="B149" s="7" t="n"/>
      <c r="C149" s="7" t="n"/>
      <c r="D149" s="12" t="n"/>
      <c r="E149" s="6" t="n"/>
      <c r="F149" s="12" t="n"/>
      <c r="G149" s="12" t="n"/>
      <c r="I149" s="5" t="n">
        <v>136</v>
      </c>
      <c r="J149" s="6" t="n">
        <v>1.3342</v>
      </c>
      <c r="K149" s="6" t="n">
        <v>20.099</v>
      </c>
      <c r="L149" s="12">
        <f>(J149/$L$7)*100</f>
        <v/>
      </c>
      <c r="M149" s="6">
        <f>$L$6/(1-(L149/100))</f>
        <v/>
      </c>
      <c r="N149" s="12">
        <f>K149/M149</f>
        <v/>
      </c>
      <c r="O149" s="12">
        <f>N149+$L$10</f>
        <v/>
      </c>
      <c r="Q149" s="5" t="n">
        <v>136</v>
      </c>
      <c r="R149" s="7" t="n"/>
      <c r="S149" s="7" t="n"/>
      <c r="T149" s="12" t="n"/>
      <c r="U149" s="6" t="n"/>
      <c r="V149" s="12" t="n"/>
      <c r="W149" s="12" t="n"/>
    </row>
    <row r="150">
      <c r="A150" s="5" t="n">
        <v>137</v>
      </c>
      <c r="B150" s="7" t="n"/>
      <c r="C150" s="7" t="n"/>
      <c r="D150" s="12" t="n"/>
      <c r="E150" s="6" t="n"/>
      <c r="F150" s="12" t="n"/>
      <c r="G150" s="12" t="n"/>
      <c r="I150" s="5" t="n">
        <v>137</v>
      </c>
      <c r="J150" s="6" t="n">
        <v>1.3448</v>
      </c>
      <c r="K150" s="6" t="n">
        <v>20.286</v>
      </c>
      <c r="L150" s="12">
        <f>(J150/$L$7)*100</f>
        <v/>
      </c>
      <c r="M150" s="6">
        <f>$L$6/(1-(L150/100))</f>
        <v/>
      </c>
      <c r="N150" s="12">
        <f>K150/M150</f>
        <v/>
      </c>
      <c r="O150" s="12">
        <f>N150+$L$10</f>
        <v/>
      </c>
      <c r="Q150" s="5" t="n">
        <v>137</v>
      </c>
      <c r="R150" s="7" t="n"/>
      <c r="S150" s="7" t="n"/>
      <c r="T150" s="12" t="n"/>
      <c r="U150" s="6" t="n"/>
      <c r="V150" s="12" t="n"/>
      <c r="W150" s="12" t="n"/>
    </row>
    <row r="151">
      <c r="A151" s="5" t="n">
        <v>138</v>
      </c>
      <c r="B151" s="7" t="n"/>
      <c r="C151" s="7" t="n"/>
      <c r="D151" s="12" t="n"/>
      <c r="E151" s="6" t="n"/>
      <c r="F151" s="12" t="n"/>
      <c r="G151" s="12" t="n"/>
      <c r="I151" s="5" t="n">
        <v>138</v>
      </c>
      <c r="J151" s="6" t="n">
        <v>1.3552</v>
      </c>
      <c r="K151" s="6" t="n">
        <v>20.088</v>
      </c>
      <c r="L151" s="12">
        <f>(J151/$L$7)*100</f>
        <v/>
      </c>
      <c r="M151" s="6">
        <f>$L$6/(1-(L151/100))</f>
        <v/>
      </c>
      <c r="N151" s="12">
        <f>K151/M151</f>
        <v/>
      </c>
      <c r="O151" s="12">
        <f>N151+$L$10</f>
        <v/>
      </c>
      <c r="Q151" s="5" t="n">
        <v>138</v>
      </c>
      <c r="R151" s="7" t="n"/>
      <c r="S151" s="7" t="n"/>
      <c r="T151" s="12" t="n"/>
      <c r="U151" s="6" t="n"/>
      <c r="V151" s="12" t="n"/>
      <c r="W151" s="12" t="n"/>
    </row>
    <row r="152">
      <c r="A152" s="5" t="n">
        <v>139</v>
      </c>
      <c r="B152" s="7" t="n"/>
      <c r="C152" s="7" t="n"/>
      <c r="D152" s="12" t="n"/>
      <c r="E152" s="6" t="n"/>
      <c r="F152" s="12" t="n"/>
      <c r="G152" s="12" t="n"/>
      <c r="I152" s="5" t="n">
        <v>139</v>
      </c>
      <c r="J152" s="6" t="n">
        <v>1.3636</v>
      </c>
      <c r="K152" s="6" t="n">
        <v>20.088</v>
      </c>
      <c r="L152" s="12">
        <f>(J152/$L$7)*100</f>
        <v/>
      </c>
      <c r="M152" s="6">
        <f>$L$6/(1-(L152/100))</f>
        <v/>
      </c>
      <c r="N152" s="12">
        <f>K152/M152</f>
        <v/>
      </c>
      <c r="O152" s="12">
        <f>N152+$L$10</f>
        <v/>
      </c>
      <c r="Q152" s="5" t="n">
        <v>139</v>
      </c>
      <c r="R152" s="13" t="n"/>
      <c r="S152" s="13" t="n"/>
      <c r="T152" s="12" t="n"/>
      <c r="U152" s="6" t="n"/>
      <c r="V152" s="12" t="n"/>
      <c r="W152" s="12" t="n"/>
    </row>
    <row r="153">
      <c r="A153" s="5" t="n">
        <v>140</v>
      </c>
      <c r="B153" s="7" t="n"/>
      <c r="C153" s="7" t="n"/>
      <c r="D153" s="12" t="n"/>
      <c r="E153" s="6" t="n"/>
      <c r="F153" s="12" t="n"/>
      <c r="G153" s="12" t="n"/>
      <c r="I153" s="5" t="n">
        <v>140</v>
      </c>
      <c r="J153" s="6" t="n">
        <v>1.3738</v>
      </c>
      <c r="K153" s="6" t="n">
        <v>20.009</v>
      </c>
      <c r="L153" s="12">
        <f>(J153/$L$7)*100</f>
        <v/>
      </c>
      <c r="M153" s="6">
        <f>$L$6/(1-(L153/100))</f>
        <v/>
      </c>
      <c r="N153" s="12">
        <f>K153/M153</f>
        <v/>
      </c>
      <c r="O153" s="12">
        <f>N153+$L$10</f>
        <v/>
      </c>
      <c r="Q153" s="5" t="n">
        <v>140</v>
      </c>
      <c r="R153" s="13" t="n"/>
      <c r="S153" s="13" t="n"/>
      <c r="T153" s="12" t="n"/>
      <c r="U153" s="6" t="n"/>
      <c r="V153" s="12" t="n"/>
      <c r="W153" s="12" t="n"/>
    </row>
    <row r="154">
      <c r="A154" s="5" t="n">
        <v>141</v>
      </c>
      <c r="B154" s="7" t="n"/>
      <c r="C154" s="7" t="n"/>
      <c r="D154" s="12" t="n"/>
      <c r="E154" s="6" t="n"/>
      <c r="F154" s="12" t="n"/>
      <c r="G154" s="12" t="n"/>
      <c r="I154" s="5" t="n">
        <v>141</v>
      </c>
      <c r="J154" s="6" t="n">
        <v>1.3841</v>
      </c>
      <c r="K154" s="6" t="n">
        <v>20.17</v>
      </c>
      <c r="L154" s="12">
        <f>(J154/$L$7)*100</f>
        <v/>
      </c>
      <c r="M154" s="6">
        <f>$L$6/(1-(L154/100))</f>
        <v/>
      </c>
      <c r="N154" s="12">
        <f>K154/M154</f>
        <v/>
      </c>
      <c r="O154" s="12">
        <f>N154+$L$10</f>
        <v/>
      </c>
      <c r="Q154" s="5" t="n">
        <v>141</v>
      </c>
      <c r="R154" s="13" t="n"/>
      <c r="S154" s="13" t="n"/>
      <c r="T154" s="12" t="n"/>
      <c r="U154" s="6" t="n"/>
      <c r="V154" s="12" t="n"/>
      <c r="W154" s="12" t="n"/>
    </row>
    <row r="155">
      <c r="A155" s="5" t="n">
        <v>142</v>
      </c>
      <c r="B155" s="7" t="n"/>
      <c r="C155" s="7" t="n"/>
      <c r="D155" s="12" t="n"/>
      <c r="E155" s="6" t="n"/>
      <c r="F155" s="12" t="n"/>
      <c r="G155" s="12" t="n"/>
      <c r="I155" s="5" t="n">
        <v>142</v>
      </c>
      <c r="J155" s="6" t="n">
        <v>1.3924</v>
      </c>
      <c r="K155" s="6" t="n">
        <v>20.184</v>
      </c>
      <c r="L155" s="12">
        <f>(J155/$L$7)*100</f>
        <v/>
      </c>
      <c r="M155" s="6">
        <f>$L$6/(1-(L155/100))</f>
        <v/>
      </c>
      <c r="N155" s="12">
        <f>K155/M155</f>
        <v/>
      </c>
      <c r="O155" s="12">
        <f>N155+$L$10</f>
        <v/>
      </c>
      <c r="Q155" s="5" t="n">
        <v>142</v>
      </c>
      <c r="R155" s="13" t="n"/>
      <c r="S155" s="13" t="n"/>
      <c r="T155" s="12" t="n"/>
      <c r="U155" s="6" t="n"/>
      <c r="V155" s="12" t="n"/>
      <c r="W155" s="12" t="n"/>
    </row>
    <row r="156">
      <c r="A156" s="5" t="n">
        <v>143</v>
      </c>
      <c r="B156" s="7" t="n"/>
      <c r="C156" s="7" t="n"/>
      <c r="D156" s="12" t="n"/>
      <c r="E156" s="6" t="n"/>
      <c r="F156" s="12" t="n"/>
      <c r="G156" s="12" t="n"/>
      <c r="I156" s="5" t="n">
        <v>143</v>
      </c>
      <c r="J156" s="6" t="n">
        <v>1.4005</v>
      </c>
      <c r="K156" s="6" t="n">
        <v>20.137</v>
      </c>
      <c r="L156" s="12">
        <f>(J156/$L$7)*100</f>
        <v/>
      </c>
      <c r="M156" s="6">
        <f>$L$6/(1-(L156/100))</f>
        <v/>
      </c>
      <c r="N156" s="12">
        <f>K156/M156</f>
        <v/>
      </c>
      <c r="O156" s="12">
        <f>N156+$L$10</f>
        <v/>
      </c>
      <c r="Q156" s="5" t="n">
        <v>143</v>
      </c>
      <c r="R156" s="13" t="n"/>
      <c r="S156" s="13" t="n"/>
      <c r="T156" s="12" t="n"/>
      <c r="U156" s="6" t="n"/>
      <c r="V156" s="12" t="n"/>
      <c r="W156" s="12" t="n"/>
    </row>
    <row r="157">
      <c r="A157" s="5" t="n">
        <v>144</v>
      </c>
      <c r="B157" s="7" t="n"/>
      <c r="C157" s="7" t="n"/>
      <c r="D157" s="12" t="n"/>
      <c r="E157" s="6" t="n"/>
      <c r="F157" s="12" t="n"/>
      <c r="G157" s="12" t="n"/>
      <c r="I157" s="5" t="n">
        <v>144</v>
      </c>
      <c r="J157" s="6" t="n">
        <v>1.4113</v>
      </c>
      <c r="K157" s="6" t="n">
        <v>19.965</v>
      </c>
      <c r="L157" s="12">
        <f>(J157/$L$7)*100</f>
        <v/>
      </c>
      <c r="M157" s="6">
        <f>$L$6/(1-(L157/100))</f>
        <v/>
      </c>
      <c r="N157" s="12">
        <f>K157/M157</f>
        <v/>
      </c>
      <c r="O157" s="12">
        <f>N157+$L$10</f>
        <v/>
      </c>
      <c r="Q157" s="5" t="n">
        <v>144</v>
      </c>
      <c r="R157" s="13" t="n"/>
      <c r="S157" s="13" t="n"/>
      <c r="T157" s="12" t="n"/>
      <c r="U157" s="6" t="n"/>
      <c r="V157" s="12" t="n"/>
      <c r="W157" s="12" t="n"/>
    </row>
    <row r="158">
      <c r="A158" s="5" t="n">
        <v>145</v>
      </c>
      <c r="B158" s="7" t="n"/>
      <c r="C158" s="7" t="n"/>
      <c r="D158" s="12" t="n"/>
      <c r="E158" s="6" t="n"/>
      <c r="F158" s="12" t="n"/>
      <c r="G158" s="12" t="n"/>
      <c r="I158" s="5" t="n">
        <v>145</v>
      </c>
      <c r="J158" s="6" t="n">
        <v>1.424</v>
      </c>
      <c r="K158" s="6" t="n">
        <v>20.001</v>
      </c>
      <c r="L158" s="12">
        <f>(J158/$L$7)*100</f>
        <v/>
      </c>
      <c r="M158" s="6">
        <f>$L$6/(1-(L158/100))</f>
        <v/>
      </c>
      <c r="N158" s="12">
        <f>K158/M158</f>
        <v/>
      </c>
      <c r="O158" s="12">
        <f>N158+$L$10</f>
        <v/>
      </c>
      <c r="Q158" s="5" t="n">
        <v>145</v>
      </c>
      <c r="R158" s="13" t="n"/>
      <c r="S158" s="13" t="n"/>
      <c r="T158" s="12" t="n"/>
      <c r="U158" s="6" t="n"/>
      <c r="V158" s="12" t="n"/>
      <c r="W158" s="12" t="n"/>
    </row>
    <row r="159">
      <c r="A159" s="5" t="n">
        <v>146</v>
      </c>
      <c r="B159" s="7" t="n"/>
      <c r="C159" s="7" t="n"/>
      <c r="D159" s="12" t="n"/>
      <c r="E159" s="6" t="n"/>
      <c r="F159" s="12" t="n"/>
      <c r="G159" s="12" t="n"/>
      <c r="I159" s="5" t="n">
        <v>146</v>
      </c>
      <c r="J159" s="6" t="n">
        <v>1.4325</v>
      </c>
      <c r="K159" s="6" t="n">
        <v>20.206</v>
      </c>
      <c r="L159" s="12">
        <f>(J159/$L$7)*100</f>
        <v/>
      </c>
      <c r="M159" s="6">
        <f>$L$6/(1-(L159/100))</f>
        <v/>
      </c>
      <c r="N159" s="12">
        <f>K159/M159</f>
        <v/>
      </c>
      <c r="O159" s="12">
        <f>N159+$L$10</f>
        <v/>
      </c>
      <c r="Q159" s="5" t="n">
        <v>146</v>
      </c>
      <c r="R159" s="13" t="n"/>
      <c r="S159" s="13" t="n"/>
      <c r="T159" s="12" t="n"/>
      <c r="U159" s="6" t="n"/>
      <c r="V159" s="12" t="n"/>
      <c r="W159" s="12" t="n"/>
    </row>
    <row r="160">
      <c r="A160" s="5" t="n">
        <v>147</v>
      </c>
      <c r="B160" s="7" t="n"/>
      <c r="C160" s="7" t="n"/>
      <c r="D160" s="12" t="n"/>
      <c r="E160" s="6" t="n"/>
      <c r="F160" s="12" t="n"/>
      <c r="G160" s="12" t="n"/>
      <c r="I160" s="5" t="n">
        <v>147</v>
      </c>
      <c r="J160" s="6" t="n">
        <v>1.4411</v>
      </c>
      <c r="K160" s="6" t="n">
        <v>20.256</v>
      </c>
      <c r="L160" s="12">
        <f>(J160/$L$7)*100</f>
        <v/>
      </c>
      <c r="M160" s="6">
        <f>$L$6/(1-(L160/100))</f>
        <v/>
      </c>
      <c r="N160" s="12">
        <f>K160/M160</f>
        <v/>
      </c>
      <c r="O160" s="12">
        <f>N160+$L$10</f>
        <v/>
      </c>
      <c r="Q160" s="5" t="n">
        <v>147</v>
      </c>
      <c r="R160" s="13" t="n"/>
      <c r="S160" s="13" t="n"/>
      <c r="T160" s="12" t="n"/>
      <c r="U160" s="6" t="n"/>
      <c r="V160" s="12" t="n"/>
      <c r="W160" s="12" t="n"/>
    </row>
    <row r="161">
      <c r="A161" s="5" t="n">
        <v>148</v>
      </c>
      <c r="B161" s="7" t="n"/>
      <c r="C161" s="7" t="n"/>
      <c r="D161" s="12" t="n"/>
      <c r="E161" s="6" t="n"/>
      <c r="F161" s="12" t="n"/>
      <c r="G161" s="12" t="n"/>
      <c r="I161" s="5" t="n">
        <v>148</v>
      </c>
      <c r="J161" s="6" t="n">
        <v>1.4518</v>
      </c>
      <c r="K161" s="6" t="n">
        <v>20.559</v>
      </c>
      <c r="L161" s="12">
        <f>(J161/$L$7)*100</f>
        <v/>
      </c>
      <c r="M161" s="6">
        <f>$L$6/(1-(L161/100))</f>
        <v/>
      </c>
      <c r="N161" s="12">
        <f>K161/M161</f>
        <v/>
      </c>
      <c r="O161" s="12">
        <f>N161+$L$10</f>
        <v/>
      </c>
      <c r="Q161" s="5" t="n">
        <v>148</v>
      </c>
      <c r="R161" s="13" t="n"/>
      <c r="S161" s="13" t="n"/>
      <c r="T161" s="12" t="n"/>
      <c r="U161" s="6" t="n"/>
      <c r="V161" s="12" t="n"/>
      <c r="W161" s="12" t="n"/>
    </row>
    <row r="162">
      <c r="A162" s="5" t="n">
        <v>149</v>
      </c>
      <c r="B162" s="7" t="n"/>
      <c r="C162" s="7" t="n"/>
      <c r="D162" s="12" t="n"/>
      <c r="E162" s="6" t="n"/>
      <c r="F162" s="12" t="n"/>
      <c r="G162" s="12" t="n"/>
      <c r="I162" s="5" t="n">
        <v>149</v>
      </c>
      <c r="J162" s="6" t="n">
        <v>1.4618</v>
      </c>
      <c r="K162" s="6" t="n">
        <v>20.544</v>
      </c>
      <c r="L162" s="12">
        <f>(J162/$L$7)*100</f>
        <v/>
      </c>
      <c r="M162" s="6">
        <f>$L$6/(1-(L162/100))</f>
        <v/>
      </c>
      <c r="N162" s="12">
        <f>K162/M162</f>
        <v/>
      </c>
      <c r="O162" s="12">
        <f>N162+$L$10</f>
        <v/>
      </c>
      <c r="Q162" s="5" t="n">
        <v>149</v>
      </c>
      <c r="R162" s="13" t="n"/>
      <c r="S162" s="13" t="n"/>
      <c r="T162" s="12" t="n"/>
      <c r="U162" s="6" t="n"/>
      <c r="V162" s="12" t="n"/>
      <c r="W162" s="12" t="n"/>
    </row>
    <row r="163">
      <c r="A163" s="5" t="n">
        <v>150</v>
      </c>
      <c r="B163" s="7" t="n"/>
      <c r="C163" s="7" t="n"/>
      <c r="D163" s="12" t="n"/>
      <c r="E163" s="6" t="n"/>
      <c r="F163" s="12" t="n"/>
      <c r="G163" s="12" t="n"/>
      <c r="I163" s="5" t="n">
        <v>150</v>
      </c>
      <c r="J163" s="6" t="n">
        <v>1.465</v>
      </c>
      <c r="K163" s="6" t="n">
        <v>20.472</v>
      </c>
      <c r="L163" s="12">
        <f>(J163/$L$7)*100</f>
        <v/>
      </c>
      <c r="M163" s="6">
        <f>$L$6/(1-(L163/100))</f>
        <v/>
      </c>
      <c r="N163" s="12">
        <f>K163/M163</f>
        <v/>
      </c>
      <c r="O163" s="12">
        <f>N163+$L$10</f>
        <v/>
      </c>
      <c r="Q163" s="5" t="n">
        <v>150</v>
      </c>
      <c r="R163" s="13" t="n"/>
      <c r="S163" s="13" t="n"/>
      <c r="T163" s="12" t="n"/>
      <c r="U163" s="6" t="n"/>
      <c r="V163" s="12" t="n"/>
      <c r="W163" s="12" t="n"/>
    </row>
    <row r="164">
      <c r="A164" s="5" t="n">
        <v>151</v>
      </c>
      <c r="B164" s="7" t="n"/>
      <c r="C164" s="7" t="n"/>
      <c r="D164" s="12" t="n"/>
      <c r="E164" s="6" t="n"/>
      <c r="F164" s="12" t="n"/>
      <c r="G164" s="12" t="n"/>
      <c r="I164" s="5" t="n">
        <v>151</v>
      </c>
      <c r="J164" s="6" t="n"/>
      <c r="K164" s="6" t="n"/>
      <c r="L164" s="12" t="n"/>
      <c r="M164" s="6" t="n"/>
      <c r="N164" s="12" t="n"/>
      <c r="O164" s="12" t="n"/>
      <c r="Q164" s="5" t="n">
        <v>151</v>
      </c>
      <c r="R164" s="13" t="n"/>
      <c r="S164" s="13" t="n"/>
      <c r="T164" s="12" t="n"/>
      <c r="U164" s="6" t="n"/>
      <c r="V164" s="12" t="n"/>
      <c r="W164" s="12" t="n"/>
    </row>
    <row r="165">
      <c r="A165" s="5" t="n">
        <v>152</v>
      </c>
      <c r="B165" s="7" t="n"/>
      <c r="C165" s="7" t="n"/>
      <c r="D165" s="12" t="n"/>
      <c r="E165" s="6" t="n"/>
      <c r="F165" s="12" t="n"/>
      <c r="G165" s="12" t="n"/>
      <c r="I165" s="5" t="n">
        <v>152</v>
      </c>
      <c r="J165" s="6" t="n"/>
      <c r="K165" s="6" t="n"/>
      <c r="L165" s="12" t="n"/>
      <c r="M165" s="6" t="n"/>
      <c r="N165" s="12" t="n"/>
      <c r="O165" s="12" t="n"/>
      <c r="Q165" s="5" t="n">
        <v>152</v>
      </c>
      <c r="R165" s="13" t="n"/>
      <c r="S165" s="13" t="n"/>
      <c r="T165" s="12" t="n"/>
      <c r="U165" s="6" t="n"/>
      <c r="V165" s="12" t="n"/>
      <c r="W165" s="12" t="n"/>
    </row>
    <row r="166">
      <c r="A166" s="5" t="n">
        <v>153</v>
      </c>
      <c r="B166" s="7" t="n"/>
      <c r="C166" s="7" t="n"/>
      <c r="D166" s="12" t="n"/>
      <c r="E166" s="6" t="n"/>
      <c r="F166" s="12" t="n"/>
      <c r="G166" s="12" t="n"/>
      <c r="I166" s="5" t="n">
        <v>153</v>
      </c>
      <c r="J166" s="6" t="n"/>
      <c r="K166" s="6" t="n"/>
      <c r="L166" s="12" t="n"/>
      <c r="M166" s="6" t="n"/>
      <c r="N166" s="12" t="n"/>
      <c r="O166" s="12" t="n"/>
      <c r="Q166" s="5" t="n">
        <v>153</v>
      </c>
      <c r="R166" s="13" t="n"/>
      <c r="S166" s="13" t="n"/>
      <c r="T166" s="12" t="n"/>
      <c r="U166" s="6" t="n"/>
      <c r="V166" s="12" t="n"/>
      <c r="W166" s="12" t="n"/>
    </row>
    <row r="167">
      <c r="A167" s="5" t="n">
        <v>154</v>
      </c>
      <c r="B167" s="7" t="n"/>
      <c r="C167" s="7" t="n"/>
      <c r="D167" s="12" t="n"/>
      <c r="E167" s="6" t="n"/>
      <c r="F167" s="12" t="n"/>
      <c r="G167" s="12" t="n"/>
      <c r="I167" s="5" t="n">
        <v>154</v>
      </c>
      <c r="J167" s="6" t="n"/>
      <c r="K167" s="6" t="n"/>
      <c r="L167" s="12" t="n"/>
      <c r="M167" s="6" t="n"/>
      <c r="N167" s="12" t="n"/>
      <c r="O167" s="12" t="n"/>
      <c r="Q167" s="5" t="n">
        <v>154</v>
      </c>
      <c r="R167" s="13" t="n"/>
      <c r="S167" s="13" t="n"/>
      <c r="T167" s="12" t="n"/>
      <c r="U167" s="6" t="n"/>
      <c r="V167" s="12" t="n"/>
      <c r="W167" s="12" t="n"/>
    </row>
    <row r="168">
      <c r="A168" s="5" t="n">
        <v>155</v>
      </c>
      <c r="B168" s="7" t="n"/>
      <c r="C168" s="7" t="n"/>
      <c r="D168" s="12" t="n"/>
      <c r="E168" s="6" t="n"/>
      <c r="F168" s="12" t="n"/>
      <c r="G168" s="12" t="n"/>
      <c r="I168" s="5" t="n">
        <v>155</v>
      </c>
      <c r="J168" s="6" t="n"/>
      <c r="K168" s="6" t="n"/>
      <c r="L168" s="12" t="n"/>
      <c r="M168" s="6" t="n"/>
      <c r="N168" s="12" t="n"/>
      <c r="O168" s="12" t="n"/>
      <c r="Q168" s="5" t="n">
        <v>155</v>
      </c>
      <c r="R168" s="13" t="n"/>
      <c r="S168" s="13" t="n"/>
      <c r="T168" s="12" t="n"/>
      <c r="U168" s="6" t="n"/>
      <c r="V168" s="12" t="n"/>
      <c r="W168" s="12" t="n"/>
    </row>
    <row r="169">
      <c r="A169" s="5" t="n">
        <v>156</v>
      </c>
      <c r="B169" s="7" t="n"/>
      <c r="C169" s="7" t="n"/>
      <c r="D169" s="12" t="n"/>
      <c r="E169" s="6" t="n"/>
      <c r="F169" s="12" t="n"/>
      <c r="G169" s="12" t="n"/>
      <c r="I169" s="5" t="n">
        <v>156</v>
      </c>
      <c r="J169" s="6" t="n"/>
      <c r="K169" s="6" t="n"/>
      <c r="L169" s="12" t="n"/>
      <c r="M169" s="6" t="n"/>
      <c r="N169" s="12" t="n"/>
      <c r="O169" s="12" t="n"/>
      <c r="Q169" s="5" t="n">
        <v>156</v>
      </c>
      <c r="R169" s="13" t="n"/>
      <c r="S169" s="13" t="n"/>
      <c r="T169" s="12" t="n"/>
      <c r="U169" s="6" t="n"/>
      <c r="V169" s="12" t="n"/>
      <c r="W169" s="12" t="n"/>
    </row>
    <row r="170">
      <c r="A170" s="5" t="n">
        <v>157</v>
      </c>
      <c r="I170" s="5" t="n">
        <v>157</v>
      </c>
      <c r="Q170" s="5" t="n">
        <v>157</v>
      </c>
    </row>
    <row r="171">
      <c r="A171" s="5" t="n">
        <v>158</v>
      </c>
      <c r="I171" s="5" t="n">
        <v>158</v>
      </c>
      <c r="Q171" s="5" t="n">
        <v>158</v>
      </c>
    </row>
    <row r="172">
      <c r="A172" s="5" t="n">
        <v>159</v>
      </c>
      <c r="I172" s="5" t="n">
        <v>159</v>
      </c>
      <c r="Q172" s="5" t="n">
        <v>159</v>
      </c>
    </row>
    <row r="173">
      <c r="A173" s="5" t="n">
        <v>160</v>
      </c>
      <c r="I173" s="5" t="n">
        <v>160</v>
      </c>
      <c r="Q173" s="5" t="n">
        <v>160</v>
      </c>
    </row>
    <row r="174">
      <c r="A174" s="5" t="n">
        <v>161</v>
      </c>
      <c r="I174" s="5" t="n">
        <v>161</v>
      </c>
      <c r="Q174" s="5" t="n">
        <v>161</v>
      </c>
    </row>
    <row r="175">
      <c r="A175" s="5" t="n">
        <v>162</v>
      </c>
      <c r="I175" s="5" t="n">
        <v>162</v>
      </c>
      <c r="Q175" s="5" t="n">
        <v>162</v>
      </c>
    </row>
    <row r="176">
      <c r="A176" s="5" t="n">
        <v>163</v>
      </c>
      <c r="I176" s="5" t="n">
        <v>163</v>
      </c>
      <c r="Q176" s="5" t="n">
        <v>163</v>
      </c>
    </row>
    <row r="177">
      <c r="A177" s="5" t="n">
        <v>164</v>
      </c>
      <c r="I177" s="5" t="n">
        <v>164</v>
      </c>
      <c r="Q177" s="5" t="n">
        <v>164</v>
      </c>
    </row>
    <row r="178">
      <c r="A178" s="5" t="n">
        <v>165</v>
      </c>
      <c r="I178" s="5" t="n">
        <v>165</v>
      </c>
      <c r="Q178" s="5" t="n">
        <v>165</v>
      </c>
    </row>
    <row r="179">
      <c r="A179" s="5" t="n">
        <v>166</v>
      </c>
      <c r="I179" s="5" t="n">
        <v>166</v>
      </c>
      <c r="Q179" s="5" t="n">
        <v>166</v>
      </c>
    </row>
    <row r="180">
      <c r="A180" s="5" t="n">
        <v>167</v>
      </c>
      <c r="I180" s="5" t="n">
        <v>167</v>
      </c>
      <c r="Q180" s="5" t="n">
        <v>167</v>
      </c>
    </row>
    <row r="181">
      <c r="A181" s="5" t="n">
        <v>168</v>
      </c>
      <c r="I181" s="5" t="n">
        <v>168</v>
      </c>
      <c r="Q181" s="5" t="n">
        <v>168</v>
      </c>
    </row>
    <row r="182">
      <c r="A182" s="5" t="n">
        <v>169</v>
      </c>
      <c r="I182" s="5" t="n">
        <v>169</v>
      </c>
      <c r="Q182" s="5" t="n">
        <v>169</v>
      </c>
    </row>
    <row r="183">
      <c r="A183" s="5" t="n">
        <v>170</v>
      </c>
      <c r="I183" s="5" t="n">
        <v>170</v>
      </c>
      <c r="Q183" s="5" t="n">
        <v>170</v>
      </c>
    </row>
    <row r="184">
      <c r="A184" s="5" t="n">
        <v>171</v>
      </c>
      <c r="I184" s="5" t="n">
        <v>171</v>
      </c>
      <c r="Q184" s="5" t="n">
        <v>171</v>
      </c>
    </row>
    <row r="185">
      <c r="A185" s="5" t="n">
        <v>172</v>
      </c>
      <c r="I185" s="5" t="n">
        <v>172</v>
      </c>
      <c r="Q185" s="5" t="n">
        <v>172</v>
      </c>
    </row>
    <row r="186">
      <c r="A186" s="5" t="n">
        <v>173</v>
      </c>
      <c r="I186" s="5" t="n">
        <v>173</v>
      </c>
      <c r="Q186" s="5" t="n">
        <v>173</v>
      </c>
    </row>
    <row r="187">
      <c r="A187" s="5" t="n">
        <v>174</v>
      </c>
      <c r="I187" s="5" t="n">
        <v>174</v>
      </c>
      <c r="Q187" s="5" t="n">
        <v>174</v>
      </c>
    </row>
    <row r="188">
      <c r="A188" s="5" t="n">
        <v>175</v>
      </c>
      <c r="I188" s="5" t="n">
        <v>175</v>
      </c>
      <c r="Q188" s="5" t="n">
        <v>175</v>
      </c>
    </row>
    <row r="189">
      <c r="A189" s="5" t="n">
        <v>176</v>
      </c>
      <c r="I189" s="5" t="n">
        <v>176</v>
      </c>
      <c r="Q189" s="5" t="n">
        <v>176</v>
      </c>
    </row>
    <row r="190">
      <c r="A190" s="5" t="n">
        <v>177</v>
      </c>
      <c r="I190" s="5" t="n">
        <v>177</v>
      </c>
      <c r="Q190" s="5" t="n">
        <v>177</v>
      </c>
    </row>
    <row r="191">
      <c r="A191" s="5" t="n">
        <v>178</v>
      </c>
      <c r="I191" s="5" t="n">
        <v>178</v>
      </c>
      <c r="Q191" s="5" t="n">
        <v>178</v>
      </c>
    </row>
    <row r="192">
      <c r="A192" s="5" t="n">
        <v>179</v>
      </c>
      <c r="I192" s="5" t="n">
        <v>179</v>
      </c>
      <c r="Q192" s="5" t="n">
        <v>179</v>
      </c>
    </row>
    <row r="193">
      <c r="A193" s="5" t="n">
        <v>180</v>
      </c>
      <c r="I193" s="5" t="n">
        <v>180</v>
      </c>
      <c r="Q193" s="5" t="n">
        <v>180</v>
      </c>
    </row>
    <row r="194">
      <c r="A194" s="5" t="n">
        <v>181</v>
      </c>
      <c r="I194" s="5" t="n">
        <v>181</v>
      </c>
      <c r="Q194" s="5" t="n">
        <v>181</v>
      </c>
    </row>
    <row r="195">
      <c r="A195" s="5" t="n">
        <v>182</v>
      </c>
      <c r="I195" s="5" t="n">
        <v>182</v>
      </c>
      <c r="Q195" s="5" t="n">
        <v>182</v>
      </c>
    </row>
    <row r="196">
      <c r="A196" s="5" t="n">
        <v>183</v>
      </c>
      <c r="I196" s="5" t="n">
        <v>183</v>
      </c>
      <c r="Q196" s="5" t="n">
        <v>183</v>
      </c>
    </row>
    <row r="197">
      <c r="A197" s="5" t="n">
        <v>184</v>
      </c>
      <c r="I197" s="5" t="n">
        <v>184</v>
      </c>
      <c r="Q197" s="5" t="n">
        <v>184</v>
      </c>
    </row>
    <row r="198">
      <c r="A198" s="5" t="n">
        <v>185</v>
      </c>
      <c r="I198" s="5" t="n">
        <v>185</v>
      </c>
      <c r="Q198" s="5" t="n">
        <v>185</v>
      </c>
    </row>
    <row r="199">
      <c r="A199" s="5" t="n">
        <v>186</v>
      </c>
      <c r="I199" s="5" t="n">
        <v>186</v>
      </c>
      <c r="Q199" s="5" t="n">
        <v>186</v>
      </c>
    </row>
    <row r="200">
      <c r="A200" s="5" t="n">
        <v>187</v>
      </c>
      <c r="I200" s="5" t="n">
        <v>187</v>
      </c>
      <c r="Q200" s="5" t="n">
        <v>187</v>
      </c>
    </row>
    <row r="201">
      <c r="A201" s="5" t="n">
        <v>188</v>
      </c>
      <c r="I201" s="5" t="n">
        <v>188</v>
      </c>
      <c r="Q201" s="5" t="n">
        <v>188</v>
      </c>
    </row>
    <row r="202">
      <c r="A202" s="5" t="n">
        <v>189</v>
      </c>
      <c r="I202" s="5" t="n">
        <v>189</v>
      </c>
      <c r="Q202" s="5" t="n">
        <v>189</v>
      </c>
    </row>
    <row r="203">
      <c r="A203" s="5" t="n">
        <v>190</v>
      </c>
      <c r="I203" s="5" t="n">
        <v>190</v>
      </c>
      <c r="Q203" s="5" t="n">
        <v>190</v>
      </c>
    </row>
    <row r="204">
      <c r="A204" s="5" t="n">
        <v>191</v>
      </c>
      <c r="I204" s="5" t="n">
        <v>191</v>
      </c>
      <c r="Q204" s="5" t="n">
        <v>191</v>
      </c>
    </row>
    <row r="205">
      <c r="A205" s="5" t="n">
        <v>192</v>
      </c>
      <c r="I205" s="5" t="n">
        <v>192</v>
      </c>
      <c r="Q205" s="5" t="n">
        <v>192</v>
      </c>
    </row>
    <row r="206">
      <c r="A206" s="5" t="n">
        <v>193</v>
      </c>
      <c r="I206" s="5" t="n">
        <v>193</v>
      </c>
      <c r="Q206" s="5" t="n">
        <v>193</v>
      </c>
    </row>
    <row r="207">
      <c r="A207" s="5" t="n">
        <v>194</v>
      </c>
      <c r="I207" s="5" t="n">
        <v>194</v>
      </c>
      <c r="Q207" s="5" t="n">
        <v>194</v>
      </c>
    </row>
    <row r="208">
      <c r="A208" s="5" t="n">
        <v>195</v>
      </c>
      <c r="I208" s="5" t="n">
        <v>195</v>
      </c>
      <c r="Q208" s="5" t="n">
        <v>195</v>
      </c>
    </row>
    <row r="209">
      <c r="A209" s="5" t="n">
        <v>196</v>
      </c>
      <c r="I209" s="5" t="n">
        <v>196</v>
      </c>
      <c r="Q209" s="5" t="n">
        <v>196</v>
      </c>
    </row>
    <row r="210">
      <c r="A210" s="5" t="n">
        <v>197</v>
      </c>
      <c r="I210" s="5" t="n">
        <v>197</v>
      </c>
      <c r="Q210" s="5" t="n">
        <v>197</v>
      </c>
    </row>
    <row r="211">
      <c r="A211" s="5" t="n">
        <v>198</v>
      </c>
      <c r="I211" s="5" t="n">
        <v>198</v>
      </c>
      <c r="Q211" s="5" t="n">
        <v>198</v>
      </c>
    </row>
    <row r="212">
      <c r="A212" s="5" t="n">
        <v>199</v>
      </c>
      <c r="I212" s="5" t="n">
        <v>199</v>
      </c>
      <c r="Q212" s="5" t="n">
        <v>199</v>
      </c>
    </row>
    <row r="213">
      <c r="A213" s="5" t="n">
        <v>200</v>
      </c>
      <c r="I213" s="5" t="n">
        <v>200</v>
      </c>
      <c r="Q213" s="5" t="n">
        <v>200</v>
      </c>
    </row>
  </sheetData>
  <mergeCells count="23">
    <mergeCell ref="Q5:S5"/>
    <mergeCell ref="Q10:S10"/>
    <mergeCell ref="A2:C2"/>
    <mergeCell ref="Q6:S6"/>
    <mergeCell ref="A5:C5"/>
    <mergeCell ref="A8:C8"/>
    <mergeCell ref="I5:K5"/>
    <mergeCell ref="Q9:S9"/>
    <mergeCell ref="I8:K8"/>
    <mergeCell ref="A10:C10"/>
    <mergeCell ref="Q11:S11"/>
    <mergeCell ref="I10:K10"/>
    <mergeCell ref="I9:K9"/>
    <mergeCell ref="A9:C9"/>
    <mergeCell ref="Q7:S7"/>
    <mergeCell ref="I6:K6"/>
    <mergeCell ref="I11:K11"/>
    <mergeCell ref="A11:C11"/>
    <mergeCell ref="A1:C1"/>
    <mergeCell ref="A6:C6"/>
    <mergeCell ref="Q8:S8"/>
    <mergeCell ref="A7:C7"/>
    <mergeCell ref="I7:K7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I5"/>
  <sheetViews>
    <sheetView tabSelected="1" zoomScale="115" zoomScaleNormal="115" workbookViewId="0">
      <selection activeCell="C6" sqref="C6"/>
    </sheetView>
  </sheetViews>
  <sheetFormatPr baseColWidth="8" defaultRowHeight="15"/>
  <sheetData>
    <row r="1" ht="59.45" customHeight="1">
      <c r="A1" s="1" t="inlineStr">
        <is>
          <t>SR No.</t>
        </is>
      </c>
      <c r="B1" s="1" t="inlineStr">
        <is>
          <t>BH ID</t>
        </is>
      </c>
      <c r="C1" s="1" t="inlineStr">
        <is>
          <t>Depth (m)</t>
        </is>
      </c>
      <c r="D1" s="1" t="inlineStr">
        <is>
          <t>Trial</t>
        </is>
      </c>
      <c r="E1" s="8" t="inlineStr">
        <is>
          <t>Max Cell Pressure (kg/cm2)</t>
        </is>
      </c>
      <c r="F1" s="8" t="inlineStr">
        <is>
          <t>Max Vertical Stress (kg/cm2)</t>
        </is>
      </c>
      <c r="G1" s="8" t="inlineStr">
        <is>
          <t xml:space="preserve">Max Deviatoric Stress (kg/cm2) </t>
        </is>
      </c>
      <c r="H1" s="8" t="inlineStr">
        <is>
          <t>Cohesion (kg/cm2)</t>
        </is>
      </c>
      <c r="I1" s="8" t="inlineStr">
        <is>
          <t>Angle of Internal Friction (ɸ)</t>
        </is>
      </c>
    </row>
    <row r="2" ht="15.6" customHeight="1">
      <c r="A2" s="1" t="inlineStr">
        <is>
          <t>-</t>
        </is>
      </c>
      <c r="B2" s="1" t="inlineStr">
        <is>
          <t>-</t>
        </is>
      </c>
      <c r="C2" s="1" t="inlineStr">
        <is>
          <t>-</t>
        </is>
      </c>
      <c r="D2" s="1" t="inlineStr">
        <is>
          <t>-</t>
        </is>
      </c>
      <c r="E2" s="10" t="inlineStr">
        <is>
          <t xml:space="preserve"> (σ3 max)</t>
        </is>
      </c>
      <c r="F2" s="10" t="inlineStr">
        <is>
          <t>(σ1 max)</t>
        </is>
      </c>
      <c r="G2" s="10" t="inlineStr">
        <is>
          <t>(σd max)</t>
        </is>
      </c>
      <c r="H2" s="10" t="inlineStr">
        <is>
          <t>©</t>
        </is>
      </c>
      <c r="I2" s="10" t="inlineStr">
        <is>
          <t>(º)</t>
        </is>
      </c>
    </row>
    <row r="3">
      <c r="A3" s="20" t="n">
        <v>1</v>
      </c>
      <c r="B3" s="20">
        <f>Input!D1</f>
        <v/>
      </c>
      <c r="C3" s="17">
        <f>Input!D2</f>
        <v/>
      </c>
      <c r="D3" s="20" t="n">
        <v>1</v>
      </c>
      <c r="E3" s="17">
        <f>Input!D10</f>
        <v/>
      </c>
      <c r="F3" s="17">
        <f>Input!D11</f>
        <v/>
      </c>
      <c r="G3" s="17">
        <f>F3-E3</f>
        <v/>
      </c>
      <c r="H3" s="17" t="n">
        <v>0.4</v>
      </c>
      <c r="I3" s="17" t="n">
        <v>11.86</v>
      </c>
    </row>
    <row r="4">
      <c r="A4" s="18" t="n"/>
      <c r="B4" s="18" t="n"/>
      <c r="C4" s="18" t="n"/>
      <c r="D4" s="20" t="n">
        <v>2</v>
      </c>
      <c r="E4" s="17">
        <f>Input!L10</f>
        <v/>
      </c>
      <c r="F4" s="17">
        <f>Input!L11</f>
        <v/>
      </c>
      <c r="G4" s="17">
        <f>F4-E4</f>
        <v/>
      </c>
      <c r="H4" s="18" t="n"/>
      <c r="I4" s="18" t="n"/>
    </row>
    <row r="5">
      <c r="A5" s="19" t="n"/>
      <c r="B5" s="19" t="n"/>
      <c r="C5" s="19" t="n"/>
      <c r="D5" s="20" t="n">
        <v>3</v>
      </c>
      <c r="E5" s="17">
        <f>Input!T10</f>
        <v/>
      </c>
      <c r="F5" s="17">
        <f>Input!T11</f>
        <v/>
      </c>
      <c r="G5" s="17">
        <f>F5-E5</f>
        <v/>
      </c>
      <c r="H5" s="19" t="n"/>
      <c r="I5" s="19" t="n"/>
    </row>
  </sheetData>
  <mergeCells count="5">
    <mergeCell ref="H3:H5"/>
    <mergeCell ref="C3:C5"/>
    <mergeCell ref="A3:A5"/>
    <mergeCell ref="B3:B5"/>
    <mergeCell ref="I3:I5"/>
  </mergeCells>
  <pageMargins left="0.7" right="0.7" top="0.75" bottom="0.75" header="0.3" footer="0.3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hp</dc:creator>
  <dcterms:created xsi:type="dcterms:W3CDTF">2021-04-22T06:03:08Z</dcterms:created>
  <dcterms:modified xsi:type="dcterms:W3CDTF">2026-09-24T07:18:06Z</dcterms:modified>
  <cp:lastModifiedBy>baps</cp:lastModifiedBy>
</cp:coreProperties>
</file>