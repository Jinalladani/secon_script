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ps\Desktop\SECON FINAL SCRIPT\DST Python Script\"/>
    </mc:Choice>
  </mc:AlternateContent>
  <xr:revisionPtr revIDLastSave="0" documentId="13_ncr:1_{14147CBA-26D9-4B95-8EF4-20EDF5338A22}" xr6:coauthVersionLast="47" xr6:coauthVersionMax="47" xr10:uidLastSave="{00000000-0000-0000-0000-000000000000}"/>
  <bookViews>
    <workbookView xWindow="-120" yWindow="-120" windowWidth="29040" windowHeight="15720" xr2:uid="{B9B2E3A7-FE45-4735-BD8E-225BAB64CF49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1" l="1"/>
  <c r="G68" i="1" s="1"/>
  <c r="C67" i="1"/>
  <c r="G67" i="1" s="1"/>
  <c r="C66" i="1"/>
  <c r="G66" i="1" s="1"/>
  <c r="C65" i="1"/>
  <c r="G65" i="1" s="1"/>
  <c r="C64" i="1"/>
  <c r="G64" i="1" s="1"/>
  <c r="C63" i="1"/>
  <c r="G63" i="1" s="1"/>
  <c r="C62" i="1"/>
  <c r="G62" i="1" s="1"/>
  <c r="C61" i="1"/>
  <c r="G61" i="1" s="1"/>
  <c r="C60" i="1"/>
  <c r="G60" i="1" s="1"/>
  <c r="C59" i="1"/>
  <c r="G59" i="1" s="1"/>
  <c r="C58" i="1"/>
  <c r="G58" i="1" s="1"/>
  <c r="C57" i="1"/>
  <c r="G57" i="1" s="1"/>
  <c r="C56" i="1"/>
  <c r="G56" i="1" s="1"/>
  <c r="C55" i="1"/>
  <c r="G55" i="1" s="1"/>
  <c r="C54" i="1"/>
  <c r="G54" i="1" s="1"/>
  <c r="C53" i="1"/>
  <c r="G53" i="1" s="1"/>
  <c r="C52" i="1"/>
  <c r="G52" i="1" s="1"/>
  <c r="C51" i="1"/>
  <c r="G51" i="1" s="1"/>
  <c r="C50" i="1"/>
  <c r="G50" i="1" s="1"/>
  <c r="C49" i="1"/>
  <c r="G49" i="1" s="1"/>
  <c r="C48" i="1"/>
  <c r="G48" i="1" s="1"/>
  <c r="C47" i="1"/>
  <c r="G47" i="1" s="1"/>
  <c r="C46" i="1"/>
  <c r="G46" i="1" s="1"/>
  <c r="C45" i="1"/>
  <c r="G45" i="1" s="1"/>
  <c r="C44" i="1"/>
  <c r="G44" i="1" s="1"/>
  <c r="C43" i="1"/>
  <c r="G43" i="1" s="1"/>
  <c r="C42" i="1"/>
  <c r="G42" i="1" s="1"/>
  <c r="C41" i="1"/>
  <c r="G41" i="1" s="1"/>
  <c r="C40" i="1"/>
  <c r="G40" i="1" s="1"/>
  <c r="C39" i="1"/>
  <c r="G39" i="1" s="1"/>
  <c r="C38" i="1"/>
  <c r="G38" i="1" s="1"/>
  <c r="C37" i="1"/>
  <c r="G37" i="1" s="1"/>
  <c r="C36" i="1"/>
  <c r="G36" i="1" s="1"/>
  <c r="C35" i="1"/>
  <c r="G35" i="1" s="1"/>
  <c r="C34" i="1"/>
  <c r="G34" i="1" s="1"/>
  <c r="C33" i="1"/>
  <c r="G33" i="1" s="1"/>
  <c r="C32" i="1"/>
  <c r="G32" i="1" s="1"/>
  <c r="C31" i="1"/>
  <c r="G31" i="1" s="1"/>
  <c r="C30" i="1"/>
  <c r="G30" i="1" s="1"/>
  <c r="C29" i="1"/>
  <c r="G29" i="1" s="1"/>
  <c r="C28" i="1"/>
  <c r="G28" i="1" s="1"/>
  <c r="C27" i="1"/>
  <c r="G27" i="1" s="1"/>
  <c r="C26" i="1"/>
  <c r="G26" i="1" s="1"/>
  <c r="C25" i="1"/>
  <c r="G25" i="1" s="1"/>
  <c r="C24" i="1"/>
  <c r="G24" i="1" s="1"/>
  <c r="C23" i="1"/>
  <c r="G23" i="1" s="1"/>
  <c r="C22" i="1"/>
  <c r="G22" i="1" s="1"/>
  <c r="C21" i="1"/>
  <c r="G21" i="1" s="1"/>
  <c r="C20" i="1"/>
  <c r="G20" i="1" s="1"/>
  <c r="C19" i="1"/>
  <c r="G19" i="1" s="1"/>
  <c r="C18" i="1"/>
  <c r="G18" i="1" s="1"/>
  <c r="J18" i="1" s="1"/>
  <c r="C17" i="1"/>
  <c r="G17" i="1" s="1"/>
  <c r="J17" i="1" s="1"/>
  <c r="C16" i="1"/>
  <c r="G16" i="1" s="1"/>
  <c r="C15" i="1"/>
  <c r="G15" i="1" s="1"/>
  <c r="C14" i="1"/>
  <c r="G14" i="1" s="1"/>
  <c r="C13" i="1"/>
  <c r="G13" i="1" s="1"/>
  <c r="C12" i="1"/>
  <c r="G12" i="1" s="1"/>
  <c r="C11" i="1"/>
  <c r="G11" i="1" s="1"/>
  <c r="I11" i="1" s="1"/>
  <c r="C10" i="1"/>
  <c r="G10" i="1" s="1"/>
  <c r="C9" i="1"/>
  <c r="G9" i="1" s="1"/>
  <c r="C8" i="1"/>
  <c r="G8" i="1" s="1"/>
  <c r="B4" i="1"/>
  <c r="H58" i="1" l="1"/>
  <c r="I58" i="1"/>
  <c r="J58" i="1"/>
  <c r="H46" i="1"/>
  <c r="I46" i="1"/>
  <c r="J46" i="1"/>
  <c r="H35" i="1"/>
  <c r="I35" i="1"/>
  <c r="J35" i="1"/>
  <c r="I53" i="1"/>
  <c r="H53" i="1"/>
  <c r="J53" i="1"/>
  <c r="H54" i="1"/>
  <c r="I54" i="1"/>
  <c r="J54" i="1"/>
  <c r="H40" i="1"/>
  <c r="I40" i="1"/>
  <c r="J40" i="1"/>
  <c r="H64" i="1"/>
  <c r="I64" i="1"/>
  <c r="J64" i="1"/>
  <c r="I41" i="1"/>
  <c r="H41" i="1"/>
  <c r="J41" i="1"/>
  <c r="I65" i="1"/>
  <c r="H65" i="1"/>
  <c r="J65" i="1"/>
  <c r="H42" i="1"/>
  <c r="I42" i="1"/>
  <c r="J42" i="1"/>
  <c r="H31" i="1"/>
  <c r="J31" i="1"/>
  <c r="I31" i="1"/>
  <c r="I37" i="1"/>
  <c r="J37" i="1"/>
  <c r="H37" i="1"/>
  <c r="H43" i="1"/>
  <c r="J43" i="1"/>
  <c r="I43" i="1"/>
  <c r="I49" i="1"/>
  <c r="J49" i="1"/>
  <c r="H49" i="1"/>
  <c r="H55" i="1"/>
  <c r="J55" i="1"/>
  <c r="I55" i="1"/>
  <c r="I61" i="1"/>
  <c r="J61" i="1"/>
  <c r="H61" i="1"/>
  <c r="H67" i="1"/>
  <c r="J67" i="1"/>
  <c r="I67" i="1"/>
  <c r="H36" i="1"/>
  <c r="I36" i="1"/>
  <c r="J36" i="1"/>
  <c r="H60" i="1"/>
  <c r="I60" i="1"/>
  <c r="J60" i="1"/>
  <c r="J8" i="1"/>
  <c r="I8" i="1"/>
  <c r="H44" i="1"/>
  <c r="I44" i="1"/>
  <c r="J44" i="1"/>
  <c r="H68" i="1"/>
  <c r="I68" i="1"/>
  <c r="J68" i="1"/>
  <c r="H34" i="1"/>
  <c r="I34" i="1"/>
  <c r="J34" i="1"/>
  <c r="H52" i="1"/>
  <c r="I52" i="1"/>
  <c r="J52" i="1"/>
  <c r="H47" i="1"/>
  <c r="I47" i="1"/>
  <c r="J47" i="1"/>
  <c r="H59" i="1"/>
  <c r="I59" i="1"/>
  <c r="J59" i="1"/>
  <c r="H48" i="1"/>
  <c r="I48" i="1"/>
  <c r="J48" i="1"/>
  <c r="H66" i="1"/>
  <c r="I66" i="1"/>
  <c r="J66" i="1"/>
  <c r="H32" i="1"/>
  <c r="I32" i="1"/>
  <c r="J32" i="1"/>
  <c r="H38" i="1"/>
  <c r="I38" i="1"/>
  <c r="J38" i="1"/>
  <c r="H50" i="1"/>
  <c r="I50" i="1"/>
  <c r="J50" i="1"/>
  <c r="H56" i="1"/>
  <c r="I56" i="1"/>
  <c r="J56" i="1"/>
  <c r="H62" i="1"/>
  <c r="I62" i="1"/>
  <c r="J62" i="1"/>
  <c r="I33" i="1"/>
  <c r="J33" i="1"/>
  <c r="H33" i="1"/>
  <c r="J39" i="1"/>
  <c r="H39" i="1"/>
  <c r="I39" i="1"/>
  <c r="I45" i="1"/>
  <c r="J45" i="1"/>
  <c r="H45" i="1"/>
  <c r="J51" i="1"/>
  <c r="H51" i="1"/>
  <c r="I51" i="1"/>
  <c r="I57" i="1"/>
  <c r="J57" i="1"/>
  <c r="H57" i="1"/>
  <c r="J63" i="1"/>
  <c r="H63" i="1"/>
  <c r="I63" i="1"/>
  <c r="J12" i="1"/>
  <c r="I12" i="1"/>
  <c r="H12" i="1"/>
  <c r="I24" i="1"/>
  <c r="J24" i="1"/>
  <c r="H24" i="1"/>
  <c r="J30" i="1"/>
  <c r="I30" i="1"/>
  <c r="H30" i="1"/>
  <c r="H21" i="1"/>
  <c r="I21" i="1"/>
  <c r="J21" i="1"/>
  <c r="H27" i="1"/>
  <c r="I27" i="1"/>
  <c r="J27" i="1"/>
  <c r="I26" i="1"/>
  <c r="J26" i="1"/>
  <c r="H26" i="1"/>
  <c r="I18" i="1"/>
  <c r="H23" i="1"/>
  <c r="I23" i="1"/>
  <c r="J23" i="1"/>
  <c r="H19" i="1"/>
  <c r="I19" i="1"/>
  <c r="J19" i="1"/>
  <c r="J28" i="1"/>
  <c r="I28" i="1"/>
  <c r="H28" i="1"/>
  <c r="I20" i="1"/>
  <c r="J20" i="1"/>
  <c r="H20" i="1"/>
  <c r="I29" i="1"/>
  <c r="H29" i="1"/>
  <c r="J29" i="1"/>
  <c r="H25" i="1"/>
  <c r="I25" i="1"/>
  <c r="J25" i="1"/>
  <c r="H18" i="1"/>
  <c r="I22" i="1"/>
  <c r="J22" i="1"/>
  <c r="H22" i="1"/>
  <c r="J13" i="1"/>
  <c r="H13" i="1"/>
  <c r="I13" i="1"/>
  <c r="J14" i="1"/>
  <c r="I14" i="1"/>
  <c r="H14" i="1"/>
  <c r="H8" i="1"/>
  <c r="J15" i="1"/>
  <c r="I15" i="1"/>
  <c r="H15" i="1"/>
  <c r="J9" i="1"/>
  <c r="I9" i="1"/>
  <c r="H9" i="1"/>
  <c r="H16" i="1"/>
  <c r="J16" i="1"/>
  <c r="I16" i="1"/>
  <c r="J10" i="1"/>
  <c r="I10" i="1"/>
  <c r="H10" i="1"/>
  <c r="H11" i="1"/>
  <c r="H17" i="1"/>
  <c r="I17" i="1"/>
  <c r="J11" i="1"/>
  <c r="H5" i="1" l="1"/>
  <c r="J5" i="1"/>
  <c r="I5" i="1"/>
</calcChain>
</file>

<file path=xl/sharedStrings.xml><?xml version="1.0" encoding="utf-8"?>
<sst xmlns="http://schemas.openxmlformats.org/spreadsheetml/2006/main" count="28" uniqueCount="28">
  <si>
    <t>BH ID</t>
  </si>
  <si>
    <t>-</t>
  </si>
  <si>
    <t>Direct Shear Test Results</t>
  </si>
  <si>
    <t>Depth</t>
  </si>
  <si>
    <t>m</t>
  </si>
  <si>
    <t>Cohesion</t>
  </si>
  <si>
    <r>
      <t>kg/cm</t>
    </r>
    <r>
      <rPr>
        <vertAlign val="superscript"/>
        <sz val="11"/>
        <color theme="1"/>
        <rFont val="Calibri"/>
        <family val="2"/>
        <scheme val="minor"/>
      </rPr>
      <t>2</t>
    </r>
  </si>
  <si>
    <t>Density</t>
  </si>
  <si>
    <r>
      <t>gm/cm</t>
    </r>
    <r>
      <rPr>
        <vertAlign val="superscript"/>
        <sz val="11"/>
        <color theme="1"/>
        <rFont val="Calibri"/>
        <family val="2"/>
        <scheme val="minor"/>
      </rPr>
      <t>3</t>
    </r>
  </si>
  <si>
    <t>Angle of Internal Friction</t>
  </si>
  <si>
    <t>°</t>
  </si>
  <si>
    <t>Sample Wt.</t>
  </si>
  <si>
    <t>gm</t>
  </si>
  <si>
    <t>Normal Stress</t>
  </si>
  <si>
    <t>PR Contant</t>
  </si>
  <si>
    <t>kg/div</t>
  </si>
  <si>
    <t>Shear Stress (at Failure)</t>
  </si>
  <si>
    <t>SR No.</t>
  </si>
  <si>
    <t xml:space="preserve">Dial Reading </t>
  </si>
  <si>
    <t>Dial Reading (cm)</t>
  </si>
  <si>
    <r>
      <t>PR Reading at Normal Stress of 0.5 kg/cm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</si>
  <si>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PR Reading at Normal Stress of 1.0 kg/cm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</si>
  <si>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PR Reading at Normal Stress of 1.5 kg/cm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</si>
  <si>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Corrected Area (cm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</si>
  <si>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Shear Stress at Normal Stress of 0.5 kg/cm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</si>
  <si>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Shear Stress at Normal Stress of 1.0 kg/cm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</si>
  <si>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Shear Stress at Normal Stress of 1.5 kg/cm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</si>
  <si>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Test-01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</si>
</sst>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64" fontId="0" fillId="4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47732739195382"/>
          <c:y val="0.11709381640016715"/>
          <c:w val="0.59590618696778663"/>
          <c:h val="0.761976494441445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Template!$H$7</c:f>
              <c:strCache>
                <c:ptCount val="1"/>
                <c:pt idx="0">
                  <c:v>Shear Stress at Normal Stress of 0.5 kg/cm2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Template!$C$8:$C$68</c:f>
              <c:numCache>
                <c:formatCode>0.00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Template!$H$8:$H$68</c:f>
              <c:numCache>
                <c:formatCode>0.00</c:formatCode>
                <c:ptCount val="61"/>
                <c:pt idx="0">
                  <c:v>1.8055555555555557E-3</c:v>
                </c:pt>
                <c:pt idx="1">
                  <c:v>0.13996085011185683</c:v>
                </c:pt>
                <c:pt idx="2">
                  <c:v>0.21044481981981983</c:v>
                </c:pt>
                <c:pt idx="3">
                  <c:v>0.26346371882086167</c:v>
                </c:pt>
                <c:pt idx="4">
                  <c:v>0.31257134703196349</c:v>
                </c:pt>
                <c:pt idx="5">
                  <c:v>0.34554597701149431</c:v>
                </c:pt>
                <c:pt idx="6">
                  <c:v>0.35734953703703698</c:v>
                </c:pt>
                <c:pt idx="7">
                  <c:v>0.37121212121212127</c:v>
                </c:pt>
                <c:pt idx="8">
                  <c:v>0.37954812206572769</c:v>
                </c:pt>
                <c:pt idx="9">
                  <c:v>0.38223995271867611</c:v>
                </c:pt>
                <c:pt idx="10">
                  <c:v>0.39367559523809526</c:v>
                </c:pt>
                <c:pt idx="11">
                  <c:v>0.40040467625899284</c:v>
                </c:pt>
                <c:pt idx="12">
                  <c:v>0.40134359903381639</c:v>
                </c:pt>
                <c:pt idx="13">
                  <c:v>0.40822688564476883</c:v>
                </c:pt>
                <c:pt idx="14">
                  <c:v>0.41720281862745096</c:v>
                </c:pt>
                <c:pt idx="15">
                  <c:v>0.42430555555555555</c:v>
                </c:pt>
                <c:pt idx="16">
                  <c:v>0.42646144278606973</c:v>
                </c:pt>
                <c:pt idx="17">
                  <c:v>0.43374060150375937</c:v>
                </c:pt>
                <c:pt idx="18">
                  <c:v>0.44215593434343436</c:v>
                </c:pt>
                <c:pt idx="19">
                  <c:v>0.44553117048346058</c:v>
                </c:pt>
                <c:pt idx="20">
                  <c:v>0.45104166666666662</c:v>
                </c:pt>
                <c:pt idx="21">
                  <c:v>0.45243863049095606</c:v>
                </c:pt>
                <c:pt idx="22">
                  <c:v>0.46126302083333343</c:v>
                </c:pt>
                <c:pt idx="23">
                  <c:v>0.45849737532808399</c:v>
                </c:pt>
                <c:pt idx="24">
                  <c:v>0.46106150793650796</c:v>
                </c:pt>
                <c:pt idx="25">
                  <c:v>0.4669166666666667</c:v>
                </c:pt>
                <c:pt idx="26">
                  <c:v>0.46740591397849468</c:v>
                </c:pt>
                <c:pt idx="27">
                  <c:v>0.47230691056910573</c:v>
                </c:pt>
                <c:pt idx="28">
                  <c:v>0.47617827868852458</c:v>
                </c:pt>
                <c:pt idx="29">
                  <c:v>0.48347107438016534</c:v>
                </c:pt>
                <c:pt idx="30">
                  <c:v>0.47960069444444442</c:v>
                </c:pt>
                <c:pt idx="31">
                  <c:v>0.48818277310924374</c:v>
                </c:pt>
                <c:pt idx="32">
                  <c:v>0.4877295197740113</c:v>
                </c:pt>
                <c:pt idx="33">
                  <c:v>0.48495370370370366</c:v>
                </c:pt>
                <c:pt idx="34">
                  <c:v>0.48796695402298845</c:v>
                </c:pt>
                <c:pt idx="35">
                  <c:v>0.48396739130434785</c:v>
                </c:pt>
                <c:pt idx="36">
                  <c:v>0.48702485380116967</c:v>
                </c:pt>
                <c:pt idx="37">
                  <c:v>0.48294616519174044</c:v>
                </c:pt>
                <c:pt idx="38">
                  <c:v>0.48242187500000006</c:v>
                </c:pt>
                <c:pt idx="39">
                  <c:v>0.48554804804804796</c:v>
                </c:pt>
                <c:pt idx="40">
                  <c:v>0.48134469696969701</c:v>
                </c:pt>
                <c:pt idx="41">
                  <c:v>0.48576070336391441</c:v>
                </c:pt>
                <c:pt idx="42">
                  <c:v>0.48273533950617292</c:v>
                </c:pt>
                <c:pt idx="43">
                  <c:v>0.48218457943925236</c:v>
                </c:pt>
                <c:pt idx="44">
                  <c:v>0.48290094339622641</c:v>
                </c:pt>
                <c:pt idx="45">
                  <c:v>0.47976190476190483</c:v>
                </c:pt>
                <c:pt idx="46">
                  <c:v>0.48307291666666669</c:v>
                </c:pt>
                <c:pt idx="47">
                  <c:v>0.47987459546925565</c:v>
                </c:pt>
                <c:pt idx="48">
                  <c:v>0.48059640522875824</c:v>
                </c:pt>
                <c:pt idx="49">
                  <c:v>0.47865099009900991</c:v>
                </c:pt>
                <c:pt idx="50">
                  <c:v>0.47937499999999994</c:v>
                </c:pt>
                <c:pt idx="51">
                  <c:v>0.47737794612794615</c:v>
                </c:pt>
                <c:pt idx="52">
                  <c:v>0.47395833333333331</c:v>
                </c:pt>
                <c:pt idx="53">
                  <c:v>0.47465635738831619</c:v>
                </c:pt>
                <c:pt idx="54">
                  <c:v>0.47536892361111122</c:v>
                </c:pt>
                <c:pt idx="55">
                  <c:v>0.47467105263157899</c:v>
                </c:pt>
                <c:pt idx="56">
                  <c:v>0.47395833333333331</c:v>
                </c:pt>
                <c:pt idx="57">
                  <c:v>0.47031810035842281</c:v>
                </c:pt>
                <c:pt idx="58">
                  <c:v>0.47248641304347833</c:v>
                </c:pt>
                <c:pt idx="59">
                  <c:v>0.47172619047619047</c:v>
                </c:pt>
                <c:pt idx="60">
                  <c:v>0.46643518518518523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F-431E-B796-52C56BE3D809}"/>
            </c:ext>
          </c:extLst>
        </c:ser>
        <c:ser>
          <c:idx val="1"/>
          <c:order val="1"/>
          <c:tx>
            <c:strRef>
              <c:f>Template!$I$7</c:f>
              <c:strCache>
                <c:ptCount val="1"/>
                <c:pt idx="0">
                  <c:v>Shear Stress at Normal Stress of 1.0 kg/cm2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Template!$C$8:$C$68</c:f>
              <c:numCache>
                <c:formatCode>0.00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Template!$I$8:$I$68</c:f>
              <c:numCache>
                <c:formatCode>0.00</c:formatCode>
                <c:ptCount val="61"/>
                <c:pt idx="0">
                  <c:v>3.6111111111111114E-3</c:v>
                </c:pt>
                <c:pt idx="1">
                  <c:v>0.18722035794183448</c:v>
                </c:pt>
                <c:pt idx="2">
                  <c:v>0.27266328828828829</c:v>
                </c:pt>
                <c:pt idx="3">
                  <c:v>0.34268707482993199</c:v>
                </c:pt>
                <c:pt idx="4">
                  <c:v>0.40717751141552511</c:v>
                </c:pt>
                <c:pt idx="5">
                  <c:v>0.46135057471264374</c:v>
                </c:pt>
                <c:pt idx="6">
                  <c:v>0.5078125</c:v>
                </c:pt>
                <c:pt idx="7">
                  <c:v>0.54071969696969702</c:v>
                </c:pt>
                <c:pt idx="8">
                  <c:v>0.55024941314553999</c:v>
                </c:pt>
                <c:pt idx="9">
                  <c:v>0.557993498817967</c:v>
                </c:pt>
                <c:pt idx="10">
                  <c:v>0.56488095238095237</c:v>
                </c:pt>
                <c:pt idx="11">
                  <c:v>0.57771282973621108</c:v>
                </c:pt>
                <c:pt idx="12">
                  <c:v>0.5877868357487922</c:v>
                </c:pt>
                <c:pt idx="13">
                  <c:v>0.59701946472019463</c:v>
                </c:pt>
                <c:pt idx="14">
                  <c:v>0.5984221813725491</c:v>
                </c:pt>
                <c:pt idx="15">
                  <c:v>0.61388888888888893</c:v>
                </c:pt>
                <c:pt idx="16">
                  <c:v>0.61644900497512445</c:v>
                </c:pt>
                <c:pt idx="17">
                  <c:v>0.62821115288220553</c:v>
                </c:pt>
                <c:pt idx="18">
                  <c:v>0.6329703282828284</c:v>
                </c:pt>
                <c:pt idx="19">
                  <c:v>0.6336673027989822</c:v>
                </c:pt>
                <c:pt idx="20">
                  <c:v>0.64270833333333333</c:v>
                </c:pt>
                <c:pt idx="21">
                  <c:v>0.64979005167958659</c:v>
                </c:pt>
                <c:pt idx="22">
                  <c:v>0.66227213541666674</c:v>
                </c:pt>
                <c:pt idx="23">
                  <c:v>0.6664206036745407</c:v>
                </c:pt>
                <c:pt idx="24">
                  <c:v>0.67170965608465616</c:v>
                </c:pt>
                <c:pt idx="25">
                  <c:v>0.67600000000000005</c:v>
                </c:pt>
                <c:pt idx="26">
                  <c:v>0.68035954301075274</c:v>
                </c:pt>
                <c:pt idx="27">
                  <c:v>0.68809281842818426</c:v>
                </c:pt>
                <c:pt idx="28">
                  <c:v>0.69151297814207646</c:v>
                </c:pt>
                <c:pt idx="29">
                  <c:v>0.69610881542699721</c:v>
                </c:pt>
                <c:pt idx="30">
                  <c:v>0.70980902777777777</c:v>
                </c:pt>
                <c:pt idx="31">
                  <c:v>0.70553221288515422</c:v>
                </c:pt>
                <c:pt idx="32">
                  <c:v>0.71151129943502833</c:v>
                </c:pt>
                <c:pt idx="33">
                  <c:v>0.71875</c:v>
                </c:pt>
                <c:pt idx="34">
                  <c:v>0.71210488505747127</c:v>
                </c:pt>
                <c:pt idx="35">
                  <c:v>0.71947463768115949</c:v>
                </c:pt>
                <c:pt idx="36">
                  <c:v>0.72816154970760238</c:v>
                </c:pt>
                <c:pt idx="37">
                  <c:v>0.72262168141592931</c:v>
                </c:pt>
                <c:pt idx="38">
                  <c:v>0.73632812500000011</c:v>
                </c:pt>
                <c:pt idx="39">
                  <c:v>0.73198198198198194</c:v>
                </c:pt>
                <c:pt idx="40">
                  <c:v>0.74232954545454544</c:v>
                </c:pt>
                <c:pt idx="41">
                  <c:v>0.7441704892966361</c:v>
                </c:pt>
                <c:pt idx="42">
                  <c:v>0.74855324074074081</c:v>
                </c:pt>
                <c:pt idx="43">
                  <c:v>0.74922118380062319</c:v>
                </c:pt>
                <c:pt idx="44">
                  <c:v>0.74479166666666652</c:v>
                </c:pt>
                <c:pt idx="45">
                  <c:v>0.74414682539682542</c:v>
                </c:pt>
                <c:pt idx="46">
                  <c:v>0.73958333333333337</c:v>
                </c:pt>
                <c:pt idx="47">
                  <c:v>0.74544902912621358</c:v>
                </c:pt>
                <c:pt idx="48">
                  <c:v>0.739481209150327</c:v>
                </c:pt>
                <c:pt idx="49">
                  <c:v>0.73607673267326734</c:v>
                </c:pt>
                <c:pt idx="50">
                  <c:v>0.73937499999999989</c:v>
                </c:pt>
                <c:pt idx="51">
                  <c:v>0.73179713804713808</c:v>
                </c:pt>
                <c:pt idx="52">
                  <c:v>0.72959183673469385</c:v>
                </c:pt>
                <c:pt idx="53">
                  <c:v>0.73013316151202745</c:v>
                </c:pt>
                <c:pt idx="54">
                  <c:v>0.72927517361111138</c:v>
                </c:pt>
                <c:pt idx="55">
                  <c:v>0.72982456140350893</c:v>
                </c:pt>
                <c:pt idx="56">
                  <c:v>0.72750443262411346</c:v>
                </c:pt>
                <c:pt idx="57">
                  <c:v>0.7265905017921146</c:v>
                </c:pt>
                <c:pt idx="58">
                  <c:v>0.71976902173913049</c:v>
                </c:pt>
                <c:pt idx="59">
                  <c:v>0.72321428571428581</c:v>
                </c:pt>
                <c:pt idx="60">
                  <c:v>0.71921296296296289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0F-431E-B796-52C56BE3D809}"/>
            </c:ext>
          </c:extLst>
        </c:ser>
        <c:ser>
          <c:idx val="2"/>
          <c:order val="2"/>
          <c:tx>
            <c:strRef>
              <c:f>Template!$J$7</c:f>
              <c:strCache>
                <c:ptCount val="1"/>
                <c:pt idx="0">
                  <c:v>Shear Stress at Normal Stress of 1.5 kg/cm2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Template!$C$8:$C$68</c:f>
              <c:numCache>
                <c:formatCode>0.00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Template!$J$8:$J$68</c:f>
              <c:numCache>
                <c:formatCode>0.00</c:formatCode>
                <c:ptCount val="61"/>
                <c:pt idx="0">
                  <c:v>0</c:v>
                </c:pt>
                <c:pt idx="1">
                  <c:v>0.29809843400447428</c:v>
                </c:pt>
                <c:pt idx="2">
                  <c:v>0.44650900900900897</c:v>
                </c:pt>
                <c:pt idx="3">
                  <c:v>0.58956916099773238</c:v>
                </c:pt>
                <c:pt idx="4">
                  <c:v>0.69841609589041098</c:v>
                </c:pt>
                <c:pt idx="5">
                  <c:v>0.79195402298850581</c:v>
                </c:pt>
                <c:pt idx="6">
                  <c:v>0.81344039351851849</c:v>
                </c:pt>
                <c:pt idx="7">
                  <c:v>0.83522727272727282</c:v>
                </c:pt>
                <c:pt idx="8">
                  <c:v>0.85732100938967148</c:v>
                </c:pt>
                <c:pt idx="9">
                  <c:v>0.87780732860520105</c:v>
                </c:pt>
                <c:pt idx="10">
                  <c:v>0.89084821428571415</c:v>
                </c:pt>
                <c:pt idx="11">
                  <c:v>0.91674160671462834</c:v>
                </c:pt>
                <c:pt idx="12">
                  <c:v>0.91553442028985499</c:v>
                </c:pt>
                <c:pt idx="13">
                  <c:v>0.94396289537712896</c:v>
                </c:pt>
                <c:pt idx="14">
                  <c:v>0.94692095588235292</c:v>
                </c:pt>
                <c:pt idx="15">
                  <c:v>0.96597222222222223</c:v>
                </c:pt>
                <c:pt idx="16">
                  <c:v>0.98126554726368176</c:v>
                </c:pt>
                <c:pt idx="17">
                  <c:v>0.9927161654135338</c:v>
                </c:pt>
                <c:pt idx="18">
                  <c:v>1.009469696969697</c:v>
                </c:pt>
                <c:pt idx="19">
                  <c:v>1.0130407124681935</c:v>
                </c:pt>
                <c:pt idx="20">
                  <c:v>1.0302083333333334</c:v>
                </c:pt>
                <c:pt idx="21">
                  <c:v>1.0371447028423773</c:v>
                </c:pt>
                <c:pt idx="22">
                  <c:v>1.0515950520833333</c:v>
                </c:pt>
                <c:pt idx="23">
                  <c:v>1.0588090551181102</c:v>
                </c:pt>
                <c:pt idx="24">
                  <c:v>1.0661375661375663</c:v>
                </c:pt>
                <c:pt idx="25">
                  <c:v>1.06925</c:v>
                </c:pt>
                <c:pt idx="26">
                  <c:v>1.0724126344086022</c:v>
                </c:pt>
                <c:pt idx="27">
                  <c:v>1.0767276422764227</c:v>
                </c:pt>
                <c:pt idx="28">
                  <c:v>1.0899931693989071</c:v>
                </c:pt>
                <c:pt idx="29">
                  <c:v>1.0934056473829201</c:v>
                </c:pt>
                <c:pt idx="30">
                  <c:v>1.1081597222222224</c:v>
                </c:pt>
                <c:pt idx="31">
                  <c:v>1.10609243697479</c:v>
                </c:pt>
                <c:pt idx="32">
                  <c:v>1.1154661016949154</c:v>
                </c:pt>
                <c:pt idx="33">
                  <c:v>1.1284722222222221</c:v>
                </c:pt>
                <c:pt idx="34">
                  <c:v>1.1265265804597702</c:v>
                </c:pt>
                <c:pt idx="35">
                  <c:v>1.119836956521739</c:v>
                </c:pt>
                <c:pt idx="36">
                  <c:v>1.1213450292397662</c:v>
                </c:pt>
                <c:pt idx="37">
                  <c:v>1.1240781710914456</c:v>
                </c:pt>
                <c:pt idx="38">
                  <c:v>1.1220238095238098</c:v>
                </c:pt>
                <c:pt idx="39">
                  <c:v>1.1187124624624625</c:v>
                </c:pt>
                <c:pt idx="40">
                  <c:v>1.121496212121212</c:v>
                </c:pt>
                <c:pt idx="41">
                  <c:v>1.1143922018348624</c:v>
                </c:pt>
                <c:pt idx="42">
                  <c:v>1.1146797839506175</c:v>
                </c:pt>
                <c:pt idx="43">
                  <c:v>1.1137071651090342</c:v>
                </c:pt>
                <c:pt idx="44">
                  <c:v>1.1203812893081762</c:v>
                </c:pt>
                <c:pt idx="45">
                  <c:v>1.1065476190476191</c:v>
                </c:pt>
                <c:pt idx="46">
                  <c:v>1.1041666666666665</c:v>
                </c:pt>
                <c:pt idx="47">
                  <c:v>1.1069983818770226</c:v>
                </c:pt>
                <c:pt idx="48">
                  <c:v>1.1098856209150327</c:v>
                </c:pt>
                <c:pt idx="49">
                  <c:v>1.1047854785478548</c:v>
                </c:pt>
                <c:pt idx="50">
                  <c:v>1.1009374999999999</c:v>
                </c:pt>
                <c:pt idx="51">
                  <c:v>1.1038510101010104</c:v>
                </c:pt>
                <c:pt idx="52">
                  <c:v>1.0930059523809523</c:v>
                </c:pt>
                <c:pt idx="53">
                  <c:v>1.0972938144329896</c:v>
                </c:pt>
                <c:pt idx="54">
                  <c:v>1.100260416666667</c:v>
                </c:pt>
                <c:pt idx="55">
                  <c:v>1.0990131578947369</c:v>
                </c:pt>
                <c:pt idx="56">
                  <c:v>1.0934175531914894</c:v>
                </c:pt>
                <c:pt idx="57">
                  <c:v>1.0891577060931896</c:v>
                </c:pt>
                <c:pt idx="58">
                  <c:v>1.0936367753623191</c:v>
                </c:pt>
                <c:pt idx="59">
                  <c:v>1.0863095238095239</c:v>
                </c:pt>
                <c:pt idx="60">
                  <c:v>1.0788194444444446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0F-431E-B796-52C56BE3D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760351"/>
        <c:axId val="907822671"/>
      </c:scatterChart>
      <c:valAx>
        <c:axId val="76176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22671"/>
        <c:crosses val="autoZero"/>
        <c:crossBetween val="midCat"/>
      </c:valAx>
      <c:valAx>
        <c:axId val="90782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1.7148981779206859E-2"/>
              <c:y val="0.36036022568611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60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4767619481648"/>
          <c:y val="0.13028743402673726"/>
          <c:w val="0.24579976538302487"/>
          <c:h val="0.24315647780453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> Shear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backward val="0.5"/>
            <c:dispRSqr val="0"/>
            <c:dispEq val="1"/>
            <c:trendlineLbl>
              <c:layout>
                <c:manualLayout>
                  <c:x val="0.18518683519823179"/>
                  <c:y val="-8.71885175512321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Template!$H$4:$J$4</c:f>
              <c:numCache>
                <c:formatCode>0.000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</c:numCache>
            </c:numRef>
          </c:xVal>
          <c:yVal>
            <c:numRef>
              <c:f>Template!$H$5:$J$5</c:f>
              <c:numCache>
                <c:formatCode>0.000</c:formatCode>
                <c:ptCount val="3"/>
                <c:pt idx="0">
                  <c:v>0.48818277310924374</c:v>
                </c:pt>
                <c:pt idx="1">
                  <c:v>0.74922118380062319</c:v>
                </c:pt>
                <c:pt idx="2">
                  <c:v>1.1284722222222221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5-4EAB-BDB7-7C5B7950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864239"/>
        <c:axId val="1303870063"/>
      </c:scatterChart>
      <c:valAx>
        <c:axId val="1303864239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70063"/>
        <c:crosses val="autoZero"/>
        <c:crossBetween val="midCat"/>
        <c:majorUnit val="0.5"/>
      </c:valAx>
      <c:valAx>
        <c:axId val="13038700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1.7543859649122806E-2"/>
              <c:y val="0.31565849759372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86423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533401</xdr:colOff>
      <xdr:row>6</xdr:row>
      <xdr:rowOff>14286</xdr:rowOff>
    </xdr:from>
    <xdr:to>
      <xdr:col>21</xdr:col>
      <xdr:colOff>247651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A0204-E855-4F66-91FD-7BE075BB6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26</xdr:row>
      <xdr:rowOff>90487</xdr:rowOff>
    </xdr:from>
    <xdr:to>
      <xdr:col>21</xdr:col>
      <xdr:colOff>276225</xdr:colOff>
      <xdr:row>44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93D0EF-DE56-4941-A022-7297FF66B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1221441</xdr:colOff>
      <xdr:row>28</xdr:row>
      <xdr:rowOff>153520</xdr:rowOff>
    </xdr:from>
    <xdr:ext cx="1877052" cy="6572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A98340-AC28-43D2-95B2-0C811FD02F59}"/>
            </a:ext>
          </a:extLst>
        </xdr:cNvPr>
        <xdr:cNvSpPr txBox="1"/>
      </xdr:nvSpPr>
      <xdr:spPr>
        <a:xfrm>
          <a:off x="11956676" y="6159873"/>
          <a:ext cx="1877052" cy="657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/>
            <a:t>RBH-12</a:t>
          </a:r>
        </a:p>
        <a:p>
          <a:r>
            <a:rPr lang="en-IN" sz="900"/>
            <a:t>Depth-1.50m</a:t>
          </a:r>
        </a:p>
        <a:p>
          <a:r>
            <a:rPr lang="en-IN" sz="900"/>
            <a:t>Cohesion</a:t>
          </a:r>
          <a:r>
            <a:rPr lang="en-IN" sz="900" baseline="0"/>
            <a:t> (c) - 0.23 kg/cm</a:t>
          </a:r>
          <a:r>
            <a:rPr lang="en-IN" sz="900" baseline="30000"/>
            <a:t>2</a:t>
          </a:r>
          <a:endParaRPr lang="en-IN" sz="900" baseline="0"/>
        </a:p>
        <a:p>
          <a:r>
            <a:rPr lang="en-IN" sz="900" baseline="0"/>
            <a:t>Angle of Internal Firction (</a:t>
          </a:r>
          <a:r>
            <a:rPr lang="el-GR" sz="9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φ</a:t>
          </a:r>
          <a:r>
            <a:rPr lang="en-IN" sz="9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) - 35.8 °</a:t>
          </a:r>
          <a:endParaRPr lang="en-IN" sz="900" baseline="30000"/>
        </a:p>
      </xdr:txBody>
    </xdr:sp>
    <xdr:clientData/>
  </xdr:oneCellAnchor>
  <xdr:oneCellAnchor>
    <xdr:from>
      <xdr:col>13</xdr:col>
      <xdr:colOff>1447800</xdr:colOff>
      <xdr:row>6</xdr:row>
      <xdr:rowOff>533400</xdr:rowOff>
    </xdr:from>
    <xdr:ext cx="805157" cy="374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17185CE-A2B1-4043-948E-38654278684F}"/>
            </a:ext>
          </a:extLst>
        </xdr:cNvPr>
        <xdr:cNvSpPr txBox="1"/>
      </xdr:nvSpPr>
      <xdr:spPr>
        <a:xfrm>
          <a:off x="12211050" y="1733550"/>
          <a:ext cx="80515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900"/>
            <a:t>RBH-12</a:t>
          </a:r>
        </a:p>
        <a:p>
          <a:r>
            <a:rPr lang="en-IN" sz="900"/>
            <a:t>Depth-1.50m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EF0B-9F1B-4639-A8F9-F63829280453}">
  <sheetPr codeName="Sheet1">
    <tabColor rgb="FF92D050"/>
  </sheetPr>
  <dimension ref="A1:N68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11.140625" bestFit="1" customWidth="1"/>
    <col min="2" max="2" width="12" bestFit="1" customWidth="1"/>
    <col min="3" max="3" width="12" customWidth="1"/>
    <col min="4" max="4" width="14.28515625" customWidth="1"/>
    <col min="5" max="6" width="15.140625" customWidth="1"/>
    <col min="7" max="7" width="10.85546875" customWidth="1"/>
    <col min="8" max="8" width="13.85546875" customWidth="1"/>
    <col min="9" max="10" width="14" customWidth="1"/>
    <col min="12" max="12" width="11.5703125" bestFit="1" customWidth="1"/>
    <col min="14" max="14" width="61.140625" bestFit="1" customWidth="1"/>
  </cols>
  <sheetData>
    <row r="1" spans="1:14" x14ac:dyDescent="0.25">
      <c r="A1" s="1" t="s">
        <v>0</v>
      </c>
      <c r="B1" s="2" t="s">
        <v>27</v>
      </c>
      <c r="C1" s="3" t="s">
        <v>1</v>
      </c>
      <c r="D1" s="12"/>
      <c r="F1" s="20" t="s">
        <v>2</v>
      </c>
      <c r="G1" s="20"/>
      <c r="H1" s="20"/>
      <c r="I1" s="20"/>
      <c r="J1" s="20"/>
      <c r="M1" s="11"/>
      <c r="N1" s="17"/>
    </row>
    <row r="2" spans="1:14" ht="17.25" x14ac:dyDescent="0.25">
      <c r="A2" s="1" t="s">
        <v>3</v>
      </c>
      <c r="B2" s="4">
        <v>1.5</v>
      </c>
      <c r="C2" s="3" t="s">
        <v>4</v>
      </c>
      <c r="F2" s="21" t="s">
        <v>5</v>
      </c>
      <c r="G2" s="21"/>
      <c r="H2" s="15">
        <v>0.14699999999999999</v>
      </c>
      <c r="I2" s="6" t="s">
        <v>6</v>
      </c>
      <c r="L2" s="11"/>
      <c r="M2" s="16"/>
      <c r="N2" s="11"/>
    </row>
    <row r="3" spans="1:14" ht="17.25" x14ac:dyDescent="0.25">
      <c r="A3" s="1" t="s">
        <v>7</v>
      </c>
      <c r="B3" s="2">
        <v>1.77</v>
      </c>
      <c r="C3" s="3" t="s">
        <v>8</v>
      </c>
      <c r="F3" s="21" t="s">
        <v>9</v>
      </c>
      <c r="G3" s="21"/>
      <c r="H3" s="5">
        <v>22.47</v>
      </c>
      <c r="I3" s="7" t="s">
        <v>10</v>
      </c>
      <c r="L3" s="11"/>
      <c r="M3" s="11"/>
      <c r="N3" s="18"/>
    </row>
    <row r="4" spans="1:14" x14ac:dyDescent="0.25">
      <c r="A4" s="1" t="s">
        <v>11</v>
      </c>
      <c r="B4" s="4">
        <f>B3*90</f>
        <v>159.30000000000001</v>
      </c>
      <c r="C4" s="3" t="s">
        <v>12</v>
      </c>
      <c r="F4" s="22" t="s">
        <v>13</v>
      </c>
      <c r="G4" s="23"/>
      <c r="H4" s="8">
        <v>0.5</v>
      </c>
      <c r="I4" s="8">
        <v>1</v>
      </c>
      <c r="J4" s="8">
        <v>1.5</v>
      </c>
    </row>
    <row r="5" spans="1:14" x14ac:dyDescent="0.25">
      <c r="A5" s="1" t="s">
        <v>14</v>
      </c>
      <c r="B5" s="2">
        <v>0.32500000000000001</v>
      </c>
      <c r="C5" s="3" t="s">
        <v>15</v>
      </c>
      <c r="F5" s="22" t="s">
        <v>16</v>
      </c>
      <c r="G5" s="23"/>
      <c r="H5" s="8">
        <f>MAX(H8:H68)</f>
        <v>0.48818277310924374</v>
      </c>
      <c r="I5" s="8">
        <f>MAX(I8:I68)</f>
        <v>0.74922118380062319</v>
      </c>
      <c r="J5" s="8">
        <f>MAX(J8:J68)</f>
        <v>1.1284722222222221</v>
      </c>
    </row>
    <row r="7" spans="1:14" s="11" customFormat="1" ht="62.25" x14ac:dyDescent="0.25">
      <c r="A7" s="9" t="s">
        <v>17</v>
      </c>
      <c r="B7" s="10" t="s">
        <v>18</v>
      </c>
      <c r="C7" s="10" t="s">
        <v>19</v>
      </c>
      <c r="D7" s="10" t="s">
        <v>20</v>
      </c>
      <c r="E7" s="10" t="s">
        <v>21</v>
      </c>
      <c r="F7" s="10" t="s">
        <v>22</v>
      </c>
      <c r="G7" s="10" t="s">
        <v>23</v>
      </c>
      <c r="H7" s="10" t="s">
        <v>24</v>
      </c>
      <c r="I7" s="10" t="s">
        <v>25</v>
      </c>
      <c r="J7" s="10" t="s">
        <v>26</v>
      </c>
    </row>
    <row r="8" spans="1:14" x14ac:dyDescent="0.25">
      <c r="A8" s="2">
        <v>1</v>
      </c>
      <c r="B8" s="2">
        <v>0</v>
      </c>
      <c r="C8" s="4">
        <f>B8/1000</f>
        <v>0</v>
      </c>
      <c r="D8" s="13">
        <v>0.2</v>
      </c>
      <c r="E8" s="13">
        <v>0.4</v>
      </c>
      <c r="F8" s="13">
        <v>0</v>
      </c>
      <c r="G8" s="4">
        <f>36*(1-((C8)/(3)))</f>
        <v>36</v>
      </c>
      <c r="H8" s="4">
        <f>(D8*0.325)/G8</f>
        <v>1.8055555555555557E-3</v>
      </c>
      <c r="I8" s="4">
        <f>(E8*0.325)/G8</f>
        <v>3.6111111111111114E-3</v>
      </c>
      <c r="J8" s="4">
        <f>(F8*0.325)/G8</f>
        <v>0</v>
      </c>
    </row>
    <row r="9" spans="1:14" x14ac:dyDescent="0.25">
      <c r="A9" s="2">
        <v>2</v>
      </c>
      <c r="B9" s="2">
        <v>20</v>
      </c>
      <c r="C9" s="4">
        <f t="shared" ref="C9:C68" si="0">B9/1000</f>
        <v>0.02</v>
      </c>
      <c r="D9" s="13">
        <v>15.4</v>
      </c>
      <c r="E9" s="13">
        <v>20.6</v>
      </c>
      <c r="F9" s="13">
        <v>32.799999999999997</v>
      </c>
      <c r="G9" s="4">
        <f>36*(1-((C9)/(3)))</f>
        <v>35.76</v>
      </c>
      <c r="H9" s="4">
        <f t="shared" ref="H9:H18" si="1">(D9*0.325)/G9</f>
        <v>0.13996085011185683</v>
      </c>
      <c r="I9" s="4">
        <f t="shared" ref="I9:I18" si="2">(E9*0.325)/G9</f>
        <v>0.18722035794183448</v>
      </c>
      <c r="J9" s="4">
        <f t="shared" ref="J9:J18" si="3">(F9*0.325)/G9</f>
        <v>0.29809843400447428</v>
      </c>
    </row>
    <row r="10" spans="1:14" x14ac:dyDescent="0.25">
      <c r="A10" s="2">
        <v>3</v>
      </c>
      <c r="B10" s="2">
        <v>40</v>
      </c>
      <c r="C10" s="4">
        <f t="shared" si="0"/>
        <v>0.04</v>
      </c>
      <c r="D10" s="13">
        <v>23</v>
      </c>
      <c r="E10" s="13">
        <v>29.8</v>
      </c>
      <c r="F10" s="13">
        <v>48.8</v>
      </c>
      <c r="G10" s="4">
        <f t="shared" ref="G10:G68" si="4">36*(1-((C10)/(3)))</f>
        <v>35.520000000000003</v>
      </c>
      <c r="H10" s="4">
        <f t="shared" si="1"/>
        <v>0.21044481981981983</v>
      </c>
      <c r="I10" s="4">
        <f t="shared" si="2"/>
        <v>0.27266328828828829</v>
      </c>
      <c r="J10" s="4">
        <f t="shared" si="3"/>
        <v>0.44650900900900897</v>
      </c>
    </row>
    <row r="11" spans="1:14" x14ac:dyDescent="0.25">
      <c r="A11" s="2">
        <v>4</v>
      </c>
      <c r="B11" s="2">
        <v>60</v>
      </c>
      <c r="C11" s="4">
        <f t="shared" si="0"/>
        <v>0.06</v>
      </c>
      <c r="D11" s="13">
        <v>28.6</v>
      </c>
      <c r="E11" s="13">
        <v>37.200000000000003</v>
      </c>
      <c r="F11" s="13">
        <v>64</v>
      </c>
      <c r="G11" s="4">
        <f t="shared" si="4"/>
        <v>35.28</v>
      </c>
      <c r="H11" s="4">
        <f t="shared" si="1"/>
        <v>0.26346371882086167</v>
      </c>
      <c r="I11" s="4">
        <f t="shared" si="2"/>
        <v>0.34268707482993199</v>
      </c>
      <c r="J11" s="4">
        <f t="shared" si="3"/>
        <v>0.58956916099773238</v>
      </c>
    </row>
    <row r="12" spans="1:14" x14ac:dyDescent="0.25">
      <c r="A12" s="2">
        <v>5</v>
      </c>
      <c r="B12" s="2">
        <v>80</v>
      </c>
      <c r="C12" s="4">
        <f t="shared" si="0"/>
        <v>0.08</v>
      </c>
      <c r="D12" s="13">
        <v>33.700000000000003</v>
      </c>
      <c r="E12" s="13">
        <v>43.9</v>
      </c>
      <c r="F12" s="13">
        <v>75.3</v>
      </c>
      <c r="G12" s="4">
        <f t="shared" si="4"/>
        <v>35.04</v>
      </c>
      <c r="H12" s="4">
        <f t="shared" si="1"/>
        <v>0.31257134703196349</v>
      </c>
      <c r="I12" s="4">
        <f t="shared" si="2"/>
        <v>0.40717751141552511</v>
      </c>
      <c r="J12" s="4">
        <f t="shared" si="3"/>
        <v>0.69841609589041098</v>
      </c>
    </row>
    <row r="13" spans="1:14" x14ac:dyDescent="0.25">
      <c r="A13" s="2">
        <v>6</v>
      </c>
      <c r="B13" s="2">
        <v>100</v>
      </c>
      <c r="C13" s="4">
        <f t="shared" si="0"/>
        <v>0.1</v>
      </c>
      <c r="D13" s="13">
        <v>37</v>
      </c>
      <c r="E13" s="13">
        <v>49.4</v>
      </c>
      <c r="F13" s="13">
        <v>84.8</v>
      </c>
      <c r="G13" s="4">
        <f t="shared" si="4"/>
        <v>34.799999999999997</v>
      </c>
      <c r="H13" s="4">
        <f t="shared" si="1"/>
        <v>0.34554597701149431</v>
      </c>
      <c r="I13" s="4">
        <f t="shared" si="2"/>
        <v>0.46135057471264374</v>
      </c>
      <c r="J13" s="4">
        <f t="shared" si="3"/>
        <v>0.79195402298850581</v>
      </c>
    </row>
    <row r="14" spans="1:14" x14ac:dyDescent="0.25">
      <c r="A14" s="2">
        <v>7</v>
      </c>
      <c r="B14" s="2">
        <v>120</v>
      </c>
      <c r="C14" s="4">
        <f t="shared" si="0"/>
        <v>0.12</v>
      </c>
      <c r="D14" s="13">
        <v>38</v>
      </c>
      <c r="E14" s="13">
        <v>54</v>
      </c>
      <c r="F14" s="13">
        <v>86.5</v>
      </c>
      <c r="G14" s="4">
        <f t="shared" si="4"/>
        <v>34.56</v>
      </c>
      <c r="H14" s="4">
        <f t="shared" si="1"/>
        <v>0.35734953703703698</v>
      </c>
      <c r="I14" s="4">
        <f t="shared" si="2"/>
        <v>0.5078125</v>
      </c>
      <c r="J14" s="4">
        <f t="shared" si="3"/>
        <v>0.81344039351851849</v>
      </c>
    </row>
    <row r="15" spans="1:14" x14ac:dyDescent="0.25">
      <c r="A15" s="2">
        <v>8</v>
      </c>
      <c r="B15" s="2">
        <v>140</v>
      </c>
      <c r="C15" s="4">
        <f t="shared" si="0"/>
        <v>0.14000000000000001</v>
      </c>
      <c r="D15" s="13">
        <v>39.200000000000003</v>
      </c>
      <c r="E15" s="13">
        <v>57.1</v>
      </c>
      <c r="F15" s="13">
        <v>88.2</v>
      </c>
      <c r="G15" s="4">
        <f t="shared" si="4"/>
        <v>34.32</v>
      </c>
      <c r="H15" s="4">
        <f t="shared" si="1"/>
        <v>0.37121212121212127</v>
      </c>
      <c r="I15" s="4">
        <f t="shared" si="2"/>
        <v>0.54071969696969702</v>
      </c>
      <c r="J15" s="4">
        <f t="shared" si="3"/>
        <v>0.83522727272727282</v>
      </c>
    </row>
    <row r="16" spans="1:14" x14ac:dyDescent="0.25">
      <c r="A16" s="2">
        <v>9</v>
      </c>
      <c r="B16" s="2">
        <v>160</v>
      </c>
      <c r="C16" s="4">
        <f t="shared" si="0"/>
        <v>0.16</v>
      </c>
      <c r="D16" s="13">
        <v>39.799999999999997</v>
      </c>
      <c r="E16" s="13">
        <v>57.7</v>
      </c>
      <c r="F16" s="13">
        <v>89.9</v>
      </c>
      <c r="G16" s="4">
        <f t="shared" si="4"/>
        <v>34.08</v>
      </c>
      <c r="H16" s="4">
        <f t="shared" si="1"/>
        <v>0.37954812206572769</v>
      </c>
      <c r="I16" s="4">
        <f t="shared" si="2"/>
        <v>0.55024941314553999</v>
      </c>
      <c r="J16" s="4">
        <f t="shared" si="3"/>
        <v>0.85732100938967148</v>
      </c>
    </row>
    <row r="17" spans="1:14" x14ac:dyDescent="0.25">
      <c r="A17" s="2">
        <v>10</v>
      </c>
      <c r="B17" s="2">
        <v>180</v>
      </c>
      <c r="C17" s="4">
        <f t="shared" si="0"/>
        <v>0.18</v>
      </c>
      <c r="D17" s="13">
        <v>39.799999999999997</v>
      </c>
      <c r="E17" s="13">
        <v>58.1</v>
      </c>
      <c r="F17" s="13">
        <v>91.4</v>
      </c>
      <c r="G17" s="4">
        <f t="shared" si="4"/>
        <v>33.839999999999996</v>
      </c>
      <c r="H17" s="4">
        <f t="shared" si="1"/>
        <v>0.38223995271867611</v>
      </c>
      <c r="I17" s="4">
        <f t="shared" si="2"/>
        <v>0.557993498817967</v>
      </c>
      <c r="J17" s="4">
        <f t="shared" si="3"/>
        <v>0.87780732860520105</v>
      </c>
    </row>
    <row r="18" spans="1:14" x14ac:dyDescent="0.25">
      <c r="A18" s="2">
        <v>11</v>
      </c>
      <c r="B18" s="2">
        <v>200</v>
      </c>
      <c r="C18" s="4">
        <f t="shared" si="0"/>
        <v>0.2</v>
      </c>
      <c r="D18" s="13">
        <v>40.700000000000003</v>
      </c>
      <c r="E18" s="13">
        <v>58.4</v>
      </c>
      <c r="F18" s="13">
        <v>92.1</v>
      </c>
      <c r="G18" s="4">
        <f t="shared" si="4"/>
        <v>33.6</v>
      </c>
      <c r="H18" s="4">
        <f t="shared" si="1"/>
        <v>0.39367559523809526</v>
      </c>
      <c r="I18" s="4">
        <f t="shared" si="2"/>
        <v>0.56488095238095237</v>
      </c>
      <c r="J18" s="4">
        <f t="shared" si="3"/>
        <v>0.89084821428571415</v>
      </c>
      <c r="N18" s="17"/>
    </row>
    <row r="19" spans="1:14" x14ac:dyDescent="0.25">
      <c r="A19" s="2">
        <v>12</v>
      </c>
      <c r="B19" s="2">
        <v>220</v>
      </c>
      <c r="C19" s="4">
        <f t="shared" si="0"/>
        <v>0.22</v>
      </c>
      <c r="D19" s="13">
        <v>41.1</v>
      </c>
      <c r="E19" s="13">
        <v>59.3</v>
      </c>
      <c r="F19" s="13">
        <v>94.1</v>
      </c>
      <c r="G19" s="4">
        <f t="shared" si="4"/>
        <v>33.36</v>
      </c>
      <c r="H19" s="4">
        <f t="shared" ref="H19:H27" si="5">(D19*0.325)/G19</f>
        <v>0.40040467625899284</v>
      </c>
      <c r="I19" s="4">
        <f t="shared" ref="I19:I27" si="6">(E19*0.325)/G19</f>
        <v>0.57771282973621108</v>
      </c>
      <c r="J19" s="4">
        <f t="shared" ref="J19:J27" si="7">(F19*0.325)/G19</f>
        <v>0.91674160671462834</v>
      </c>
    </row>
    <row r="20" spans="1:14" x14ac:dyDescent="0.25">
      <c r="A20" s="2">
        <v>13</v>
      </c>
      <c r="B20" s="2">
        <v>240</v>
      </c>
      <c r="C20" s="4">
        <f t="shared" si="0"/>
        <v>0.24</v>
      </c>
      <c r="D20" s="13">
        <v>40.9</v>
      </c>
      <c r="E20" s="13">
        <v>59.9</v>
      </c>
      <c r="F20" s="13">
        <v>93.3</v>
      </c>
      <c r="G20" s="4">
        <f t="shared" si="4"/>
        <v>33.120000000000005</v>
      </c>
      <c r="H20" s="4">
        <f t="shared" si="5"/>
        <v>0.40134359903381639</v>
      </c>
      <c r="I20" s="4">
        <f t="shared" si="6"/>
        <v>0.5877868357487922</v>
      </c>
      <c r="J20" s="4">
        <f t="shared" si="7"/>
        <v>0.91553442028985499</v>
      </c>
    </row>
    <row r="21" spans="1:14" x14ac:dyDescent="0.25">
      <c r="A21" s="2">
        <v>14</v>
      </c>
      <c r="B21" s="2">
        <v>260</v>
      </c>
      <c r="C21" s="4">
        <f t="shared" si="0"/>
        <v>0.26</v>
      </c>
      <c r="D21" s="13">
        <v>41.3</v>
      </c>
      <c r="E21" s="13">
        <v>60.4</v>
      </c>
      <c r="F21" s="13">
        <v>95.5</v>
      </c>
      <c r="G21" s="4">
        <f t="shared" si="4"/>
        <v>32.880000000000003</v>
      </c>
      <c r="H21" s="4">
        <f t="shared" si="5"/>
        <v>0.40822688564476883</v>
      </c>
      <c r="I21" s="4">
        <f t="shared" si="6"/>
        <v>0.59701946472019463</v>
      </c>
      <c r="J21" s="4">
        <f t="shared" si="7"/>
        <v>0.94396289537712896</v>
      </c>
    </row>
    <row r="22" spans="1:14" x14ac:dyDescent="0.25">
      <c r="A22" s="2">
        <v>15</v>
      </c>
      <c r="B22" s="2">
        <v>280</v>
      </c>
      <c r="C22" s="4">
        <f t="shared" si="0"/>
        <v>0.28000000000000003</v>
      </c>
      <c r="D22" s="13">
        <v>41.9</v>
      </c>
      <c r="E22" s="13">
        <v>60.1</v>
      </c>
      <c r="F22" s="13">
        <v>95.1</v>
      </c>
      <c r="G22" s="4">
        <f t="shared" si="4"/>
        <v>32.64</v>
      </c>
      <c r="H22" s="4">
        <f t="shared" si="5"/>
        <v>0.41720281862745096</v>
      </c>
      <c r="I22" s="4">
        <f t="shared" si="6"/>
        <v>0.5984221813725491</v>
      </c>
      <c r="J22" s="4">
        <f t="shared" si="7"/>
        <v>0.94692095588235292</v>
      </c>
    </row>
    <row r="23" spans="1:14" x14ac:dyDescent="0.25">
      <c r="A23" s="2">
        <v>16</v>
      </c>
      <c r="B23" s="2">
        <v>300</v>
      </c>
      <c r="C23" s="4">
        <f t="shared" si="0"/>
        <v>0.3</v>
      </c>
      <c r="D23" s="13">
        <v>42.3</v>
      </c>
      <c r="E23" s="13">
        <v>61.2</v>
      </c>
      <c r="F23" s="13">
        <v>96.3</v>
      </c>
      <c r="G23" s="4">
        <f t="shared" si="4"/>
        <v>32.4</v>
      </c>
      <c r="H23" s="4">
        <f t="shared" si="5"/>
        <v>0.42430555555555555</v>
      </c>
      <c r="I23" s="4">
        <f t="shared" si="6"/>
        <v>0.61388888888888893</v>
      </c>
      <c r="J23" s="4">
        <f t="shared" si="7"/>
        <v>0.96597222222222223</v>
      </c>
      <c r="N23" s="17"/>
    </row>
    <row r="24" spans="1:14" x14ac:dyDescent="0.25">
      <c r="A24" s="2">
        <v>17</v>
      </c>
      <c r="B24" s="2">
        <v>320</v>
      </c>
      <c r="C24" s="4">
        <f t="shared" si="0"/>
        <v>0.32</v>
      </c>
      <c r="D24" s="13">
        <v>42.2</v>
      </c>
      <c r="E24" s="13">
        <v>61</v>
      </c>
      <c r="F24" s="13">
        <v>97.1</v>
      </c>
      <c r="G24" s="4">
        <f t="shared" si="4"/>
        <v>32.159999999999997</v>
      </c>
      <c r="H24" s="4">
        <f t="shared" si="5"/>
        <v>0.42646144278606973</v>
      </c>
      <c r="I24" s="4">
        <f t="shared" si="6"/>
        <v>0.61644900497512445</v>
      </c>
      <c r="J24" s="4">
        <f t="shared" si="7"/>
        <v>0.98126554726368176</v>
      </c>
      <c r="N24" s="17"/>
    </row>
    <row r="25" spans="1:14" x14ac:dyDescent="0.25">
      <c r="A25" s="2">
        <v>18</v>
      </c>
      <c r="B25" s="2">
        <v>340</v>
      </c>
      <c r="C25" s="4">
        <f t="shared" si="0"/>
        <v>0.34</v>
      </c>
      <c r="D25" s="13">
        <v>42.6</v>
      </c>
      <c r="E25" s="13">
        <v>61.7</v>
      </c>
      <c r="F25" s="13">
        <v>97.5</v>
      </c>
      <c r="G25" s="4">
        <f t="shared" si="4"/>
        <v>31.92</v>
      </c>
      <c r="H25" s="4">
        <f t="shared" si="5"/>
        <v>0.43374060150375937</v>
      </c>
      <c r="I25" s="4">
        <f t="shared" si="6"/>
        <v>0.62821115288220553</v>
      </c>
      <c r="J25" s="4">
        <f t="shared" si="7"/>
        <v>0.9927161654135338</v>
      </c>
      <c r="N25" s="17"/>
    </row>
    <row r="26" spans="1:14" x14ac:dyDescent="0.25">
      <c r="A26" s="2">
        <v>19</v>
      </c>
      <c r="B26" s="2">
        <v>360</v>
      </c>
      <c r="C26" s="4">
        <f t="shared" si="0"/>
        <v>0.36</v>
      </c>
      <c r="D26" s="13">
        <v>43.1</v>
      </c>
      <c r="E26" s="13">
        <v>61.7</v>
      </c>
      <c r="F26" s="13">
        <v>98.4</v>
      </c>
      <c r="G26" s="4">
        <f t="shared" si="4"/>
        <v>31.68</v>
      </c>
      <c r="H26" s="4">
        <f t="shared" si="5"/>
        <v>0.44215593434343436</v>
      </c>
      <c r="I26" s="4">
        <f t="shared" si="6"/>
        <v>0.6329703282828284</v>
      </c>
      <c r="J26" s="4">
        <f t="shared" si="7"/>
        <v>1.009469696969697</v>
      </c>
      <c r="N26" s="17"/>
    </row>
    <row r="27" spans="1:14" x14ac:dyDescent="0.25">
      <c r="A27" s="2">
        <v>20</v>
      </c>
      <c r="B27" s="2">
        <v>380</v>
      </c>
      <c r="C27" s="4">
        <f t="shared" si="0"/>
        <v>0.38</v>
      </c>
      <c r="D27" s="13">
        <v>43.1</v>
      </c>
      <c r="E27" s="13">
        <v>61.3</v>
      </c>
      <c r="F27" s="13">
        <v>98</v>
      </c>
      <c r="G27" s="4">
        <f t="shared" si="4"/>
        <v>31.439999999999998</v>
      </c>
      <c r="H27" s="4">
        <f t="shared" si="5"/>
        <v>0.44553117048346058</v>
      </c>
      <c r="I27" s="4">
        <f t="shared" si="6"/>
        <v>0.6336673027989822</v>
      </c>
      <c r="J27" s="4">
        <f t="shared" si="7"/>
        <v>1.0130407124681935</v>
      </c>
      <c r="N27" s="17"/>
    </row>
    <row r="28" spans="1:14" x14ac:dyDescent="0.25">
      <c r="A28" s="2">
        <v>21</v>
      </c>
      <c r="B28" s="2">
        <v>400</v>
      </c>
      <c r="C28" s="4">
        <f t="shared" si="0"/>
        <v>0.4</v>
      </c>
      <c r="D28" s="14">
        <v>43.3</v>
      </c>
      <c r="E28" s="14">
        <v>61.7</v>
      </c>
      <c r="F28" s="14">
        <v>98.9</v>
      </c>
      <c r="G28" s="4">
        <f t="shared" si="4"/>
        <v>31.200000000000003</v>
      </c>
      <c r="H28" s="4">
        <f t="shared" ref="H28:H30" si="8">(D28*0.325)/G28</f>
        <v>0.45104166666666662</v>
      </c>
      <c r="I28" s="4">
        <f t="shared" ref="I28:I30" si="9">(E28*0.325)/G28</f>
        <v>0.64270833333333333</v>
      </c>
      <c r="J28" s="4">
        <f t="shared" ref="J28:J30" si="10">(F28*0.325)/G28</f>
        <v>1.0302083333333334</v>
      </c>
      <c r="N28" s="17"/>
    </row>
    <row r="29" spans="1:14" x14ac:dyDescent="0.25">
      <c r="A29" s="2">
        <v>22</v>
      </c>
      <c r="B29" s="2">
        <v>420</v>
      </c>
      <c r="C29" s="4">
        <f t="shared" si="0"/>
        <v>0.42</v>
      </c>
      <c r="D29" s="14">
        <v>43.1</v>
      </c>
      <c r="E29" s="14">
        <v>61.9</v>
      </c>
      <c r="F29" s="14">
        <v>98.8</v>
      </c>
      <c r="G29" s="4">
        <f t="shared" si="4"/>
        <v>30.96</v>
      </c>
      <c r="H29" s="4">
        <f t="shared" si="8"/>
        <v>0.45243863049095606</v>
      </c>
      <c r="I29" s="4">
        <f t="shared" si="9"/>
        <v>0.64979005167958659</v>
      </c>
      <c r="J29" s="4">
        <f t="shared" si="10"/>
        <v>1.0371447028423773</v>
      </c>
      <c r="N29" s="17"/>
    </row>
    <row r="30" spans="1:14" x14ac:dyDescent="0.25">
      <c r="A30" s="2">
        <v>23</v>
      </c>
      <c r="B30" s="2">
        <v>440</v>
      </c>
      <c r="C30" s="4">
        <f t="shared" si="0"/>
        <v>0.44</v>
      </c>
      <c r="D30" s="14">
        <v>43.6</v>
      </c>
      <c r="E30" s="14">
        <v>62.6</v>
      </c>
      <c r="F30" s="14">
        <v>99.4</v>
      </c>
      <c r="G30" s="4">
        <f t="shared" si="4"/>
        <v>30.72</v>
      </c>
      <c r="H30" s="4">
        <f t="shared" si="8"/>
        <v>0.46126302083333343</v>
      </c>
      <c r="I30" s="4">
        <f t="shared" si="9"/>
        <v>0.66227213541666674</v>
      </c>
      <c r="J30" s="4">
        <f t="shared" si="10"/>
        <v>1.0515950520833333</v>
      </c>
      <c r="N30" s="17"/>
    </row>
    <row r="31" spans="1:14" x14ac:dyDescent="0.25">
      <c r="A31" s="2">
        <v>24</v>
      </c>
      <c r="B31" s="2">
        <v>460</v>
      </c>
      <c r="C31" s="4">
        <f t="shared" si="0"/>
        <v>0.46</v>
      </c>
      <c r="D31" s="14">
        <v>43</v>
      </c>
      <c r="E31" s="14">
        <v>62.5</v>
      </c>
      <c r="F31" s="14">
        <v>99.3</v>
      </c>
      <c r="G31" s="4">
        <f t="shared" si="4"/>
        <v>30.48</v>
      </c>
      <c r="H31" s="4">
        <f t="shared" ref="H31:H68" si="11">(D31*0.325)/G31</f>
        <v>0.45849737532808399</v>
      </c>
      <c r="I31" s="4">
        <f t="shared" ref="I31:I68" si="12">(E31*0.325)/G31</f>
        <v>0.6664206036745407</v>
      </c>
      <c r="J31" s="4">
        <f t="shared" ref="J31:J68" si="13">(F31*0.325)/G31</f>
        <v>1.0588090551181102</v>
      </c>
      <c r="N31" s="17"/>
    </row>
    <row r="32" spans="1:14" x14ac:dyDescent="0.25">
      <c r="A32" s="2">
        <v>25</v>
      </c>
      <c r="B32" s="2">
        <v>480</v>
      </c>
      <c r="C32" s="4">
        <f t="shared" si="0"/>
        <v>0.48</v>
      </c>
      <c r="D32" s="14">
        <v>42.9</v>
      </c>
      <c r="E32" s="14">
        <v>62.5</v>
      </c>
      <c r="F32" s="14">
        <v>99.2</v>
      </c>
      <c r="G32" s="4">
        <f t="shared" si="4"/>
        <v>30.24</v>
      </c>
      <c r="H32" s="4">
        <f t="shared" si="11"/>
        <v>0.46106150793650796</v>
      </c>
      <c r="I32" s="4">
        <f t="shared" si="12"/>
        <v>0.67170965608465616</v>
      </c>
      <c r="J32" s="4">
        <f t="shared" si="13"/>
        <v>1.0661375661375663</v>
      </c>
      <c r="N32" s="17"/>
    </row>
    <row r="33" spans="1:14" x14ac:dyDescent="0.25">
      <c r="A33" s="2">
        <v>26</v>
      </c>
      <c r="B33" s="2">
        <v>500</v>
      </c>
      <c r="C33" s="4">
        <f t="shared" si="0"/>
        <v>0.5</v>
      </c>
      <c r="D33" s="14">
        <v>43.1</v>
      </c>
      <c r="E33" s="14">
        <v>62.4</v>
      </c>
      <c r="F33" s="14">
        <v>98.7</v>
      </c>
      <c r="G33" s="4">
        <f t="shared" si="4"/>
        <v>30</v>
      </c>
      <c r="H33" s="4">
        <f t="shared" si="11"/>
        <v>0.4669166666666667</v>
      </c>
      <c r="I33" s="4">
        <f t="shared" si="12"/>
        <v>0.67600000000000005</v>
      </c>
      <c r="J33" s="4">
        <f t="shared" si="13"/>
        <v>1.06925</v>
      </c>
      <c r="N33" s="17"/>
    </row>
    <row r="34" spans="1:14" x14ac:dyDescent="0.25">
      <c r="A34" s="2">
        <v>27</v>
      </c>
      <c r="B34" s="2">
        <v>520</v>
      </c>
      <c r="C34" s="4">
        <f t="shared" si="0"/>
        <v>0.52</v>
      </c>
      <c r="D34" s="14">
        <v>42.8</v>
      </c>
      <c r="E34" s="14">
        <v>62.3</v>
      </c>
      <c r="F34" s="14">
        <v>98.2</v>
      </c>
      <c r="G34" s="4">
        <f t="shared" si="4"/>
        <v>29.759999999999998</v>
      </c>
      <c r="H34" s="4">
        <f t="shared" si="11"/>
        <v>0.46740591397849468</v>
      </c>
      <c r="I34" s="4">
        <f t="shared" si="12"/>
        <v>0.68035954301075274</v>
      </c>
      <c r="J34" s="4">
        <f t="shared" si="13"/>
        <v>1.0724126344086022</v>
      </c>
      <c r="N34" s="19"/>
    </row>
    <row r="35" spans="1:14" x14ac:dyDescent="0.25">
      <c r="A35" s="2">
        <v>28</v>
      </c>
      <c r="B35" s="2">
        <v>540</v>
      </c>
      <c r="C35" s="4">
        <f t="shared" si="0"/>
        <v>0.54</v>
      </c>
      <c r="D35" s="14">
        <v>42.9</v>
      </c>
      <c r="E35" s="14">
        <v>62.5</v>
      </c>
      <c r="F35" s="14">
        <v>97.8</v>
      </c>
      <c r="G35" s="4">
        <f t="shared" si="4"/>
        <v>29.52</v>
      </c>
      <c r="H35" s="4">
        <f t="shared" si="11"/>
        <v>0.47230691056910573</v>
      </c>
      <c r="I35" s="4">
        <f t="shared" si="12"/>
        <v>0.68809281842818426</v>
      </c>
      <c r="J35" s="4">
        <f t="shared" si="13"/>
        <v>1.0767276422764227</v>
      </c>
    </row>
    <row r="36" spans="1:14" x14ac:dyDescent="0.25">
      <c r="A36" s="2">
        <v>29</v>
      </c>
      <c r="B36" s="2">
        <v>560</v>
      </c>
      <c r="C36" s="4">
        <f t="shared" si="0"/>
        <v>0.56000000000000005</v>
      </c>
      <c r="D36" s="14">
        <v>42.9</v>
      </c>
      <c r="E36" s="14">
        <v>62.3</v>
      </c>
      <c r="F36" s="14">
        <v>98.2</v>
      </c>
      <c r="G36" s="4">
        <f t="shared" si="4"/>
        <v>29.28</v>
      </c>
      <c r="H36" s="4">
        <f t="shared" si="11"/>
        <v>0.47617827868852458</v>
      </c>
      <c r="I36" s="4">
        <f t="shared" si="12"/>
        <v>0.69151297814207646</v>
      </c>
      <c r="J36" s="4">
        <f t="shared" si="13"/>
        <v>1.0899931693989071</v>
      </c>
    </row>
    <row r="37" spans="1:14" x14ac:dyDescent="0.25">
      <c r="A37" s="2">
        <v>30</v>
      </c>
      <c r="B37" s="2">
        <v>580</v>
      </c>
      <c r="C37" s="4">
        <f t="shared" si="0"/>
        <v>0.57999999999999996</v>
      </c>
      <c r="D37" s="14">
        <v>43.2</v>
      </c>
      <c r="E37" s="14">
        <v>62.2</v>
      </c>
      <c r="F37" s="14">
        <v>97.7</v>
      </c>
      <c r="G37" s="4">
        <f t="shared" si="4"/>
        <v>29.04</v>
      </c>
      <c r="H37" s="4">
        <f t="shared" si="11"/>
        <v>0.48347107438016534</v>
      </c>
      <c r="I37" s="4">
        <f t="shared" si="12"/>
        <v>0.69610881542699721</v>
      </c>
      <c r="J37" s="4">
        <f t="shared" si="13"/>
        <v>1.0934056473829201</v>
      </c>
    </row>
    <row r="38" spans="1:14" x14ac:dyDescent="0.25">
      <c r="A38" s="2">
        <v>31</v>
      </c>
      <c r="B38" s="2">
        <v>600</v>
      </c>
      <c r="C38" s="4">
        <f t="shared" si="0"/>
        <v>0.6</v>
      </c>
      <c r="D38" s="14">
        <v>42.5</v>
      </c>
      <c r="E38" s="14">
        <v>62.9</v>
      </c>
      <c r="F38" s="14">
        <v>98.2</v>
      </c>
      <c r="G38" s="4">
        <f t="shared" si="4"/>
        <v>28.8</v>
      </c>
      <c r="H38" s="4">
        <f t="shared" si="11"/>
        <v>0.47960069444444442</v>
      </c>
      <c r="I38" s="4">
        <f t="shared" si="12"/>
        <v>0.70980902777777777</v>
      </c>
      <c r="J38" s="4">
        <f t="shared" si="13"/>
        <v>1.1081597222222224</v>
      </c>
    </row>
    <row r="39" spans="1:14" x14ac:dyDescent="0.25">
      <c r="A39" s="2">
        <v>32</v>
      </c>
      <c r="B39" s="2">
        <v>620</v>
      </c>
      <c r="C39" s="4">
        <f t="shared" si="0"/>
        <v>0.62</v>
      </c>
      <c r="D39" s="14">
        <v>42.9</v>
      </c>
      <c r="E39" s="14">
        <v>62</v>
      </c>
      <c r="F39" s="14">
        <v>97.2</v>
      </c>
      <c r="G39" s="4">
        <f t="shared" si="4"/>
        <v>28.56</v>
      </c>
      <c r="H39" s="4">
        <f t="shared" si="11"/>
        <v>0.48818277310924374</v>
      </c>
      <c r="I39" s="4">
        <f t="shared" si="12"/>
        <v>0.70553221288515422</v>
      </c>
      <c r="J39" s="4">
        <f t="shared" si="13"/>
        <v>1.10609243697479</v>
      </c>
    </row>
    <row r="40" spans="1:14" x14ac:dyDescent="0.25">
      <c r="A40" s="2">
        <v>33</v>
      </c>
      <c r="B40" s="2">
        <v>640</v>
      </c>
      <c r="C40" s="4">
        <f t="shared" si="0"/>
        <v>0.64</v>
      </c>
      <c r="D40" s="14">
        <v>42.5</v>
      </c>
      <c r="E40" s="14">
        <v>62</v>
      </c>
      <c r="F40" s="14">
        <v>97.2</v>
      </c>
      <c r="G40" s="4">
        <f t="shared" si="4"/>
        <v>28.32</v>
      </c>
      <c r="H40" s="4">
        <f t="shared" si="11"/>
        <v>0.4877295197740113</v>
      </c>
      <c r="I40" s="4">
        <f t="shared" si="12"/>
        <v>0.71151129943502833</v>
      </c>
      <c r="J40" s="4">
        <f t="shared" si="13"/>
        <v>1.1154661016949154</v>
      </c>
    </row>
    <row r="41" spans="1:14" x14ac:dyDescent="0.25">
      <c r="A41" s="2">
        <v>34</v>
      </c>
      <c r="B41" s="2">
        <v>660</v>
      </c>
      <c r="C41" s="4">
        <f t="shared" si="0"/>
        <v>0.66</v>
      </c>
      <c r="D41" s="14">
        <v>41.9</v>
      </c>
      <c r="E41" s="14">
        <v>62.1</v>
      </c>
      <c r="F41" s="14">
        <v>97.5</v>
      </c>
      <c r="G41" s="4">
        <f t="shared" si="4"/>
        <v>28.080000000000002</v>
      </c>
      <c r="H41" s="4">
        <f t="shared" si="11"/>
        <v>0.48495370370370366</v>
      </c>
      <c r="I41" s="4">
        <f t="shared" si="12"/>
        <v>0.71875</v>
      </c>
      <c r="J41" s="4">
        <f t="shared" si="13"/>
        <v>1.1284722222222221</v>
      </c>
    </row>
    <row r="42" spans="1:14" x14ac:dyDescent="0.25">
      <c r="A42" s="2">
        <v>35</v>
      </c>
      <c r="B42" s="2">
        <v>680</v>
      </c>
      <c r="C42" s="4">
        <f t="shared" si="0"/>
        <v>0.68</v>
      </c>
      <c r="D42" s="14">
        <v>41.8</v>
      </c>
      <c r="E42" s="14">
        <v>61</v>
      </c>
      <c r="F42" s="14">
        <v>96.5</v>
      </c>
      <c r="G42" s="4">
        <f t="shared" si="4"/>
        <v>27.84</v>
      </c>
      <c r="H42" s="4">
        <f t="shared" si="11"/>
        <v>0.48796695402298845</v>
      </c>
      <c r="I42" s="4">
        <f t="shared" si="12"/>
        <v>0.71210488505747127</v>
      </c>
      <c r="J42" s="4">
        <f t="shared" si="13"/>
        <v>1.1265265804597702</v>
      </c>
    </row>
    <row r="43" spans="1:14" x14ac:dyDescent="0.25">
      <c r="A43" s="2">
        <v>36</v>
      </c>
      <c r="B43" s="2">
        <v>700</v>
      </c>
      <c r="C43" s="4">
        <f t="shared" si="0"/>
        <v>0.7</v>
      </c>
      <c r="D43" s="14">
        <v>41.1</v>
      </c>
      <c r="E43" s="14">
        <v>61.1</v>
      </c>
      <c r="F43" s="14">
        <v>95.1</v>
      </c>
      <c r="G43" s="4">
        <f t="shared" si="4"/>
        <v>27.6</v>
      </c>
      <c r="H43" s="4">
        <f t="shared" si="11"/>
        <v>0.48396739130434785</v>
      </c>
      <c r="I43" s="4">
        <f t="shared" si="12"/>
        <v>0.71947463768115949</v>
      </c>
      <c r="J43" s="4">
        <f t="shared" si="13"/>
        <v>1.119836956521739</v>
      </c>
    </row>
    <row r="44" spans="1:14" x14ac:dyDescent="0.25">
      <c r="A44" s="2">
        <v>37</v>
      </c>
      <c r="B44" s="2">
        <v>720</v>
      </c>
      <c r="C44" s="4">
        <f t="shared" si="0"/>
        <v>0.72</v>
      </c>
      <c r="D44" s="14">
        <v>41</v>
      </c>
      <c r="E44" s="14">
        <v>61.3</v>
      </c>
      <c r="F44" s="14">
        <v>94.4</v>
      </c>
      <c r="G44" s="4">
        <f t="shared" si="4"/>
        <v>27.36</v>
      </c>
      <c r="H44" s="4">
        <f t="shared" si="11"/>
        <v>0.48702485380116967</v>
      </c>
      <c r="I44" s="4">
        <f t="shared" si="12"/>
        <v>0.72816154970760238</v>
      </c>
      <c r="J44" s="4">
        <f t="shared" si="13"/>
        <v>1.1213450292397662</v>
      </c>
    </row>
    <row r="45" spans="1:14" x14ac:dyDescent="0.25">
      <c r="A45" s="2">
        <v>38</v>
      </c>
      <c r="B45" s="2">
        <v>740</v>
      </c>
      <c r="C45" s="4">
        <f t="shared" si="0"/>
        <v>0.74</v>
      </c>
      <c r="D45" s="14">
        <v>40.299999999999997</v>
      </c>
      <c r="E45" s="14">
        <v>60.3</v>
      </c>
      <c r="F45" s="14">
        <v>93.8</v>
      </c>
      <c r="G45" s="4">
        <f t="shared" si="4"/>
        <v>27.119999999999997</v>
      </c>
      <c r="H45" s="4">
        <f t="shared" si="11"/>
        <v>0.48294616519174044</v>
      </c>
      <c r="I45" s="4">
        <f t="shared" si="12"/>
        <v>0.72262168141592931</v>
      </c>
      <c r="J45" s="4">
        <f t="shared" si="13"/>
        <v>1.1240781710914456</v>
      </c>
    </row>
    <row r="46" spans="1:14" x14ac:dyDescent="0.25">
      <c r="A46" s="2">
        <v>39</v>
      </c>
      <c r="B46" s="2">
        <v>760</v>
      </c>
      <c r="C46" s="4">
        <f t="shared" si="0"/>
        <v>0.76</v>
      </c>
      <c r="D46" s="14">
        <v>39.9</v>
      </c>
      <c r="E46" s="14">
        <v>60.9</v>
      </c>
      <c r="F46" s="14">
        <v>92.8</v>
      </c>
      <c r="G46" s="4">
        <f t="shared" si="4"/>
        <v>26.879999999999995</v>
      </c>
      <c r="H46" s="4">
        <f t="shared" si="11"/>
        <v>0.48242187500000006</v>
      </c>
      <c r="I46" s="4">
        <f t="shared" si="12"/>
        <v>0.73632812500000011</v>
      </c>
      <c r="J46" s="4">
        <f t="shared" si="13"/>
        <v>1.1220238095238098</v>
      </c>
    </row>
    <row r="47" spans="1:14" x14ac:dyDescent="0.25">
      <c r="A47" s="2">
        <v>40</v>
      </c>
      <c r="B47" s="2">
        <v>780</v>
      </c>
      <c r="C47" s="4">
        <f t="shared" si="0"/>
        <v>0.78</v>
      </c>
      <c r="D47" s="14">
        <v>39.799999999999997</v>
      </c>
      <c r="E47" s="14">
        <v>60</v>
      </c>
      <c r="F47" s="14">
        <v>91.7</v>
      </c>
      <c r="G47" s="4">
        <f t="shared" si="4"/>
        <v>26.64</v>
      </c>
      <c r="H47" s="4">
        <f t="shared" si="11"/>
        <v>0.48554804804804796</v>
      </c>
      <c r="I47" s="4">
        <f t="shared" si="12"/>
        <v>0.73198198198198194</v>
      </c>
      <c r="J47" s="4">
        <f t="shared" si="13"/>
        <v>1.1187124624624625</v>
      </c>
    </row>
    <row r="48" spans="1:14" x14ac:dyDescent="0.25">
      <c r="A48" s="2">
        <v>41</v>
      </c>
      <c r="B48" s="2">
        <v>800</v>
      </c>
      <c r="C48" s="4">
        <f t="shared" si="0"/>
        <v>0.8</v>
      </c>
      <c r="D48" s="14">
        <v>39.1</v>
      </c>
      <c r="E48" s="14">
        <v>60.3</v>
      </c>
      <c r="F48" s="14">
        <v>91.1</v>
      </c>
      <c r="G48" s="4">
        <f t="shared" si="4"/>
        <v>26.400000000000002</v>
      </c>
      <c r="H48" s="4">
        <f t="shared" si="11"/>
        <v>0.48134469696969701</v>
      </c>
      <c r="I48" s="4">
        <f t="shared" si="12"/>
        <v>0.74232954545454544</v>
      </c>
      <c r="J48" s="4">
        <f t="shared" si="13"/>
        <v>1.121496212121212</v>
      </c>
    </row>
    <row r="49" spans="1:10" x14ac:dyDescent="0.25">
      <c r="A49" s="2">
        <v>42</v>
      </c>
      <c r="B49" s="2">
        <v>820</v>
      </c>
      <c r="C49" s="4">
        <f t="shared" si="0"/>
        <v>0.82</v>
      </c>
      <c r="D49" s="14">
        <v>39.1</v>
      </c>
      <c r="E49" s="14">
        <v>59.9</v>
      </c>
      <c r="F49" s="14">
        <v>89.7</v>
      </c>
      <c r="G49" s="4">
        <f t="shared" si="4"/>
        <v>26.16</v>
      </c>
      <c r="H49" s="4">
        <f t="shared" si="11"/>
        <v>0.48576070336391441</v>
      </c>
      <c r="I49" s="4">
        <f t="shared" si="12"/>
        <v>0.7441704892966361</v>
      </c>
      <c r="J49" s="4">
        <f t="shared" si="13"/>
        <v>1.1143922018348624</v>
      </c>
    </row>
    <row r="50" spans="1:10" x14ac:dyDescent="0.25">
      <c r="A50" s="2">
        <v>43</v>
      </c>
      <c r="B50" s="2">
        <v>840</v>
      </c>
      <c r="C50" s="4">
        <f t="shared" si="0"/>
        <v>0.84</v>
      </c>
      <c r="D50" s="14">
        <v>38.5</v>
      </c>
      <c r="E50" s="14">
        <v>59.7</v>
      </c>
      <c r="F50" s="14">
        <v>88.9</v>
      </c>
      <c r="G50" s="4">
        <f t="shared" si="4"/>
        <v>25.919999999999998</v>
      </c>
      <c r="H50" s="4">
        <f t="shared" si="11"/>
        <v>0.48273533950617292</v>
      </c>
      <c r="I50" s="4">
        <f t="shared" si="12"/>
        <v>0.74855324074074081</v>
      </c>
      <c r="J50" s="4">
        <f t="shared" si="13"/>
        <v>1.1146797839506175</v>
      </c>
    </row>
    <row r="51" spans="1:10" x14ac:dyDescent="0.25">
      <c r="A51" s="2">
        <v>44</v>
      </c>
      <c r="B51" s="2">
        <v>860</v>
      </c>
      <c r="C51" s="4">
        <f t="shared" si="0"/>
        <v>0.86</v>
      </c>
      <c r="D51" s="14">
        <v>38.1</v>
      </c>
      <c r="E51" s="14">
        <v>59.2</v>
      </c>
      <c r="F51" s="14">
        <v>88</v>
      </c>
      <c r="G51" s="4">
        <f t="shared" si="4"/>
        <v>25.68</v>
      </c>
      <c r="H51" s="4">
        <f t="shared" si="11"/>
        <v>0.48218457943925236</v>
      </c>
      <c r="I51" s="4">
        <f t="shared" si="12"/>
        <v>0.74922118380062319</v>
      </c>
      <c r="J51" s="4">
        <f t="shared" si="13"/>
        <v>1.1137071651090342</v>
      </c>
    </row>
    <row r="52" spans="1:10" x14ac:dyDescent="0.25">
      <c r="A52" s="2">
        <v>45</v>
      </c>
      <c r="B52" s="2">
        <v>880</v>
      </c>
      <c r="C52" s="4">
        <f t="shared" si="0"/>
        <v>0.88</v>
      </c>
      <c r="D52" s="14">
        <v>37.799999999999997</v>
      </c>
      <c r="E52" s="14">
        <v>58.3</v>
      </c>
      <c r="F52" s="14">
        <v>87.7</v>
      </c>
      <c r="G52" s="4">
        <f t="shared" si="4"/>
        <v>25.44</v>
      </c>
      <c r="H52" s="4">
        <f t="shared" si="11"/>
        <v>0.48290094339622641</v>
      </c>
      <c r="I52" s="4">
        <f t="shared" si="12"/>
        <v>0.74479166666666652</v>
      </c>
      <c r="J52" s="4">
        <f t="shared" si="13"/>
        <v>1.1203812893081762</v>
      </c>
    </row>
    <row r="53" spans="1:10" x14ac:dyDescent="0.25">
      <c r="A53" s="2">
        <v>46</v>
      </c>
      <c r="B53" s="2">
        <v>900</v>
      </c>
      <c r="C53" s="4">
        <f t="shared" si="0"/>
        <v>0.9</v>
      </c>
      <c r="D53" s="14">
        <v>37.200000000000003</v>
      </c>
      <c r="E53" s="14">
        <v>57.7</v>
      </c>
      <c r="F53" s="14">
        <v>85.8</v>
      </c>
      <c r="G53" s="4">
        <f t="shared" si="4"/>
        <v>25.2</v>
      </c>
      <c r="H53" s="4">
        <f t="shared" si="11"/>
        <v>0.47976190476190483</v>
      </c>
      <c r="I53" s="4">
        <f t="shared" si="12"/>
        <v>0.74414682539682542</v>
      </c>
      <c r="J53" s="4">
        <f t="shared" si="13"/>
        <v>1.1065476190476191</v>
      </c>
    </row>
    <row r="54" spans="1:10" x14ac:dyDescent="0.25">
      <c r="A54" s="2">
        <v>47</v>
      </c>
      <c r="B54" s="2">
        <v>920</v>
      </c>
      <c r="C54" s="4">
        <f t="shared" si="0"/>
        <v>0.92</v>
      </c>
      <c r="D54" s="14">
        <v>37.1</v>
      </c>
      <c r="E54" s="14">
        <v>56.8</v>
      </c>
      <c r="F54" s="14">
        <v>84.8</v>
      </c>
      <c r="G54" s="4">
        <f t="shared" si="4"/>
        <v>24.96</v>
      </c>
      <c r="H54" s="4">
        <f t="shared" si="11"/>
        <v>0.48307291666666669</v>
      </c>
      <c r="I54" s="4">
        <f t="shared" si="12"/>
        <v>0.73958333333333337</v>
      </c>
      <c r="J54" s="4">
        <f t="shared" si="13"/>
        <v>1.1041666666666665</v>
      </c>
    </row>
    <row r="55" spans="1:10" x14ac:dyDescent="0.25">
      <c r="A55" s="2">
        <v>48</v>
      </c>
      <c r="B55" s="2">
        <v>940</v>
      </c>
      <c r="C55" s="4">
        <f t="shared" si="0"/>
        <v>0.94</v>
      </c>
      <c r="D55" s="14">
        <v>36.5</v>
      </c>
      <c r="E55" s="14">
        <v>56.7</v>
      </c>
      <c r="F55" s="14">
        <v>84.2</v>
      </c>
      <c r="G55" s="4">
        <f t="shared" si="4"/>
        <v>24.720000000000002</v>
      </c>
      <c r="H55" s="4">
        <f t="shared" si="11"/>
        <v>0.47987459546925565</v>
      </c>
      <c r="I55" s="4">
        <f t="shared" si="12"/>
        <v>0.74544902912621358</v>
      </c>
      <c r="J55" s="4">
        <f t="shared" si="13"/>
        <v>1.1069983818770226</v>
      </c>
    </row>
    <row r="56" spans="1:10" x14ac:dyDescent="0.25">
      <c r="A56" s="2">
        <v>49</v>
      </c>
      <c r="B56" s="2">
        <v>960</v>
      </c>
      <c r="C56" s="4">
        <f t="shared" si="0"/>
        <v>0.96</v>
      </c>
      <c r="D56" s="14">
        <v>36.200000000000003</v>
      </c>
      <c r="E56" s="14">
        <v>55.7</v>
      </c>
      <c r="F56" s="14">
        <v>83.6</v>
      </c>
      <c r="G56" s="4">
        <f t="shared" si="4"/>
        <v>24.479999999999997</v>
      </c>
      <c r="H56" s="4">
        <f t="shared" si="11"/>
        <v>0.48059640522875824</v>
      </c>
      <c r="I56" s="4">
        <f t="shared" si="12"/>
        <v>0.739481209150327</v>
      </c>
      <c r="J56" s="4">
        <f t="shared" si="13"/>
        <v>1.1098856209150327</v>
      </c>
    </row>
    <row r="57" spans="1:10" x14ac:dyDescent="0.25">
      <c r="A57" s="2">
        <v>50</v>
      </c>
      <c r="B57" s="2">
        <v>980</v>
      </c>
      <c r="C57" s="4">
        <f t="shared" si="0"/>
        <v>0.98</v>
      </c>
      <c r="D57" s="14">
        <v>35.700000000000003</v>
      </c>
      <c r="E57" s="14">
        <v>54.9</v>
      </c>
      <c r="F57" s="14">
        <v>82.4</v>
      </c>
      <c r="G57" s="4">
        <f t="shared" si="4"/>
        <v>24.240000000000002</v>
      </c>
      <c r="H57" s="4">
        <f t="shared" si="11"/>
        <v>0.47865099009900991</v>
      </c>
      <c r="I57" s="4">
        <f t="shared" si="12"/>
        <v>0.73607673267326734</v>
      </c>
      <c r="J57" s="4">
        <f t="shared" si="13"/>
        <v>1.1047854785478548</v>
      </c>
    </row>
    <row r="58" spans="1:10" x14ac:dyDescent="0.25">
      <c r="A58" s="2">
        <v>51</v>
      </c>
      <c r="B58" s="2">
        <v>1000</v>
      </c>
      <c r="C58" s="4">
        <f t="shared" si="0"/>
        <v>1</v>
      </c>
      <c r="D58" s="14">
        <v>35.4</v>
      </c>
      <c r="E58" s="14">
        <v>54.6</v>
      </c>
      <c r="F58" s="14">
        <v>81.3</v>
      </c>
      <c r="G58" s="4">
        <f t="shared" si="4"/>
        <v>24.000000000000004</v>
      </c>
      <c r="H58" s="4">
        <f t="shared" si="11"/>
        <v>0.47937499999999994</v>
      </c>
      <c r="I58" s="4">
        <f t="shared" si="12"/>
        <v>0.73937499999999989</v>
      </c>
      <c r="J58" s="4">
        <f t="shared" si="13"/>
        <v>1.1009374999999999</v>
      </c>
    </row>
    <row r="59" spans="1:10" x14ac:dyDescent="0.25">
      <c r="A59" s="2">
        <v>52</v>
      </c>
      <c r="B59" s="2">
        <v>1020</v>
      </c>
      <c r="C59" s="4">
        <f t="shared" si="0"/>
        <v>1.02</v>
      </c>
      <c r="D59" s="14">
        <v>34.9</v>
      </c>
      <c r="E59" s="14">
        <v>53.5</v>
      </c>
      <c r="F59" s="14">
        <v>80.7</v>
      </c>
      <c r="G59" s="4">
        <f t="shared" si="4"/>
        <v>23.759999999999998</v>
      </c>
      <c r="H59" s="4">
        <f t="shared" si="11"/>
        <v>0.47737794612794615</v>
      </c>
      <c r="I59" s="4">
        <f t="shared" si="12"/>
        <v>0.73179713804713808</v>
      </c>
      <c r="J59" s="4">
        <f t="shared" si="13"/>
        <v>1.1038510101010104</v>
      </c>
    </row>
    <row r="60" spans="1:10" x14ac:dyDescent="0.25">
      <c r="A60" s="2">
        <v>53</v>
      </c>
      <c r="B60" s="2">
        <v>1040</v>
      </c>
      <c r="C60" s="4">
        <f t="shared" si="0"/>
        <v>1.04</v>
      </c>
      <c r="D60" s="14">
        <v>34.299999999999997</v>
      </c>
      <c r="E60" s="14">
        <v>52.8</v>
      </c>
      <c r="F60" s="14">
        <v>79.099999999999994</v>
      </c>
      <c r="G60" s="4">
        <f t="shared" si="4"/>
        <v>23.52</v>
      </c>
      <c r="H60" s="4">
        <f t="shared" si="11"/>
        <v>0.47395833333333331</v>
      </c>
      <c r="I60" s="4">
        <f t="shared" si="12"/>
        <v>0.72959183673469385</v>
      </c>
      <c r="J60" s="4">
        <f t="shared" si="13"/>
        <v>1.0930059523809523</v>
      </c>
    </row>
    <row r="61" spans="1:10" x14ac:dyDescent="0.25">
      <c r="A61" s="2">
        <v>54</v>
      </c>
      <c r="B61" s="2">
        <v>1060</v>
      </c>
      <c r="C61" s="4">
        <f t="shared" si="0"/>
        <v>1.06</v>
      </c>
      <c r="D61" s="14">
        <v>34</v>
      </c>
      <c r="E61" s="14">
        <v>52.3</v>
      </c>
      <c r="F61" s="14">
        <v>78.599999999999994</v>
      </c>
      <c r="G61" s="4">
        <f t="shared" si="4"/>
        <v>23.28</v>
      </c>
      <c r="H61" s="4">
        <f t="shared" si="11"/>
        <v>0.47465635738831619</v>
      </c>
      <c r="I61" s="4">
        <f t="shared" si="12"/>
        <v>0.73013316151202745</v>
      </c>
      <c r="J61" s="4">
        <f t="shared" si="13"/>
        <v>1.0972938144329896</v>
      </c>
    </row>
    <row r="62" spans="1:10" x14ac:dyDescent="0.25">
      <c r="A62" s="2">
        <v>55</v>
      </c>
      <c r="B62" s="2">
        <v>1080</v>
      </c>
      <c r="C62" s="4">
        <f t="shared" si="0"/>
        <v>1.08</v>
      </c>
      <c r="D62" s="14">
        <v>33.700000000000003</v>
      </c>
      <c r="E62" s="14">
        <v>51.7</v>
      </c>
      <c r="F62" s="14">
        <v>78</v>
      </c>
      <c r="G62" s="4">
        <f t="shared" si="4"/>
        <v>23.039999999999996</v>
      </c>
      <c r="H62" s="4">
        <f t="shared" si="11"/>
        <v>0.47536892361111122</v>
      </c>
      <c r="I62" s="4">
        <f t="shared" si="12"/>
        <v>0.72927517361111138</v>
      </c>
      <c r="J62" s="4">
        <f t="shared" si="13"/>
        <v>1.100260416666667</v>
      </c>
    </row>
    <row r="63" spans="1:10" x14ac:dyDescent="0.25">
      <c r="A63" s="2">
        <v>56</v>
      </c>
      <c r="B63" s="2">
        <v>1100</v>
      </c>
      <c r="C63" s="4">
        <f t="shared" si="0"/>
        <v>1.1000000000000001</v>
      </c>
      <c r="D63" s="14">
        <v>33.299999999999997</v>
      </c>
      <c r="E63" s="14">
        <v>51.2</v>
      </c>
      <c r="F63" s="14">
        <v>77.099999999999994</v>
      </c>
      <c r="G63" s="4">
        <f t="shared" si="4"/>
        <v>22.799999999999997</v>
      </c>
      <c r="H63" s="4">
        <f t="shared" si="11"/>
        <v>0.47467105263157899</v>
      </c>
      <c r="I63" s="4">
        <f t="shared" si="12"/>
        <v>0.72982456140350893</v>
      </c>
      <c r="J63" s="4">
        <f t="shared" si="13"/>
        <v>1.0990131578947369</v>
      </c>
    </row>
    <row r="64" spans="1:10" x14ac:dyDescent="0.25">
      <c r="A64" s="2">
        <v>57</v>
      </c>
      <c r="B64" s="2">
        <v>1120</v>
      </c>
      <c r="C64" s="4">
        <f t="shared" si="0"/>
        <v>1.1200000000000001</v>
      </c>
      <c r="D64" s="14">
        <v>32.9</v>
      </c>
      <c r="E64" s="14">
        <v>50.5</v>
      </c>
      <c r="F64" s="14">
        <v>75.900000000000006</v>
      </c>
      <c r="G64" s="4">
        <f t="shared" si="4"/>
        <v>22.560000000000002</v>
      </c>
      <c r="H64" s="4">
        <f t="shared" si="11"/>
        <v>0.47395833333333331</v>
      </c>
      <c r="I64" s="4">
        <f t="shared" si="12"/>
        <v>0.72750443262411346</v>
      </c>
      <c r="J64" s="4">
        <f t="shared" si="13"/>
        <v>1.0934175531914894</v>
      </c>
    </row>
    <row r="65" spans="1:10" x14ac:dyDescent="0.25">
      <c r="A65" s="2">
        <v>58</v>
      </c>
      <c r="B65" s="2">
        <v>1140</v>
      </c>
      <c r="C65" s="4">
        <f t="shared" si="0"/>
        <v>1.1399999999999999</v>
      </c>
      <c r="D65" s="14">
        <v>32.299999999999997</v>
      </c>
      <c r="E65" s="14">
        <v>49.9</v>
      </c>
      <c r="F65" s="14">
        <v>74.8</v>
      </c>
      <c r="G65" s="4">
        <f t="shared" si="4"/>
        <v>22.320000000000004</v>
      </c>
      <c r="H65" s="4">
        <f t="shared" si="11"/>
        <v>0.47031810035842281</v>
      </c>
      <c r="I65" s="4">
        <f t="shared" si="12"/>
        <v>0.7265905017921146</v>
      </c>
      <c r="J65" s="4">
        <f t="shared" si="13"/>
        <v>1.0891577060931896</v>
      </c>
    </row>
    <row r="66" spans="1:10" x14ac:dyDescent="0.25">
      <c r="A66" s="2">
        <v>59</v>
      </c>
      <c r="B66" s="2">
        <v>1160</v>
      </c>
      <c r="C66" s="4">
        <f t="shared" si="0"/>
        <v>1.1599999999999999</v>
      </c>
      <c r="D66" s="14">
        <v>32.1</v>
      </c>
      <c r="E66" s="14">
        <v>48.9</v>
      </c>
      <c r="F66" s="14">
        <v>74.3</v>
      </c>
      <c r="G66" s="4">
        <f t="shared" si="4"/>
        <v>22.08</v>
      </c>
      <c r="H66" s="4">
        <f t="shared" si="11"/>
        <v>0.47248641304347833</v>
      </c>
      <c r="I66" s="4">
        <f t="shared" si="12"/>
        <v>0.71976902173913049</v>
      </c>
      <c r="J66" s="4">
        <f t="shared" si="13"/>
        <v>1.0936367753623191</v>
      </c>
    </row>
    <row r="67" spans="1:10" x14ac:dyDescent="0.25">
      <c r="A67" s="2">
        <v>60</v>
      </c>
      <c r="B67" s="2">
        <v>1180</v>
      </c>
      <c r="C67" s="4">
        <f t="shared" si="0"/>
        <v>1.18</v>
      </c>
      <c r="D67" s="14">
        <v>31.7</v>
      </c>
      <c r="E67" s="14">
        <v>48.6</v>
      </c>
      <c r="F67" s="14">
        <v>73</v>
      </c>
      <c r="G67" s="4">
        <f t="shared" si="4"/>
        <v>21.84</v>
      </c>
      <c r="H67" s="4">
        <f t="shared" si="11"/>
        <v>0.47172619047619047</v>
      </c>
      <c r="I67" s="4">
        <f t="shared" si="12"/>
        <v>0.72321428571428581</v>
      </c>
      <c r="J67" s="4">
        <f t="shared" si="13"/>
        <v>1.0863095238095239</v>
      </c>
    </row>
    <row r="68" spans="1:10" x14ac:dyDescent="0.25">
      <c r="A68" s="2">
        <v>61</v>
      </c>
      <c r="B68" s="2">
        <v>1200</v>
      </c>
      <c r="C68" s="4">
        <f t="shared" si="0"/>
        <v>1.2</v>
      </c>
      <c r="D68" s="14">
        <v>31</v>
      </c>
      <c r="E68" s="14">
        <v>47.8</v>
      </c>
      <c r="F68" s="14">
        <v>71.7</v>
      </c>
      <c r="G68" s="4">
        <f t="shared" si="4"/>
        <v>21.6</v>
      </c>
      <c r="H68" s="4">
        <f t="shared" si="11"/>
        <v>0.46643518518518523</v>
      </c>
      <c r="I68" s="4">
        <f t="shared" si="12"/>
        <v>0.71921296296296289</v>
      </c>
      <c r="J68" s="4">
        <f t="shared" si="13"/>
        <v>1.0788194444444446</v>
      </c>
    </row>
  </sheetData>
  <mergeCells count="5">
    <mergeCell ref="F1:J1"/>
    <mergeCell ref="F2:G2"/>
    <mergeCell ref="F3:G3"/>
    <mergeCell ref="F4:G4"/>
    <mergeCell ref="F5:G5"/>
  </mergeCells>
  <dataValidations count="1">
    <dataValidation type="list" allowBlank="1" showInputMessage="1" showErrorMessage="1" sqref="E1" xr:uid="{328D1501-185F-40B6-961D-86EB9864944F}">
      <formula1>#REF!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baps</dc:creator>
  <cp:lastModifiedBy>baps</cp:lastModifiedBy>
  <dcterms:created xsi:type="dcterms:W3CDTF">2026-08-05T08:52:29Z</dcterms:created>
  <dcterms:modified xsi:type="dcterms:W3CDTF">2026-09-02T10:25:16Z</dcterms:modified>
</cp:coreProperties>
</file>